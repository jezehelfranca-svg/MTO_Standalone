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dding\SAUDI BOTB\Civil Information\"/>
    </mc:Choice>
  </mc:AlternateContent>
  <xr:revisionPtr revIDLastSave="0" documentId="13_ncr:101_{62AFD9A7-DE5F-4D76-B58F-77842BF4270E}" xr6:coauthVersionLast="47" xr6:coauthVersionMax="47" xr10:uidLastSave="{00000000-0000-0000-0000-000000000000}"/>
  <bookViews>
    <workbookView xWindow="57480" yWindow="-120" windowWidth="29040" windowHeight="15840" activeTab="3" xr2:uid="{7763428B-A109-449C-8774-82C55A6430AF}"/>
  </bookViews>
  <sheets>
    <sheet name="Concrete Trench" sheetId="1" r:id="rId1"/>
    <sheet name="CABLE TRAY" sheetId="2" r:id="rId2"/>
    <sheet name="Direct Buried" sheetId="3" r:id="rId3"/>
    <sheet name="DUCT BANK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 localSheetId="1">[1]B!#REF!</definedName>
    <definedName name="\A" localSheetId="2">[1]B!#REF!</definedName>
    <definedName name="\A">[1]B!#REF!</definedName>
    <definedName name="\C" localSheetId="1">[1]B!#REF!</definedName>
    <definedName name="\C" localSheetId="2">[1]B!#REF!</definedName>
    <definedName name="\C">[1]B!#REF!</definedName>
    <definedName name="\I" localSheetId="1">[1]B!#REF!</definedName>
    <definedName name="\I" localSheetId="2">[1]B!#REF!</definedName>
    <definedName name="\I">[1]B!#REF!</definedName>
    <definedName name="\L" localSheetId="1">[1]B!#REF!</definedName>
    <definedName name="\L" localSheetId="2">[1]B!#REF!</definedName>
    <definedName name="\L">[1]B!#REF!</definedName>
    <definedName name="\P" localSheetId="1">[1]B!#REF!</definedName>
    <definedName name="\P" localSheetId="2">[1]B!#REF!</definedName>
    <definedName name="\P">[1]B!#REF!</definedName>
    <definedName name="\S" localSheetId="1">[1]B!#REF!</definedName>
    <definedName name="\S" localSheetId="2">[1]B!#REF!</definedName>
    <definedName name="\S">[1]B!#REF!</definedName>
    <definedName name="\X" localSheetId="1">#REF!</definedName>
    <definedName name="\X" localSheetId="2">#REF!</definedName>
    <definedName name="\X">#REF!</definedName>
    <definedName name="\Z" localSheetId="1">[1]B!#REF!</definedName>
    <definedName name="\Z" localSheetId="2">[1]B!#REF!</definedName>
    <definedName name="\Z">[1]B!#REF!</definedName>
    <definedName name="_____FLL2" localSheetId="1" hidden="1">#REF!</definedName>
    <definedName name="_____FLL2" hidden="1">#REF!</definedName>
    <definedName name="____FLL2" localSheetId="1" hidden="1">#REF!</definedName>
    <definedName name="____FLL2" hidden="1">#REF!</definedName>
    <definedName name="____FLL3" localSheetId="1" hidden="1">#REF!</definedName>
    <definedName name="____FLL3" hidden="1">#REF!</definedName>
    <definedName name="___FLL2" hidden="1">#REF!</definedName>
    <definedName name="___plc1">[3]INSTR!$A$5:$M$208</definedName>
    <definedName name="___SHT1">'[4]L V Separator'!$A$1:$AC$65</definedName>
    <definedName name="__123Graph_A" hidden="1">[5]DRUM!#REF!</definedName>
    <definedName name="__123Graph_AGRAPH1" hidden="1">#REF!</definedName>
    <definedName name="__123Graph_B" hidden="1">[5]DRUM!#REF!</definedName>
    <definedName name="__123Graph_C" hidden="1">[5]DRUM!#REF!</definedName>
    <definedName name="__123Graph_D" hidden="1">[5]DRUM!#REF!</definedName>
    <definedName name="__123Graph_F" hidden="1">'[6]C-301E~305E'!#REF!</definedName>
    <definedName name="__123Graph_X" hidden="1">[5]DRUM!#REF!</definedName>
    <definedName name="__FLL2" hidden="1">#REF!</definedName>
    <definedName name="__IntlFixup">TRUE</definedName>
    <definedName name="__plc1">[3]INSTR!$A$5:$M$208</definedName>
    <definedName name="__SHT1">'[4]L V Separator'!$A$1:$AC$65</definedName>
    <definedName name="_Builtin13" hidden="1">#REF!</definedName>
    <definedName name="_Dist_Bin" hidden="1">#REF!</definedName>
    <definedName name="_Dist_Values" hidden="1">#REF!</definedName>
    <definedName name="_Fill" localSheetId="1" hidden="1">#REF!</definedName>
    <definedName name="_Fill" localSheetId="2" hidden="1">#REF!</definedName>
    <definedName name="_Fill" hidden="1">#REF!</definedName>
    <definedName name="_FILL1" hidden="1">#REF!</definedName>
    <definedName name="_xlnm._FilterDatabase" localSheetId="1" hidden="1">'CABLE TRAY'!$A$14:$O$208</definedName>
    <definedName name="_xlnm._FilterDatabase" localSheetId="0" hidden="1">'Concrete Trench'!$A$5:$K$24</definedName>
    <definedName name="_xlnm._FilterDatabase" localSheetId="2" hidden="1">'Direct Buried'!$A$5:$K$125</definedName>
    <definedName name="_xlnm._FilterDatabase" localSheetId="3" hidden="1">'DUCT BANK'!$A$5:$N$75</definedName>
    <definedName name="_xlnm._FilterDatabase" hidden="1">#REF!</definedName>
    <definedName name="_FLL2" localSheetId="1" hidden="1">#REF!</definedName>
    <definedName name="_FLL2" hidden="1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hidden="1">#REF!</definedName>
    <definedName name="_NO11">#REF!</definedName>
    <definedName name="_NO13">#REF!</definedName>
    <definedName name="_NO17">#REF!</definedName>
    <definedName name="_NO21">#REF!</definedName>
    <definedName name="_NO26">#REF!</definedName>
    <definedName name="_NO32">#REF!</definedName>
    <definedName name="_NO39">#REF!</definedName>
    <definedName name="_NO49">#REF!</definedName>
    <definedName name="_NO61">#REF!</definedName>
    <definedName name="_NO7">#REF!</definedName>
    <definedName name="_NO74">#REF!</definedName>
    <definedName name="_NO9">#REF!</definedName>
    <definedName name="_NO92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lc1">[3]INSTR!$A$5:$M$208</definedName>
    <definedName name="_Regression_Int">1</definedName>
    <definedName name="_SHT1">'[4]L V Separator'!$A$1:$AC$65</definedName>
    <definedName name="_Sort" localSheetId="1" hidden="1">#REF!</definedName>
    <definedName name="_Sort" localSheetId="2" hidden="1">#REF!</definedName>
    <definedName name="_Sort" hidden="1">#REF!</definedName>
    <definedName name="_t1" localSheetId="1" hidden="1">#REF!</definedName>
    <definedName name="_t1" hidden="1">#REF!</definedName>
    <definedName name="_t2" hidden="1">#REF!</definedName>
    <definedName name="´cAE°eE¹" hidden="1">#REF!</definedName>
    <definedName name="￠￥cAE¡ÆeEⓒo" hidden="1">#REF!</definedName>
    <definedName name="A" localSheetId="1">#REF!</definedName>
    <definedName name="A" localSheetId="2">#REF!</definedName>
    <definedName name="A">#REF!</definedName>
    <definedName name="A_PL_KW" localSheetId="1">'[7]Load List_0.B'!#REF!</definedName>
    <definedName name="A_PL_KW">'[8]Load List_0.B'!#REF!</definedName>
    <definedName name="A_PL_PF" localSheetId="1">'[7]Load List_0.B'!#REF!</definedName>
    <definedName name="A_PL_PF">'[8]Load List_0.B'!#REF!</definedName>
    <definedName name="aa" localSheetId="1">BlankMacro1</definedName>
    <definedName name="aa" localSheetId="2">BlankMacro1</definedName>
    <definedName name="aa">BlankMacro1</definedName>
    <definedName name="AAA" localSheetId="1">#REF!</definedName>
    <definedName name="AAA" localSheetId="2">#REF!</definedName>
    <definedName name="AAA">#REF!</definedName>
    <definedName name="aaaaa" localSheetId="1" hidden="1">{#N/A,#N/A,TRUE,"Basic";#N/A,#N/A,TRUE,"EXT-TABLE";#N/A,#N/A,TRUE,"STEEL";#N/A,#N/A,TRUE,"INT-Table";#N/A,#N/A,TRUE,"STEEL";#N/A,#N/A,TRUE,"Door"}</definedName>
    <definedName name="aaaaa" hidden="1">{#N/A,#N/A,TRUE,"Basic";#N/A,#N/A,TRUE,"EXT-TABLE";#N/A,#N/A,TRUE,"STEEL";#N/A,#N/A,TRUE,"INT-Table";#N/A,#N/A,TRUE,"STEEL";#N/A,#N/A,TRUE,"Door"}</definedName>
    <definedName name="AAAAA1" localSheetId="1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b" localSheetId="1" hidden="1">{#N/A,#N/A,TRUE,"Basic";#N/A,#N/A,TRUE,"EXT-TABLE";#N/A,#N/A,TRUE,"STEEL";#N/A,#N/A,TRUE,"INT-Table";#N/A,#N/A,TRUE,"STEEL";#N/A,#N/A,TRUE,"Door"}</definedName>
    <definedName name="ab" hidden="1">{#N/A,#N/A,TRUE,"Basic";#N/A,#N/A,TRUE,"EXT-TABLE";#N/A,#N/A,TRUE,"STEEL";#N/A,#N/A,TRUE,"INT-Table";#N/A,#N/A,TRUE,"STEEL";#N/A,#N/A,TRUE,"Door"}</definedName>
    <definedName name="abc" localSheetId="1" hidden="1">{#N/A,#N/A,TRUE,"Basic";#N/A,#N/A,TRUE,"EXT-TABLE";#N/A,#N/A,TRUE,"STEEL";#N/A,#N/A,TRUE,"INT-Table";#N/A,#N/A,TRUE,"STEEL";#N/A,#N/A,TRUE,"Door"}</definedName>
    <definedName name="abc" hidden="1">{#N/A,#N/A,TRUE,"Basic";#N/A,#N/A,TRUE,"EXT-TABLE";#N/A,#N/A,TRUE,"STEEL";#N/A,#N/A,TRUE,"INT-Table";#N/A,#N/A,TRUE,"STEEL";#N/A,#N/A,TRUE,"Door"}</definedName>
    <definedName name="afaggafg" hidden="1">#REF!</definedName>
    <definedName name="AHVPNL" localSheetId="1" hidden="1">{#N/A,#N/A,FALSE,"CCTV"}</definedName>
    <definedName name="AHVPNL" hidden="1">{#N/A,#N/A,FALSE,"CCTV"}</definedName>
    <definedName name="anscount" hidden="1">1</definedName>
    <definedName name="anz_seiten">#REF!</definedName>
    <definedName name="asas" localSheetId="1" hidden="1">{#N/A,#N/A,TRUE,"Basic";#N/A,#N/A,TRUE,"EXT-TABLE";#N/A,#N/A,TRUE,"STEEL";#N/A,#N/A,TRUE,"INT-Table";#N/A,#N/A,TRUE,"STEEL";#N/A,#N/A,TRUE,"Door"}</definedName>
    <definedName name="asas" hidden="1">{#N/A,#N/A,TRUE,"Basic";#N/A,#N/A,TRUE,"EXT-TABLE";#N/A,#N/A,TRUE,"STEEL";#N/A,#N/A,TRUE,"INT-Table";#N/A,#N/A,TRUE,"STEEL";#N/A,#N/A,TRUE,"Door"}</definedName>
    <definedName name="asdfasfasdfasdfasfwerrysda" localSheetId="1" hidden="1">{#N/A,#N/A,TRUE,"Basic";#N/A,#N/A,TRUE,"EXT-TABLE";#N/A,#N/A,TRUE,"STEEL";#N/A,#N/A,TRUE,"INT-Table";#N/A,#N/A,TRUE,"STEEL";#N/A,#N/A,TRUE,"Door"}</definedName>
    <definedName name="asdfasfasdfasdfasfwerrysda" hidden="1">{#N/A,#N/A,TRUE,"Basic";#N/A,#N/A,TRUE,"EXT-TABLE";#N/A,#N/A,TRUE,"STEEL";#N/A,#N/A,TRUE,"INT-Table";#N/A,#N/A,TRUE,"STEEL";#N/A,#N/A,TRUE,"Door"}</definedName>
    <definedName name="asdfqwedf" localSheetId="1" hidden="1">{#N/A,#N/A,TRUE,"Basic";#N/A,#N/A,TRUE,"EXT-TABLE";#N/A,#N/A,TRUE,"STEEL";#N/A,#N/A,TRUE,"INT-Table";#N/A,#N/A,TRUE,"STEEL";#N/A,#N/A,TRUE,"Door"}</definedName>
    <definedName name="asdfqwedf" hidden="1">{#N/A,#N/A,TRUE,"Basic";#N/A,#N/A,TRUE,"EXT-TABLE";#N/A,#N/A,TRUE,"STEEL";#N/A,#N/A,TRUE,"INT-Table";#N/A,#N/A,TRUE,"STEEL";#N/A,#N/A,TRUE,"Door"}</definedName>
    <definedName name="asfasdfasfasdf" localSheetId="1" hidden="1">{#N/A,#N/A,TRUE,"Basic";#N/A,#N/A,TRUE,"EXT-TABLE";#N/A,#N/A,TRUE,"STEEL";#N/A,#N/A,TRUE,"INT-Table";#N/A,#N/A,TRUE,"STEEL";#N/A,#N/A,TRUE,"Door"}</definedName>
    <definedName name="asfasdfasfasdf" hidden="1">{#N/A,#N/A,TRUE,"Basic";#N/A,#N/A,TRUE,"EXT-TABLE";#N/A,#N/A,TRUE,"STEEL";#N/A,#N/A,TRUE,"INT-Table";#N/A,#N/A,TRUE,"STEEL";#N/A,#N/A,TRUE,"Door"}</definedName>
    <definedName name="aux._cons._size">#REF!</definedName>
    <definedName name="B" localSheetId="1" hidden="1">#REF!</definedName>
    <definedName name="B" localSheetId="2" hidden="1">#REF!</definedName>
    <definedName name="B" hidden="1">#REF!</definedName>
    <definedName name="B_PL_PF" localSheetId="1">'[7]Load List_0.B'!#REF!</definedName>
    <definedName name="B_PL_PF">'[8]Load List_0.B'!#REF!</definedName>
    <definedName name="BASE" localSheetId="1" hidden="1">{#N/A,#N/A,TRUE,"Basic";#N/A,#N/A,TRUE,"EXT-TABLE";#N/A,#N/A,TRUE,"STEEL";#N/A,#N/A,TRUE,"INT-Table";#N/A,#N/A,TRUE,"STEEL";#N/A,#N/A,TRUE,"Door"}</definedName>
    <definedName name="BASE" hidden="1">{#N/A,#N/A,TRUE,"Basic";#N/A,#N/A,TRUE,"EXT-TABLE";#N/A,#N/A,TRUE,"STEEL";#N/A,#N/A,TRUE,"INT-Table";#N/A,#N/A,TRUE,"STEEL";#N/A,#N/A,TRUE,"Door"}</definedName>
    <definedName name="Base_Gland" localSheetId="1">#REF!</definedName>
    <definedName name="Base_Gland" localSheetId="0">#REF!</definedName>
    <definedName name="Base_Gland" localSheetId="2">#REF!</definedName>
    <definedName name="Base_Gland">#REF!</definedName>
    <definedName name="bcd" localSheetId="1" hidden="1">{#N/A,#N/A,TRUE,"Basic";#N/A,#N/A,TRUE,"EXT-TABLE";#N/A,#N/A,TRUE,"STEEL";#N/A,#N/A,TRUE,"INT-Table";#N/A,#N/A,TRUE,"STEEL";#N/A,#N/A,TRUE,"Door"}</definedName>
    <definedName name="bcd" hidden="1">{#N/A,#N/A,TRUE,"Basic";#N/A,#N/A,TRUE,"EXT-TABLE";#N/A,#N/A,TRUE,"STEEL";#N/A,#N/A,TRUE,"INT-Table";#N/A,#N/A,TRUE,"STEEL";#N/A,#N/A,TRUE,"Door"}</definedName>
    <definedName name="BELL" localSheetId="1" hidden="1">{#N/A,#N/A,TRUE,"Basic";#N/A,#N/A,TRUE,"EXT-TABLE";#N/A,#N/A,TRUE,"STEEL";#N/A,#N/A,TRUE,"INT-Table";#N/A,#N/A,TRUE,"STEEL";#N/A,#N/A,TRUE,"Door"}</definedName>
    <definedName name="BELL" hidden="1">{#N/A,#N/A,TRUE,"Basic";#N/A,#N/A,TRUE,"EXT-TABLE";#N/A,#N/A,TRUE,"STEEL";#N/A,#N/A,TRUE,"INT-Table";#N/A,#N/A,TRUE,"STEEL";#N/A,#N/A,TRUE,"Door"}</definedName>
    <definedName name="Bereich_FO" localSheetId="1">'[9]Load List(원본)'!$X$10:$Y$609,'[9]Load List(원본)'!$T$10:$T$609,'[9]Load List(원본)'!#REF!,'[9]Load List(원본)'!$Z$10:$AE$609,'[9]Load List(원본)'!#REF!,'[9]Load List(원본)'!#REF!</definedName>
    <definedName name="Bereich_FO">'[10]Load List(원본)'!$X$10:$Y$609,'[10]Load List(원본)'!$T$10:$T$609,'[10]Load List(원본)'!#REF!,'[10]Load List(원본)'!$Z$10:$AE$609,'[10]Load List(원본)'!#REF!,'[10]Load List(원본)'!#REF!</definedName>
    <definedName name="Bereich_Formeln" localSheetId="1">'[9]Load List(원본)'!#REF!,'[9]Load List(원본)'!$A$9:$AE$681</definedName>
    <definedName name="Bereich_Formeln">'[10]Load List(원본)'!#REF!,'[10]Load List(원본)'!$A$9:$AE$681</definedName>
    <definedName name="BKW" localSheetId="1">#REF!</definedName>
    <definedName name="BKW" localSheetId="2">#REF!</definedName>
    <definedName name="BKW">#REF!</definedName>
    <definedName name="cable_cross_s_PVC_1kV" localSheetId="1">#REF!</definedName>
    <definedName name="cable_cross_s_PVC_1kV">#REF!</definedName>
    <definedName name="cable_cross_s_XLPE_10kV">#REF!</definedName>
    <definedName name="cable_cross_s_XLPE_1kV">#REF!</definedName>
    <definedName name="cable_cross_s_XLPE_30kV">#REF!</definedName>
    <definedName name="cable_current_PVC_1kV">#REF!</definedName>
    <definedName name="cable_current_XLPE_10kV">#REF!</definedName>
    <definedName name="cable_current_XLPE_1kV">#REF!</definedName>
    <definedName name="cable_current_XLPE_30kV">#REF!</definedName>
    <definedName name="cable_data_PVC_1kV">#REF!</definedName>
    <definedName name="cable_data_XLPE_10kV">#REF!</definedName>
    <definedName name="cable_data_XLPE_1kV">#REF!</definedName>
    <definedName name="cable_data_XLPE_30kV">#REF!</definedName>
    <definedName name="cable_length" localSheetId="1">'[7]Load List_0.B'!#REF!</definedName>
    <definedName name="cable_length">'[8]Load List_0.B'!#REF!</definedName>
    <definedName name="cable_type" localSheetId="1">'[7]Load List_0.B'!#REF!</definedName>
    <definedName name="cable_type">'[8]Load List_0.B'!#REF!</definedName>
    <definedName name="CBL600V" localSheetId="1">#REF!</definedName>
    <definedName name="CBL600V" localSheetId="2">#REF!</definedName>
    <definedName name="CBL600V">#REF!</definedName>
    <definedName name="CBL6KV" localSheetId="1">#REF!</definedName>
    <definedName name="CBL6KV" localSheetId="2">#REF!</definedName>
    <definedName name="CBL6KV">#REF!</definedName>
    <definedName name="chl" localSheetId="1" hidden="1">{#N/A,#N/A,TRUE,"Basic";#N/A,#N/A,TRUE,"EXT-TABLE";#N/A,#N/A,TRUE,"STEEL";#N/A,#N/A,TRUE,"INT-Table";#N/A,#N/A,TRUE,"STEEL";#N/A,#N/A,TRUE,"Door"}</definedName>
    <definedName name="chl" hidden="1">{#N/A,#N/A,TRUE,"Basic";#N/A,#N/A,TRUE,"EXT-TABLE";#N/A,#N/A,TRUE,"STEEL";#N/A,#N/A,TRUE,"INT-Table";#N/A,#N/A,TRUE,"STEEL";#N/A,#N/A,TRUE,"Door"}</definedName>
    <definedName name="client_doc_no">#REF!</definedName>
    <definedName name="Client_Logo__if_any">#REF!</definedName>
    <definedName name="client_proj_code">#REF!</definedName>
    <definedName name="client_proj_no">#REF!</definedName>
    <definedName name="Client2" localSheetId="1">[11]Coversheet!#REF!</definedName>
    <definedName name="Client2">[12]Coversheet!#REF!</definedName>
    <definedName name="compef" localSheetId="1">IF('[9]Load List(원본)'!$O1="FVNR",VLOOKUP('[9]Load List(원본)'!$T1,'CABLE TRAY'!MotorData,2,FALSE),IF('[9]Load List(원본)'!$O1="VVVF",VLOOKUP('[9]Load List(원본)'!$T1,'CABLE TRAY'!MotorData,4,FALSE),""))</definedName>
    <definedName name="compef">IF('[10]Load List(원본)'!$O1="FVNR",VLOOKUP('[10]Load List(원본)'!$T1,MotorData,2,FALSE),IF('[10]Load List(원본)'!$O1="VVVF",VLOOKUP('[10]Load List(원본)'!$T1,MotorData,4,FALSE),""))</definedName>
    <definedName name="compmd" localSheetId="1">INDEX('CABLE TRAY'!MD_power,MATCH('[9]Load List(원본)'!$S1*IF('[9]Load List(원본)'!$S1&lt;22,1.25,IF('[9]Load List(원본)'!$S1&gt;55,1.1,1.15))-0.01,'CABLE TRAY'!MD_power,1)+1)</definedName>
    <definedName name="compmd">INDEX(MD_power,MATCH('[10]Load List(원본)'!$S1*IF('[10]Load List(원본)'!$S1&lt;22,1.25,IF('[10]Load List(원본)'!$S1&gt;55,1.1,1.15))-0.01,MD_power,1)+1)</definedName>
    <definedName name="comppf" localSheetId="1">IF('[9]Load List(원본)'!$O1="FVNR",VLOOKUP('[9]Load List(원본)'!$T1,'CABLE TRAY'!MotorData,3,FALSE),IF('[9]Load List(원본)'!$O1="VVVF",VLOOKUP('[9]Load List(원본)'!$T1,'CABLE TRAY'!MotorData,5,FALSE),""))</definedName>
    <definedName name="comppf">IF('[10]Load List(원본)'!$O1="FVNR",VLOOKUP('[10]Load List(원본)'!$T1,MotorData,3,FALSE),IF('[10]Load List(원본)'!$O1="VVVF",VLOOKUP('[10]Load List(원본)'!$T1,MotorData,5,FALSE),""))</definedName>
    <definedName name="ConOutlet" localSheetId="1">#REF!</definedName>
    <definedName name="ConOutlet">#REF!</definedName>
    <definedName name="cost" localSheetId="1" hidden="1">{#N/A,#N/A,TRUE,"Basic";#N/A,#N/A,TRUE,"EXT-TABLE";#N/A,#N/A,TRUE,"STEEL";#N/A,#N/A,TRUE,"INT-Table";#N/A,#N/A,TRUE,"STEEL";#N/A,#N/A,TRUE,"Door"}</definedName>
    <definedName name="cost" hidden="1">{#N/A,#N/A,TRUE,"Basic";#N/A,#N/A,TRUE,"EXT-TABLE";#N/A,#N/A,TRUE,"STEEL";#N/A,#N/A,TRUE,"INT-Table";#N/A,#N/A,TRUE,"STEEL";#N/A,#N/A,TRUE,"Door"}</definedName>
    <definedName name="COST2" localSheetId="1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ver" hidden="1">#REF!</definedName>
    <definedName name="cpf" localSheetId="1" hidden="1">{#N/A,#N/A,TRUE,"Basic";#N/A,#N/A,TRUE,"EXT-TABLE";#N/A,#N/A,TRUE,"STEEL";#N/A,#N/A,TRUE,"INT-Table";#N/A,#N/A,TRUE,"STEEL";#N/A,#N/A,TRUE,"Door"}</definedName>
    <definedName name="cpf" hidden="1">{#N/A,#N/A,TRUE,"Basic";#N/A,#N/A,TRUE,"EXT-TABLE";#N/A,#N/A,TRUE,"STEEL";#N/A,#N/A,TRUE,"INT-Table";#N/A,#N/A,TRUE,"STEEL";#N/A,#N/A,TRUE,"Door"}</definedName>
    <definedName name="d" localSheetId="1">BlankMacro1</definedName>
    <definedName name="d" localSheetId="2">BlankMacro1</definedName>
    <definedName name="d">BlankMacro1</definedName>
    <definedName name="_xlnm.Database" localSheetId="1">#REF!</definedName>
    <definedName name="_xlnm.Database" localSheetId="2">#REF!</definedName>
    <definedName name="_xlnm.Database">#REF!</definedName>
    <definedName name="DATE" localSheetId="1">#REF!</definedName>
    <definedName name="DATE" localSheetId="2">#REF!</definedName>
    <definedName name="DATE">#REF!</definedName>
    <definedName name="DBIndoor">#REF!</definedName>
    <definedName name="DBInLTG">#REF!</definedName>
    <definedName name="DBOutdoor">#REF!</definedName>
    <definedName name="DBOutLTG">#REF!</definedName>
    <definedName name="dd">[13]eq_data!$C$5:$C$54</definedName>
    <definedName name="DDD" localSheetId="1">#REF!</definedName>
    <definedName name="DDD" localSheetId="0">#REF!</definedName>
    <definedName name="DDD" localSheetId="2">#REF!</definedName>
    <definedName name="DDD">#REF!</definedName>
    <definedName name="ddddd" localSheetId="1" hidden="1">{#N/A,#N/A,TRUE,"Basic";#N/A,#N/A,TRUE,"EXT-TABLE";#N/A,#N/A,TRUE,"STEEL";#N/A,#N/A,TRUE,"INT-Table";#N/A,#N/A,TRUE,"STEEL";#N/A,#N/A,TRUE,"Door"}</definedName>
    <definedName name="ddddd" hidden="1">{#N/A,#N/A,TRUE,"Basic";#N/A,#N/A,TRUE,"EXT-TABLE";#N/A,#N/A,TRUE,"STEEL";#N/A,#N/A,TRUE,"INT-Table";#N/A,#N/A,TRUE,"STEEL";#N/A,#N/A,TRUE,"Door"}</definedName>
    <definedName name="dddddddddddddd" localSheetId="1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LVxls_Base" localSheetId="1">#REF!</definedName>
    <definedName name="DDLVxls_Base" localSheetId="0">#REF!</definedName>
    <definedName name="DDLVxls_Base" localSheetId="2">#REF!</definedName>
    <definedName name="DDLVxls_Base" localSheetId="3">#REF!</definedName>
    <definedName name="DDLVxls_Base">#REF!</definedName>
    <definedName name="Del_P" localSheetId="1">#REF!</definedName>
    <definedName name="Del_P" localSheetId="2">#REF!</definedName>
    <definedName name="Del_P">#REF!</definedName>
    <definedName name="df" localSheetId="1">{0,0,0,0;0,0,0,0;0,0,0,0;0,0,0,0;0,0,0,0;0,0,0,0}</definedName>
    <definedName name="df">{0,0,0,0;0,0,0,0;0,0,0,0;0,0,0,0;0,0,0,0;0,0,0,0}</definedName>
    <definedName name="dfdf" localSheetId="1">{0,0,0,0;0,0,0,0;0,0,0,0;0,0,0,0;0,0,0,0;0,0,0,0}</definedName>
    <definedName name="dfdf">{0,0,0,0;0,0,0,0;0,0,0,0;0,0,0,0;0,0,0,0;0,0,0,0}</definedName>
    <definedName name="dfdfd" localSheetId="1">{0,0,0,0;0,0,0,0;0,0,0,0;0,0,0,0;0,0,0,0;0,0,0,0}</definedName>
    <definedName name="dfdfd">{0,0,0,0;0,0,0,0;0,0,0,0;0,0,0,0;0,0,0,0;0,0,0,0}</definedName>
    <definedName name="DFG" hidden="1">#REF!</definedName>
    <definedName name="DFH" hidden="1">#REF!</definedName>
    <definedName name="dgagd" localSheetId="1" hidden="1">{#N/A,#N/A,TRUE,"Basic";#N/A,#N/A,TRUE,"EXT-TABLE";#N/A,#N/A,TRUE,"STEEL";#N/A,#N/A,TRUE,"INT-Table";#N/A,#N/A,TRUE,"STEEL";#N/A,#N/A,TRUE,"Door"}</definedName>
    <definedName name="dgagd" hidden="1">{#N/A,#N/A,TRUE,"Basic";#N/A,#N/A,TRUE,"EXT-TABLE";#N/A,#N/A,TRUE,"STEEL";#N/A,#N/A,TRUE,"INT-Table";#N/A,#N/A,TRUE,"STEEL";#N/A,#N/A,TRUE,"Door"}</definedName>
    <definedName name="DIGN" localSheetId="1" hidden="1">{#N/A,#N/A,TRUE,"Basic";#N/A,#N/A,TRUE,"EXT-TABLE";#N/A,#N/A,TRUE,"STEEL";#N/A,#N/A,TRUE,"INT-Table";#N/A,#N/A,TRUE,"STEEL";#N/A,#N/A,TRUE,"Door"}</definedName>
    <definedName name="DIGN" hidden="1">{#N/A,#N/A,TRUE,"Basic";#N/A,#N/A,TRUE,"EXT-TABLE";#N/A,#N/A,TRUE,"STEEL";#N/A,#N/A,TRUE,"INT-Table";#N/A,#N/A,TRUE,"STEEL";#N/A,#N/A,TRUE,"Door"}</definedName>
    <definedName name="DJDJ" localSheetId="1">BlankMacro1</definedName>
    <definedName name="DJDJ" localSheetId="2">BlankMacro1</definedName>
    <definedName name="DJDJ">BlankMacro1</definedName>
    <definedName name="DKDLFJKDS" localSheetId="1" hidden="1">{#N/A,#N/A,TRUE,"Basic";#N/A,#N/A,TRUE,"EXT-TABLE";#N/A,#N/A,TRUE,"STEEL";#N/A,#N/A,TRUE,"INT-Table";#N/A,#N/A,TRUE,"STEEL";#N/A,#N/A,TRUE,"Door"}</definedName>
    <definedName name="DKDLFJKDS" hidden="1">{#N/A,#N/A,TRUE,"Basic";#N/A,#N/A,TRUE,"EXT-TABLE";#N/A,#N/A,TRUE,"STEEL";#N/A,#N/A,TRUE,"INT-Table";#N/A,#N/A,TRUE,"STEEL";#N/A,#N/A,TRUE,"Door"}</definedName>
    <definedName name="doc_no">#REF!</definedName>
    <definedName name="dSKEWRATIO">"1.097"</definedName>
    <definedName name="dwv" localSheetId="1" hidden="1">{#N/A,#N/A,TRUE,"Basic";#N/A,#N/A,TRUE,"EXT-TABLE";#N/A,#N/A,TRUE,"STEEL";#N/A,#N/A,TRUE,"INT-Table";#N/A,#N/A,TRUE,"STEEL";#N/A,#N/A,TRUE,"Door"}</definedName>
    <definedName name="dwv" hidden="1">{#N/A,#N/A,TRUE,"Basic";#N/A,#N/A,TRUE,"EXT-TABLE";#N/A,#N/A,TRUE,"STEEL";#N/A,#N/A,TRUE,"INT-Table";#N/A,#N/A,TRUE,"STEEL";#N/A,#N/A,TRUE,"Door"}</definedName>
    <definedName name="EARTHCable">#REF!</definedName>
    <definedName name="Ef" localSheetId="1">#REF!</definedName>
    <definedName name="Ef" localSheetId="2">#REF!</definedName>
    <definedName name="Ef">#REF!</definedName>
    <definedName name="EPDB" hidden="1">#REF!</definedName>
    <definedName name="EQ">[13]eq_data!$C$5:$C$54</definedName>
    <definedName name="eq_name">[13]eq_data!$C$5:$C$54</definedName>
    <definedName name="eqname" localSheetId="1">[14]eq_data!$C$5:$C$54</definedName>
    <definedName name="eqname">[15]eq_data!$C$5:$C$54</definedName>
    <definedName name="EQUIPMENT_____LIST" localSheetId="1">#REF!</definedName>
    <definedName name="EQUIPMENT_____LIST" localSheetId="2">#REF!</definedName>
    <definedName name="EQUIPMENT_____LIST">#REF!</definedName>
    <definedName name="ErrName301948010" localSheetId="1">{0,0,0,0;0,0,0,0;0,0,0,0;0,0,0,0;0,0,0,0;0,0,0,0}</definedName>
    <definedName name="ErrName301948010">{0,0,0,0;0,0,0,0;0,0,0,0;0,0,0,0;0,0,0,0;0,0,0,0}</definedName>
    <definedName name="FACable">#REF!</definedName>
    <definedName name="fasfsdfsdfasdfsdfsd" localSheetId="1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ffff" localSheetId="1" hidden="1">{#N/A,#N/A,TRUE,"Basic";#N/A,#N/A,TRUE,"EXT-TABLE";#N/A,#N/A,TRUE,"STEEL";#N/A,#N/A,TRUE,"INT-Table";#N/A,#N/A,TRUE,"STEEL";#N/A,#N/A,TRUE,"Door"}</definedName>
    <definedName name="fffff" hidden="1">{#N/A,#N/A,TRUE,"Basic";#N/A,#N/A,TRUE,"EXT-TABLE";#N/A,#N/A,TRUE,"STEEL";#N/A,#N/A,TRUE,"INT-Table";#N/A,#N/A,TRUE,"STEEL";#N/A,#N/A,TRUE,"Door"}</definedName>
    <definedName name="Fill" hidden="1">#REF!</definedName>
    <definedName name="fsda" localSheetId="1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aa" localSheetId="1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urniture" localSheetId="1" hidden="1">{#N/A,#N/A,TRUE,"Basic";#N/A,#N/A,TRUE,"EXT-TABLE";#N/A,#N/A,TRUE,"STEEL";#N/A,#N/A,TRUE,"INT-Table";#N/A,#N/A,TRUE,"STEEL";#N/A,#N/A,TRUE,"Door"}</definedName>
    <definedName name="Furniture" hidden="1">{#N/A,#N/A,TRUE,"Basic";#N/A,#N/A,TRUE,"EXT-TABLE";#N/A,#N/A,TRUE,"STEEL";#N/A,#N/A,TRUE,"INT-Table";#N/A,#N/A,TRUE,"STEEL";#N/A,#N/A,TRUE,"Door"}</definedName>
    <definedName name="gfh" hidden="1">'[16]L V Separator'!#REF!</definedName>
    <definedName name="GLAND" localSheetId="1">{0,0,0,0;0,0,0,0;0,0,0,0;0,0,0,0;0,0,0,0;0,0,0,0}</definedName>
    <definedName name="GLAND">{0,0,0,0;0,0,0,0;0,0,0,0;0,0,0,0;0,0,0,0;0,0,0,0}</definedName>
    <definedName name="GLAND600V" localSheetId="1">#REF!</definedName>
    <definedName name="GLAND600V" localSheetId="2">#REF!</definedName>
    <definedName name="GLAND600V">#REF!</definedName>
    <definedName name="GLAND6KV" localSheetId="1">#REF!</definedName>
    <definedName name="GLAND6KV" localSheetId="2">#REF!</definedName>
    <definedName name="GLAND6KV">#REF!</definedName>
    <definedName name="HHH" localSheetId="1" hidden="1">{#N/A,#N/A,TRUE,"Basic";#N/A,#N/A,TRUE,"EXT-TABLE";#N/A,#N/A,TRUE,"STEEL";#N/A,#N/A,TRUE,"INT-Table";#N/A,#N/A,TRUE,"STEEL";#N/A,#N/A,TRUE,"Door"}</definedName>
    <definedName name="HHH" hidden="1">{#N/A,#N/A,TRUE,"Basic";#N/A,#N/A,TRUE,"EXT-TABLE";#N/A,#N/A,TRUE,"STEEL";#N/A,#N/A,TRUE,"INT-Table";#N/A,#N/A,TRUE,"STEEL";#N/A,#N/A,TRUE,"Door"}</definedName>
    <definedName name="hhhh" hidden="1">#REF!</definedName>
    <definedName name="HP">#REF!</definedName>
    <definedName name="HTML" localSheetId="1">{"'Sheet1'!$L$16"}</definedName>
    <definedName name="HTML">{"'Sheet1'!$L$16"}</definedName>
    <definedName name="HTML_CodePage">950</definedName>
    <definedName name="HTML_Control" localSheetId="1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B">[17]cable!$C$1:$X$35</definedName>
    <definedName name="huy" localSheetId="1">{"'Sheet1'!$L$16"}</definedName>
    <definedName name="huy">{"'Sheet1'!$L$16"}</definedName>
    <definedName name="Hyd_P" localSheetId="1">#REF!</definedName>
    <definedName name="Hyd_P" localSheetId="2">#REF!</definedName>
    <definedName name="Hyd_P">#REF!</definedName>
    <definedName name="ID600V" localSheetId="1">#REF!</definedName>
    <definedName name="ID600V" localSheetId="2">#REF!</definedName>
    <definedName name="ID600V">#REF!</definedName>
    <definedName name="ID6KV" localSheetId="1">#REF!</definedName>
    <definedName name="ID6KV" localSheetId="2">#REF!</definedName>
    <definedName name="ID6KV">#REF!</definedName>
    <definedName name="Inq_List" localSheetId="1">#REF!</definedName>
    <definedName name="Inq_List" localSheetId="2">#REF!</definedName>
    <definedName name="Inq_List">#REF!</definedName>
    <definedName name="Inq_No" localSheetId="1">#REF!</definedName>
    <definedName name="Inq_No" localSheetId="2">#REF!</definedName>
    <definedName name="Inq_No">#REF!</definedName>
    <definedName name="issue">#REF!</definedName>
    <definedName name="Issue1">#REF!</definedName>
    <definedName name="Issue2">#REF!</definedName>
    <definedName name="Issue3">#REF!</definedName>
    <definedName name="Issue4">#REF!</definedName>
    <definedName name="Item_No" localSheetId="1">#REF!</definedName>
    <definedName name="Item_No" localSheetId="2">#REF!</definedName>
    <definedName name="Item_No">#REF!</definedName>
    <definedName name="JB" localSheetId="1">{0,0,0,0;0,0,0,0;0,0,0,0;0,0,0,0;0,0,0,0;0,0,0,0}</definedName>
    <definedName name="JB">{0,0,0,0;0,0,0,0;0,0,0,0;0,0,0,0;0,0,0,0;0,0,0,0}</definedName>
    <definedName name="LBL_TITLE_COVER" localSheetId="1">[11]Coversheet!#REF!</definedName>
    <definedName name="LBL_TITLE_COVER">[12]Coversheet!#REF!</definedName>
    <definedName name="LCS" localSheetId="1">#REF!</definedName>
    <definedName name="LCS">#REF!</definedName>
    <definedName name="Lead" localSheetId="2">[18]!Lead</definedName>
    <definedName name="Lead">[18]!Lead</definedName>
    <definedName name="LEE" localSheetId="1" hidden="1">{#N/A,#N/A,TRUE,"Basic";#N/A,#N/A,TRUE,"EXT-TABLE";#N/A,#N/A,TRUE,"STEEL";#N/A,#N/A,TRUE,"INT-Table";#N/A,#N/A,TRUE,"STEEL";#N/A,#N/A,TRUE,"Door"}</definedName>
    <definedName name="LEE" hidden="1">{#N/A,#N/A,TRUE,"Basic";#N/A,#N/A,TRUE,"EXT-TABLE";#N/A,#N/A,TRUE,"STEEL";#N/A,#N/A,TRUE,"INT-Table";#N/A,#N/A,TRUE,"STEEL";#N/A,#N/A,TRUE,"Door"}</definedName>
    <definedName name="Lighting1">#REF!</definedName>
    <definedName name="Lighting2">#REF!</definedName>
    <definedName name="linde_logo">#REF!</definedName>
    <definedName name="list" localSheetId="1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01" localSheetId="1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localSheetId="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ookUp_Range">[19]Units!$B$3:$DA$8</definedName>
    <definedName name="LTGCable" localSheetId="1">#REF!</definedName>
    <definedName name="LTGCable">#REF!</definedName>
    <definedName name="MD_power" localSheetId="1">#REF!</definedName>
    <definedName name="MD_power">#REF!</definedName>
    <definedName name="mi" localSheetId="1">#REF!</definedName>
    <definedName name="mi" localSheetId="2">#REF!</definedName>
    <definedName name="mi">#REF!</definedName>
    <definedName name="mis" localSheetId="1">BlankMacro1</definedName>
    <definedName name="mis">BlankMacro1</definedName>
    <definedName name="Miscel" localSheetId="1">BlankMacro1</definedName>
    <definedName name="Miscel">BlankMacro1</definedName>
    <definedName name="miss2" localSheetId="1">BlankMacro1</definedName>
    <definedName name="miss2">BlankMacro1</definedName>
    <definedName name="motor_size" localSheetId="1">#REF!</definedName>
    <definedName name="motor_size">#REF!</definedName>
    <definedName name="MotorData" localSheetId="1">#REF!</definedName>
    <definedName name="MotorData">#REF!</definedName>
    <definedName name="n" localSheetId="1" hidden="1">#REF!</definedName>
    <definedName name="n" hidden="1">#REF!</definedName>
    <definedName name="NEWNAME" localSheetId="1" hidden="1">{#N/A,#N/A,FALSE,"CCTV"}</definedName>
    <definedName name="NEWNAME" hidden="1">{#N/A,#N/A,FALSE,"CCTV"}</definedName>
    <definedName name="Nickel" localSheetId="2">[18]!Nickel</definedName>
    <definedName name="Nickel">[18]!Nickel</definedName>
    <definedName name="Panel" localSheetId="1" hidden="1">{#N/A,#N/A,TRUE,"Basic";#N/A,#N/A,TRUE,"EXT-TABLE";#N/A,#N/A,TRUE,"STEEL";#N/A,#N/A,TRUE,"INT-Table";#N/A,#N/A,TRUE,"STEEL";#N/A,#N/A,TRUE,"Door"}</definedName>
    <definedName name="Panel" hidden="1">{#N/A,#N/A,TRUE,"Basic";#N/A,#N/A,TRUE,"EXT-TABLE";#N/A,#N/A,TRUE,"STEEL";#N/A,#N/A,TRUE,"INT-Table";#N/A,#N/A,TRUE,"STEEL";#N/A,#N/A,TRUE,"Door"}</definedName>
    <definedName name="path">#REF!</definedName>
    <definedName name="PF">[17]cable!$C$42:$X$43</definedName>
    <definedName name="PHASE" localSheetId="1" hidden="1">{#N/A,#N/A,TRUE,"Basic";#N/A,#N/A,TRUE,"EXT-TABLE";#N/A,#N/A,TRUE,"STEEL";#N/A,#N/A,TRUE,"INT-Table";#N/A,#N/A,TRUE,"STEEL";#N/A,#N/A,TRUE,"Door"}</definedName>
    <definedName name="PHASE" hidden="1">{#N/A,#N/A,TRUE,"Basic";#N/A,#N/A,TRUE,"EXT-TABLE";#N/A,#N/A,TRUE,"STEEL";#N/A,#N/A,TRUE,"INT-Table";#N/A,#N/A,TRUE,"STEEL";#N/A,#N/A,TRUE,"Door"}</definedName>
    <definedName name="plant_desc">#REF!</definedName>
    <definedName name="plant_description">#REF!</definedName>
    <definedName name="_xlnm.Print_Area" localSheetId="1">'CABLE TRAY'!$A$1:$P$223</definedName>
    <definedName name="_xlnm.Print_Area" localSheetId="0">'Concrete Trench'!$A$1:$K$24</definedName>
    <definedName name="_xlnm.Print_Area" localSheetId="2">'Direct Buried'!$A$1:$K$130</definedName>
    <definedName name="_xlnm.Print_Area" localSheetId="3">'DUCT BANK'!$A$1:$N$75</definedName>
    <definedName name="_xlnm.Print_Area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1">#REF!</definedName>
    <definedName name="_xlnm.Print_Titles" localSheetId="0">'Concrete Trench'!$1:$5</definedName>
    <definedName name="_xlnm.Print_Titles" localSheetId="2">'Direct Buried'!$1:$5</definedName>
    <definedName name="_xlnm.Print_Titles" localSheetId="3">'DUCT BANK'!$1:$5</definedName>
    <definedName name="_xlnm.Print_Titles">#REF!</definedName>
    <definedName name="proj_code" localSheetId="1">#REF!</definedName>
    <definedName name="proj_code">#REF!</definedName>
    <definedName name="proj_no">#REF!</definedName>
    <definedName name="PSV006AB" localSheetId="1" hidden="1">{#N/A,#N/A,TRUE,"sheet 1";#N/A,#N/A,TRUE,"sheet 2";#N/A,#N/A,TRUE,"PSV Calculation";#N/A,#N/A,TRUE,"Stoffdaten"}</definedName>
    <definedName name="PSV006AB" hidden="1">{#N/A,#N/A,TRUE,"sheet 1";#N/A,#N/A,TRUE,"sheet 2";#N/A,#N/A,TRUE,"PSV Calculation";#N/A,#N/A,TRUE,"Stoffdaten"}</definedName>
    <definedName name="pump" localSheetId="1">BlankMacro1</definedName>
    <definedName name="pump" localSheetId="2">BlankMacro1</definedName>
    <definedName name="pump">BlankMacro1</definedName>
    <definedName name="Q" localSheetId="1">#REF!</definedName>
    <definedName name="Q" localSheetId="2">#REF!</definedName>
    <definedName name="Q">#REF!</definedName>
    <definedName name="QQQ" localSheetId="1">BlankMacro1</definedName>
    <definedName name="QQQ" localSheetId="2">BlankMacro1</definedName>
    <definedName name="QQQ">BlankMacro1</definedName>
    <definedName name="QQQQ" localSheetId="1" hidden="1">{#N/A,#N/A,TRUE,"Basic";#N/A,#N/A,TRUE,"EXT-TABLE";#N/A,#N/A,TRUE,"STEEL";#N/A,#N/A,TRUE,"INT-Table";#N/A,#N/A,TRUE,"STEEL";#N/A,#N/A,TRUE,"Door"}</definedName>
    <definedName name="QQQQ" hidden="1">{#N/A,#N/A,TRUE,"Basic";#N/A,#N/A,TRUE,"EXT-TABLE";#N/A,#N/A,TRUE,"STEEL";#N/A,#N/A,TRUE,"INT-Table";#N/A,#N/A,TRUE,"STEEL";#N/A,#N/A,TRUE,"Door"}</definedName>
    <definedName name="qqqqq" localSheetId="1" hidden="1">{#N/A,#N/A,TRUE,"Basic";#N/A,#N/A,TRUE,"EXT-TABLE";#N/A,#N/A,TRUE,"STEEL";#N/A,#N/A,TRUE,"INT-Table";#N/A,#N/A,TRUE,"STEEL";#N/A,#N/A,TRUE,"Door"}</definedName>
    <definedName name="qqqqq" hidden="1">{#N/A,#N/A,TRUE,"Basic";#N/A,#N/A,TRUE,"EXT-TABLE";#N/A,#N/A,TRUE,"STEEL";#N/A,#N/A,TRUE,"INT-Table";#N/A,#N/A,TRUE,"STEEL";#N/A,#N/A,TRUE,"Door"}</definedName>
    <definedName name="qw" localSheetId="1" hidden="1">{#N/A,#N/A,TRUE,"Basic";#N/A,#N/A,TRUE,"EXT-TABLE";#N/A,#N/A,TRUE,"STEEL";#N/A,#N/A,TRUE,"INT-Table";#N/A,#N/A,TRUE,"STEEL";#N/A,#N/A,TRUE,"Door"}</definedName>
    <definedName name="qw" hidden="1">{#N/A,#N/A,TRUE,"Basic";#N/A,#N/A,TRUE,"EXT-TABLE";#N/A,#N/A,TRUE,"STEEL";#N/A,#N/A,TRUE,"INT-Table";#N/A,#N/A,TRUE,"STEEL";#N/A,#N/A,TRUE,"Door"}</definedName>
    <definedName name="revision_mark">"Group 291"</definedName>
    <definedName name="Risk_Class">[20]Cover!$N$6:$O$14</definedName>
    <definedName name="RKQWL" localSheetId="1" hidden="1">{#N/A,#N/A,FALSE,"CCTV"}</definedName>
    <definedName name="RKQWL" hidden="1">{#N/A,#N/A,FALSE,"CCTV"}</definedName>
    <definedName name="rr" localSheetId="1" hidden="1">{#N/A,#N/A,TRUE,"Basic";#N/A,#N/A,TRUE,"EXT-TABLE";#N/A,#N/A,TRUE,"STEEL";#N/A,#N/A,TRUE,"INT-Table";#N/A,#N/A,TRUE,"STEEL";#N/A,#N/A,TRUE,"Door"}</definedName>
    <definedName name="rr" hidden="1">{#N/A,#N/A,TRUE,"Basic";#N/A,#N/A,TRUE,"EXT-TABLE";#N/A,#N/A,TRUE,"STEEL";#N/A,#N/A,TRUE,"INT-Table";#N/A,#N/A,TRUE,"STEEL";#N/A,#N/A,TRUE,"Door"}</definedName>
    <definedName name="RX">[17]cable!$C$1:$X$5</definedName>
    <definedName name="SA" localSheetId="1" hidden="1">#REF!</definedName>
    <definedName name="SA" hidden="1">#REF!</definedName>
    <definedName name="SAM" localSheetId="1" hidden="1">{#N/A,#N/A,TRUE,"Basic";#N/A,#N/A,TRUE,"EXT-TABLE";#N/A,#N/A,TRUE,"STEEL";#N/A,#N/A,TRUE,"INT-Table";#N/A,#N/A,TRUE,"STEEL";#N/A,#N/A,TRUE,"Door"}</definedName>
    <definedName name="SAM" hidden="1">{#N/A,#N/A,TRUE,"Basic";#N/A,#N/A,TRUE,"EXT-TABLE";#N/A,#N/A,TRUE,"STEEL";#N/A,#N/A,TRUE,"INT-Table";#N/A,#N/A,TRUE,"STEEL";#N/A,#N/A,TRUE,"Door"}</definedName>
    <definedName name="sb">#REF!</definedName>
    <definedName name="sddd" localSheetId="1">BlankMacro1</definedName>
    <definedName name="sddd" localSheetId="2">BlankMacro1</definedName>
    <definedName name="sddd">BlankMacro1</definedName>
    <definedName name="Section" localSheetId="1">[11]Coversheet!#REF!</definedName>
    <definedName name="Section">[12]Coversheet!#REF!</definedName>
    <definedName name="Sel_ACDC" localSheetId="1">#REF!</definedName>
    <definedName name="Sel_ACDC">#REF!</definedName>
    <definedName name="Sel_Area" localSheetId="1">#REF!</definedName>
    <definedName name="Sel_Area">#REF!</definedName>
    <definedName name="Sel_CableType">#REF!</definedName>
    <definedName name="Sel_dU">#REF!</definedName>
    <definedName name="Sel_LoadCategory">#REF!</definedName>
    <definedName name="Sel_LoudGroup">#REF!</definedName>
    <definedName name="Sel_Nodepoints">#REF!</definedName>
    <definedName name="Sel_OperationDuty">#REF!</definedName>
    <definedName name="Sel_Phases">#REF!</definedName>
    <definedName name="Sel_ReductionFactor">#REF!</definedName>
    <definedName name="Sel_Scope">#REF!</definedName>
    <definedName name="Sel_StarterType">#REF!</definedName>
    <definedName name="Sel_Status">#REF!</definedName>
    <definedName name="Sel_SynSpeed">#REF!</definedName>
    <definedName name="Sel_tb_gdb" localSheetId="1">#REF!</definedName>
    <definedName name="Sel_tb_gdb" localSheetId="0">#REF!</definedName>
    <definedName name="Sel_tb_gdb" localSheetId="2">#REF!</definedName>
    <definedName name="Sel_tb_gdb">#REF!</definedName>
    <definedName name="Sel_Type">#REF!</definedName>
    <definedName name="sel_typical">#REF!</definedName>
    <definedName name="Sel_Unit">#REF!</definedName>
    <definedName name="Sel_UserType">#REF!</definedName>
    <definedName name="Sel_Voltage">#REF!</definedName>
    <definedName name="Sel_X">#REF!</definedName>
    <definedName name="sEXTENDTS">"Y"</definedName>
    <definedName name="sf" hidden="1">#REF!</definedName>
    <definedName name="SG" localSheetId="1">#REF!</definedName>
    <definedName name="SG" localSheetId="2">#REF!</definedName>
    <definedName name="SG">#REF!</definedName>
    <definedName name="sheet" localSheetId="1" hidden="1">{#N/A,#N/A,FALSE,"CCTV"}</definedName>
    <definedName name="sheet" hidden="1">{#N/A,#N/A,FALSE,"CCTV"}</definedName>
    <definedName name="SHEET8" localSheetId="1">BlankMacro1</definedName>
    <definedName name="SHEET8" localSheetId="2">BlankMacro1</definedName>
    <definedName name="SHEET8">BlankMacro1</definedName>
    <definedName name="SHELTER" localSheetId="1" hidden="1">{#N/A,#N/A,TRUE,"Basic";#N/A,#N/A,TRUE,"EXT-TABLE";#N/A,#N/A,TRUE,"STEEL";#N/A,#N/A,TRUE,"INT-Table";#N/A,#N/A,TRUE,"STEEL";#N/A,#N/A,TRUE,"Door"}</definedName>
    <definedName name="SHELTER" hidden="1">{#N/A,#N/A,TRUE,"Basic";#N/A,#N/A,TRUE,"EXT-TABLE";#N/A,#N/A,TRUE,"STEEL";#N/A,#N/A,TRUE,"INT-Table";#N/A,#N/A,TRUE,"STEEL";#N/A,#N/A,TRUE,"Door"}</definedName>
    <definedName name="SIZE">[17]cable!$C$3:$X$25</definedName>
    <definedName name="sort" localSheetId="1">#REF!</definedName>
    <definedName name="sort" localSheetId="0">#REF!</definedName>
    <definedName name="sort" localSheetId="2">#REF!</definedName>
    <definedName name="sort">#REF!</definedName>
    <definedName name="Spalte" localSheetId="1">#REF!</definedName>
    <definedName name="Spalte">#REF!</definedName>
    <definedName name="SR" hidden="1">#REF!</definedName>
    <definedName name="ss" localSheetId="1">#REF!</definedName>
    <definedName name="ss" localSheetId="2">#REF!</definedName>
    <definedName name="ss">#REF!</definedName>
    <definedName name="sss" localSheetId="1" hidden="1">{#N/A,#N/A,TRUE,"Basic";#N/A,#N/A,TRUE,"EXT-TABLE";#N/A,#N/A,TRUE,"STEEL";#N/A,#N/A,TRUE,"INT-Table";#N/A,#N/A,TRUE,"STEEL";#N/A,#N/A,TRUE,"Door"}</definedName>
    <definedName name="sss" hidden="1">{#N/A,#N/A,TRUE,"Basic";#N/A,#N/A,TRUE,"EXT-TABLE";#N/A,#N/A,TRUE,"STEEL";#N/A,#N/A,TRUE,"INT-Table";#N/A,#N/A,TRUE,"STEEL";#N/A,#N/A,TRUE,"Door"}</definedName>
    <definedName name="ssss" localSheetId="1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ssssssssss" localSheetId="1">BlankMacro1</definedName>
    <definedName name="sssssssssss" localSheetId="2">BlankMacro1</definedName>
    <definedName name="sssssssssss">BlankMacro1</definedName>
    <definedName name="sssssssssssssssssss" localSheetId="1" hidden="1">{#N/A,#N/A,TRUE,"Basic";#N/A,#N/A,TRUE,"EXT-TABLE";#N/A,#N/A,TRUE,"STEEL";#N/A,#N/A,TRUE,"INT-Table";#N/A,#N/A,TRUE,"STEEL";#N/A,#N/A,TRUE,"Door"}</definedName>
    <definedName name="sssssssssssssssssss" hidden="1">{#N/A,#N/A,TRUE,"Basic";#N/A,#N/A,TRUE,"EXT-TABLE";#N/A,#N/A,TRUE,"STEEL";#N/A,#N/A,TRUE,"INT-Table";#N/A,#N/A,TRUE,"STEEL";#N/A,#N/A,TRUE,"Door"}</definedName>
    <definedName name="status">#REF!</definedName>
    <definedName name="sum" localSheetId="1" hidden="1">{#N/A,#N/A,TRUE,"Basic";#N/A,#N/A,TRUE,"EXT-TABLE";#N/A,#N/A,TRUE,"STEEL";#N/A,#N/A,TRUE,"INT-Table";#N/A,#N/A,TRUE,"STEEL";#N/A,#N/A,TRUE,"Door"}</definedName>
    <definedName name="sum" hidden="1">{#N/A,#N/A,TRUE,"Basic";#N/A,#N/A,TRUE,"EXT-TABLE";#N/A,#N/A,TRUE,"STEEL";#N/A,#N/A,TRUE,"INT-Table";#N/A,#N/A,TRUE,"STEEL";#N/A,#N/A,TRUE,"Door"}</definedName>
    <definedName name="SW_CL_kVar">SUMIF('[21]Load List(원본)'!$P$9:$P$609,'[21]Load List(원본)'!$B1,'[21]Load List(원본)'!$AA$9:$AA$609)</definedName>
    <definedName name="SW_CL_kW">SUMIF('[21]Load List(원본)'!$P$9:$P$609,'[21]Load List(원본)'!$B1,'[21]Load List(원본)'!$Z$9:$Z$609)</definedName>
    <definedName name="SW_CS_kVar">SUMIF('[21]Load List(원본)'!$P$9:$P$609,'[21]Load List(원본)'!$B1,'[21]Load List(원본)'!#REF!)</definedName>
    <definedName name="SW_CS_kW">SUMIF('[21]Load List(원본)'!$P$9:$P$609,'[21]Load List(원본)'!$B1,'[21]Load List(원본)'!#REF!)</definedName>
    <definedName name="SW_IO_kVar">SUMIF('[21]Load List(원본)'!$P$9:$P$609,'[21]Load List(원본)'!$B1,'[21]Load List(원본)'!$AE$9:$AE$609)</definedName>
    <definedName name="SW_IO_kW">SUMIF('[21]Load List(원본)'!$P$9:$P$609,'[21]Load List(원본)'!$B1,'[21]Load List(원본)'!$AD$9:$AD$609)</definedName>
    <definedName name="SW_IOD_kVar">SUMPRODUCT(('[21]Load List(원본)'!$P$9:$P$609='[21]Load List(원본)'!$B1)*1,('[21]Load List(원본)'!$AE$9:$AE$609),('[21]Load List(원본)'!$R$9:$R$609/100))</definedName>
    <definedName name="SW_IOD_kW">SUMPRODUCT(('[21]Load List(원본)'!$P$9:$P$609='[21]Load List(원본)'!$B1)*1,('[21]Load List(원본)'!$AD$9:$AD$609),('[21]Load List(원본)'!$R$9:$R$609/100))</definedName>
    <definedName name="SW_PL_kVar">SUMIF('[21]Load List(원본)'!$P$9:$P$609,'[21]Load List(원본)'!$B1,'[21]Load List(원본)'!$AC$9:$AC$609)</definedName>
    <definedName name="SW_PL_kW">SUMIF('[21]Load List(원본)'!$P$9:$P$609,'[21]Load List(원본)'!$B1,'[21]Load List(원본)'!$AB$9:$AB$609)</definedName>
    <definedName name="SWBR_5021A" localSheetId="1">#REF!</definedName>
    <definedName name="SWBR_5021A" localSheetId="0">#REF!</definedName>
    <definedName name="SWBR_5021A" localSheetId="2">#REF!</definedName>
    <definedName name="SWBR_5021A">#REF!</definedName>
    <definedName name="SWBR_5021B" localSheetId="1">#REF!</definedName>
    <definedName name="SWBR_5021B" localSheetId="0">#REF!</definedName>
    <definedName name="SWBR_5021B" localSheetId="2">#REF!</definedName>
    <definedName name="SWBR_5021B">#REF!</definedName>
    <definedName name="SWBR_5021E" localSheetId="1">#REF!</definedName>
    <definedName name="SWBR_5021E" localSheetId="0">#REF!</definedName>
    <definedName name="SWBR_5021E" localSheetId="2">#REF!</definedName>
    <definedName name="SWBR_5021E">#REF!</definedName>
    <definedName name="SWBR_5031A" localSheetId="1">#REF!</definedName>
    <definedName name="SWBR_5031A" localSheetId="0">#REF!</definedName>
    <definedName name="SWBR_5031A" localSheetId="2">#REF!</definedName>
    <definedName name="SWBR_5031A">#REF!</definedName>
    <definedName name="SWBR_5031B" localSheetId="1">#REF!</definedName>
    <definedName name="SWBR_5031B" localSheetId="0">#REF!</definedName>
    <definedName name="SWBR_5031B" localSheetId="2">#REF!</definedName>
    <definedName name="SWBR_5031B">#REF!</definedName>
    <definedName name="SWBR_5031E" localSheetId="1">#REF!</definedName>
    <definedName name="SWBR_5031E" localSheetId="0">#REF!</definedName>
    <definedName name="SWBR_5031E" localSheetId="2">#REF!</definedName>
    <definedName name="SWBR_5031E">#REF!</definedName>
    <definedName name="table" localSheetId="1">#REF!</definedName>
    <definedName name="table" localSheetId="0">#REF!</definedName>
    <definedName name="table" localSheetId="2">#REF!</definedName>
    <definedName name="table">#REF!</definedName>
    <definedName name="TABMOT" localSheetId="1">[22]SS2!#REF!</definedName>
    <definedName name="TABMOT" localSheetId="0">[22]SS2!#REF!</definedName>
    <definedName name="TABMOT" localSheetId="2">[22]SS2!#REF!</definedName>
    <definedName name="TABMOT">[22]SS2!#REF!</definedName>
    <definedName name="TC2C" localSheetId="1">#REF!</definedName>
    <definedName name="TC2C" localSheetId="2">#REF!</definedName>
    <definedName name="TC2C">#REF!</definedName>
    <definedName name="TC3C" localSheetId="1">#REF!</definedName>
    <definedName name="TC3C" localSheetId="2">#REF!</definedName>
    <definedName name="TC3C">#REF!</definedName>
    <definedName name="TC7C" localSheetId="1">#REF!</definedName>
    <definedName name="TC7C" localSheetId="2">#REF!</definedName>
    <definedName name="TC7C">#REF!</definedName>
    <definedName name="TC9C" localSheetId="1">#REF!</definedName>
    <definedName name="TC9C" localSheetId="2">#REF!</definedName>
    <definedName name="TC9C">#REF!</definedName>
    <definedName name="TelCable">#REF!</definedName>
    <definedName name="teri" localSheetId="1" hidden="1">{#N/A,#N/A,TRUE,"Basic";#N/A,#N/A,TRUE,"EXT-TABLE";#N/A,#N/A,TRUE,"STEEL";#N/A,#N/A,TRUE,"INT-Table";#N/A,#N/A,TRUE,"STEEL";#N/A,#N/A,TRUE,"Door"}</definedName>
    <definedName name="teri" hidden="1">{#N/A,#N/A,TRUE,"Basic";#N/A,#N/A,TRUE,"EXT-TABLE";#N/A,#N/A,TRUE,"STEEL";#N/A,#N/A,TRUE,"INT-Table";#N/A,#N/A,TRUE,"STEEL";#N/A,#N/A,TRUE,"Door"}</definedName>
    <definedName name="TrayLadder">#REF!</definedName>
    <definedName name="TrayPer">#REF!</definedName>
    <definedName name="Typical_LV">#REF!</definedName>
    <definedName name="typicals" localSheetId="1">'[7]Load List_0.B'!#REF!</definedName>
    <definedName name="typicals">'[8]Load List_0.B'!#REF!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NO">#REF!</definedName>
    <definedName name="Units_Value">[19]Instructions!$AO$18</definedName>
    <definedName name="vffsfs" localSheetId="1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fpdsv" localSheetId="1" hidden="1">{#N/A,#N/A,FALSE,"CCTV"}</definedName>
    <definedName name="vfpdsv" hidden="1">{#N/A,#N/A,FALSE,"CCTV"}</definedName>
    <definedName name="Voltage">#REF!</definedName>
    <definedName name="Waste" localSheetId="1" hidden="1">{#N/A,#N/A,TRUE,"Basic";#N/A,#N/A,TRUE,"EXT-TABLE";#N/A,#N/A,TRUE,"STEEL";#N/A,#N/A,TRUE,"INT-Table";#N/A,#N/A,TRUE,"STEEL";#N/A,#N/A,TRUE,"Door"}</definedName>
    <definedName name="Waste" hidden="1">{#N/A,#N/A,TRUE,"Basic";#N/A,#N/A,TRUE,"EXT-TABLE";#N/A,#N/A,TRUE,"STEEL";#N/A,#N/A,TRUE,"INT-Table";#N/A,#N/A,TRUE,"STEEL";#N/A,#N/A,TRUE,"Door"}</definedName>
    <definedName name="WEIGHT">#REF!</definedName>
    <definedName name="WFC" hidden="1">#REF!</definedName>
    <definedName name="WORKSHOP" localSheetId="1" hidden="1">{#N/A,#N/A,TRUE,"Basic";#N/A,#N/A,TRUE,"EXT-TABLE";#N/A,#N/A,TRUE,"STEEL";#N/A,#N/A,TRUE,"INT-Table";#N/A,#N/A,TRUE,"STEEL";#N/A,#N/A,TRUE,"Door"}</definedName>
    <definedName name="WORKSHOP" hidden="1">{#N/A,#N/A,TRUE,"Basic";#N/A,#N/A,TRUE,"EXT-TABLE";#N/A,#N/A,TRUE,"STEEL";#N/A,#N/A,TRUE,"INT-Table";#N/A,#N/A,TRUE,"STEEL";#N/A,#N/A,TRUE,"Door"}</definedName>
    <definedName name="WRITE" localSheetId="1" hidden="1">{#N/A,#N/A,FALSE,"CCTV"}</definedName>
    <definedName name="WRITE" hidden="1">{#N/A,#N/A,FALSE,"CCTV"}</definedName>
    <definedName name="wrn.BM." localSheetId="1" hidden="1">{#N/A,#N/A,TRUE,"Basic";#N/A,#N/A,TRUE,"EXT-TABLE";#N/A,#N/A,TRUE,"STEEL";#N/A,#N/A,TRUE,"INT-Table";#N/A,#N/A,TRUE,"STEEL";#N/A,#N/A,TRUE,"Door"}</definedName>
    <definedName name="wrn.BM." hidden="1">{#N/A,#N/A,TRUE,"Basic";#N/A,#N/A,TRUE,"EXT-TABLE";#N/A,#N/A,TRUE,"STEEL";#N/A,#N/A,TRUE,"INT-Table";#N/A,#N/A,TRUE,"STEEL";#N/A,#N/A,TRUE,"Door"}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PSV." localSheetId="1" hidden="1">{#N/A,#N/A,TRUE,"sheet 1";#N/A,#N/A,TRUE,"sheet 2";#N/A,#N/A,TRUE,"PSV Calculation";#N/A,#N/A,TRUE,"Stoffdaten"}</definedName>
    <definedName name="wrn.PSV." hidden="1">{#N/A,#N/A,TRUE,"sheet 1";#N/A,#N/A,TRUE,"sheet 2";#N/A,#N/A,TRUE,"PSV Calculation";#N/A,#N/A,TRUE,"Stoffdaten"}</definedName>
    <definedName name="X">#REF!</definedName>
    <definedName name="XX" localSheetId="1">BlankMacro1</definedName>
    <definedName name="XX">BlankMacro1</definedName>
    <definedName name="Y" localSheetId="1" hidden="1">#REF!</definedName>
    <definedName name="Y" hidden="1">#REF!</definedName>
    <definedName name="y46h45rhy" localSheetId="1" hidden="1">{#N/A,#N/A,FALSE,"CCTV"}</definedName>
    <definedName name="y46h45rhy" hidden="1">{#N/A,#N/A,FALSE,"CCTV"}</definedName>
    <definedName name="ynkim" localSheetId="1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Z">#REF!</definedName>
    <definedName name="Zone_impres_MI" localSheetId="1">#REF!</definedName>
    <definedName name="Zone_impres_MI" localSheetId="2">#REF!</definedName>
    <definedName name="Zone_impres_MI">#REF!</definedName>
    <definedName name="ㄱ미" localSheetId="1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감" localSheetId="1" hidden="1">{#N/A,#N/A,TRUE,"Basic";#N/A,#N/A,TRUE,"EXT-TABLE";#N/A,#N/A,TRUE,"STEEL";#N/A,#N/A,TRUE,"INT-Table";#N/A,#N/A,TRUE,"STEEL";#N/A,#N/A,TRUE,"Door"}</definedName>
    <definedName name="감" hidden="1">{#N/A,#N/A,TRUE,"Basic";#N/A,#N/A,TRUE,"EXT-TABLE";#N/A,#N/A,TRUE,"STEEL";#N/A,#N/A,TRUE,"INT-Table";#N/A,#N/A,TRUE,"STEEL";#N/A,#N/A,TRUE,"Door"}</definedName>
    <definedName name="갑지2" localSheetId="1" hidden="1">{#N/A,#N/A,FALSE,"CCTV"}</definedName>
    <definedName name="갑지2" hidden="1">{#N/A,#N/A,FALSE,"CCTV"}</definedName>
    <definedName name="갑지A" localSheetId="1" hidden="1">{#N/A,#N/A,FALSE,"CCTV"}</definedName>
    <definedName name="갑지A" hidden="1">{#N/A,#N/A,FALSE,"CCTV"}</definedName>
    <definedName name="갑지B" localSheetId="1" hidden="1">{#N/A,#N/A,FALSE,"CCTV"}</definedName>
    <definedName name="갑지B" hidden="1">{#N/A,#N/A,FALSE,"CCTV"}</definedName>
    <definedName name="겉표지" localSheetId="1" hidden="1">{#N/A,#N/A,TRUE,"Basic";#N/A,#N/A,TRUE,"EXT-TABLE";#N/A,#N/A,TRUE,"STEEL";#N/A,#N/A,TRUE,"INT-Table";#N/A,#N/A,TRUE,"STEEL";#N/A,#N/A,TRUE,"Door"}</definedName>
    <definedName name="겉표지" hidden="1">{#N/A,#N/A,TRUE,"Basic";#N/A,#N/A,TRUE,"EXT-TABLE";#N/A,#N/A,TRUE,"STEEL";#N/A,#N/A,TRUE,"INT-Table";#N/A,#N/A,TRUE,"STEEL";#N/A,#N/A,TRUE,"Door"}</definedName>
    <definedName name="견적갑지" localSheetId="1" hidden="1">{#N/A,#N/A,FALSE,"CCTV"}</definedName>
    <definedName name="견적갑지" hidden="1">{#N/A,#N/A,FALSE,"CCTV"}</definedName>
    <definedName name="견적서" localSheetId="1" hidden="1">{#N/A,#N/A,FALSE,"CCTV"}</definedName>
    <definedName name="견적서" hidden="1">{#N/A,#N/A,FALSE,"CCTV"}</definedName>
    <definedName name="금부" localSheetId="1" hidden="1">{#N/A,#N/A,FALSE,"CCTV"}</definedName>
    <definedName name="금부" hidden="1">{#N/A,#N/A,FALSE,"CCTV"}</definedName>
    <definedName name="금부종합갑지" localSheetId="1" hidden="1">{#N/A,#N/A,FALSE,"CCTV"}</definedName>
    <definedName name="금부종합갑지" hidden="1">{#N/A,#N/A,FALSE,"CCTV"}</definedName>
    <definedName name="김" localSheetId="1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1" localSheetId="1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보규" localSheetId="1" hidden="1">{#N/A,#N/A,FALSE,"CCTV"}</definedName>
    <definedName name="김보규" hidden="1">{#N/A,#N/A,FALSE,"CCTV"}</definedName>
    <definedName name="ㄴㄴㄴㄴ" hidden="1">#REF!</definedName>
    <definedName name="ㄴㄴㄴㄴㄴ" hidden="1">#REF!</definedName>
    <definedName name="ㄴㅇㄹ" hidden="1">#REF!</definedName>
    <definedName name="내역서이다" localSheetId="1" hidden="1">{#N/A,#N/A,FALSE,"CCTV"}</definedName>
    <definedName name="내역서이다" hidden="1">{#N/A,#N/A,FALSE,"CCTV"}</definedName>
    <definedName name="ㄷㄷ" hidden="1">#REF!</definedName>
    <definedName name="당초계획" hidden="1">#REF!</definedName>
    <definedName name="ㄹㄷㄱㄹㄹㅊ" localSheetId="1" hidden="1">{#N/A,#N/A,FALSE,"CCTV"}</definedName>
    <definedName name="ㄹㄷㄱㄹㄹㅊ" hidden="1">{#N/A,#N/A,FALSE,"CCTV"}</definedName>
    <definedName name="ㄹㄷㄱㅈㄹ" localSheetId="1" hidden="1">{#N/A,#N/A,FALSE,"CCTV"}</definedName>
    <definedName name="ㄹㄷㄱㅈㄹ" hidden="1">{#N/A,#N/A,FALSE,"CCTV"}</definedName>
    <definedName name="ㄹㅇㄹㄴ" localSheetId="1" hidden="1">{#N/A,#N/A,FALSE,"CCTV"}</definedName>
    <definedName name="ㄹㅇㄹㄴ" hidden="1">{#N/A,#N/A,FALSE,"CCTV"}</definedName>
    <definedName name="ㅁ" hidden="1">#REF!</definedName>
    <definedName name="ㅁㅁ" hidden="1">#REF!</definedName>
    <definedName name="먁" hidden="1">#REF!</definedName>
    <definedName name="박대리" localSheetId="1" hidden="1">{#N/A,#N/A,FALSE,"CCTV"}</definedName>
    <definedName name="박대리" hidden="1">{#N/A,#N/A,FALSE,"CCTV"}</definedName>
    <definedName name="변경갑" localSheetId="1" hidden="1">{#N/A,#N/A,FALSE,"CCTV"}</definedName>
    <definedName name="변경갑" hidden="1">{#N/A,#N/A,FALSE,"CCTV"}</definedName>
    <definedName name="변경병" localSheetId="1" hidden="1">{#N/A,#N/A,FALSE,"CCTV"}</definedName>
    <definedName name="변경병" hidden="1">{#N/A,#N/A,FALSE,"CCTV"}</definedName>
    <definedName name="변경분" localSheetId="1" hidden="1">{#N/A,#N/A,FALSE,"CCTV"}</definedName>
    <definedName name="변경분" hidden="1">{#N/A,#N/A,FALSE,"CCTV"}</definedName>
    <definedName name="변경을" localSheetId="1" hidden="1">{#N/A,#N/A,FALSE,"CCTV"}</definedName>
    <definedName name="변경을" hidden="1">{#N/A,#N/A,FALSE,"CCTV"}</definedName>
    <definedName name="변경전" localSheetId="1" hidden="1">{#N/A,#N/A,FALSE,"CCTV"}</definedName>
    <definedName name="변경전" hidden="1">{#N/A,#N/A,FALSE,"CCTV"}</definedName>
    <definedName name="빽보드판" hidden="1">#REF!</definedName>
    <definedName name="빽보드판2" hidden="1">#REF!</definedName>
    <definedName name="산출" hidden="1">#REF!</definedName>
    <definedName name="상각비2" hidden="1">#REF!</definedName>
    <definedName name="석재받은의뢰업체">255</definedName>
    <definedName name="수" localSheetId="1" hidden="1">{#N/A,#N/A,TRUE,"Basic";#N/A,#N/A,TRUE,"EXT-TABLE";#N/A,#N/A,TRUE,"STEEL";#N/A,#N/A,TRUE,"INT-Table";#N/A,#N/A,TRUE,"STEEL";#N/A,#N/A,TRUE,"Door"}</definedName>
    <definedName name="수" hidden="1">{#N/A,#N/A,TRUE,"Basic";#N/A,#N/A,TRUE,"EXT-TABLE";#N/A,#N/A,TRUE,"STEEL";#N/A,#N/A,TRUE,"INT-Table";#N/A,#N/A,TRUE,"STEEL";#N/A,#N/A,TRUE,"Door"}</definedName>
    <definedName name="ㅇㄹㅇㄹ" hidden="1">#REF!</definedName>
    <definedName name="ㅇㅇㄹ" hidden="1">#REF!</definedName>
    <definedName name="ㅇㅇㅇ" hidden="1">#REF!</definedName>
    <definedName name="엥" localSheetId="1" hidden="1">{#N/A,#N/A,FALSE,"CCTV"}</definedName>
    <definedName name="엥" hidden="1">{#N/A,#N/A,FALSE,"CCTV"}</definedName>
    <definedName name="인쇄" localSheetId="2">[18]!인쇄</definedName>
    <definedName name="인쇄">[18]!인쇄</definedName>
    <definedName name="일" localSheetId="1" hidden="1">#REF!</definedName>
    <definedName name="일" hidden="1">#REF!</definedName>
    <definedName name="전" localSheetId="1">#REF!</definedName>
    <definedName name="전" localSheetId="2">#REF!</definedName>
    <definedName name="전">#REF!</definedName>
    <definedName name="조직표현장" localSheetId="1">'[23]간접비 총괄표'!$I$10:$I$1248</definedName>
    <definedName name="조직표현장">'[24]간접비 총괄표'!$I$10:$I$1248</definedName>
    <definedName name="주택사업본부" localSheetId="1">#REF!</definedName>
    <definedName name="주택사업본부" localSheetId="2">#REF!</definedName>
    <definedName name="주택사업본부">#REF!</definedName>
    <definedName name="철구사업본부" localSheetId="1">#REF!</definedName>
    <definedName name="철구사업본부" localSheetId="2">#REF!</definedName>
    <definedName name="철구사업본부">#REF!</definedName>
    <definedName name="커버" localSheetId="1">BlankMacro1</definedName>
    <definedName name="커버">BlankMacro1</definedName>
    <definedName name="템플리트모듈1" localSheetId="1">BlankMacro1</definedName>
    <definedName name="템플리트모듈1" localSheetId="2">BlankMacro1</definedName>
    <definedName name="템플리트모듈1">BlankMacro1</definedName>
    <definedName name="템플리트모듈2" localSheetId="1">BlankMacro1</definedName>
    <definedName name="템플리트모듈2" localSheetId="2">BlankMacro1</definedName>
    <definedName name="템플리트모듈2">BlankMacro1</definedName>
    <definedName name="템플리트모듈3" localSheetId="1">BlankMacro1</definedName>
    <definedName name="템플리트모듈3" localSheetId="2">BlankMacro1</definedName>
    <definedName name="템플리트모듈3">BlankMacro1</definedName>
    <definedName name="템플리트모듈4" localSheetId="1">BlankMacro1</definedName>
    <definedName name="템플리트모듈4" localSheetId="2">BlankMacro1</definedName>
    <definedName name="템플리트모듈4">BlankMacro1</definedName>
    <definedName name="템플리트모듈5" localSheetId="1">BlankMacro1</definedName>
    <definedName name="템플리트모듈5" localSheetId="2">BlankMacro1</definedName>
    <definedName name="템플리트모듈5">BlankMacro1</definedName>
    <definedName name="템플리트모듈6" localSheetId="1">BlankMacro1</definedName>
    <definedName name="템플리트모듈6" localSheetId="2">BlankMacro1</definedName>
    <definedName name="템플리트모듈6">BlankMacro1</definedName>
    <definedName name="통신" localSheetId="1" hidden="1">{#N/A,#N/A,FALSE,"CCTV"}</definedName>
    <definedName name="통신" hidden="1">{#N/A,#N/A,FALSE,"CCTV"}</definedName>
    <definedName name="표지" localSheetId="1" hidden="1">{#N/A,#N/A,TRUE,"Basic";#N/A,#N/A,TRUE,"EXT-TABLE";#N/A,#N/A,TRUE,"STEEL";#N/A,#N/A,TRUE,"INT-Table";#N/A,#N/A,TRUE,"STEEL";#N/A,#N/A,TRUE,"Door"}</definedName>
    <definedName name="표지" hidden="1">{#N/A,#N/A,TRUE,"Basic";#N/A,#N/A,TRUE,"EXT-TABLE";#N/A,#N/A,TRUE,"STEEL";#N/A,#N/A,TRUE,"INT-Table";#N/A,#N/A,TRUE,"STEEL";#N/A,#N/A,TRUE,"Door"}</definedName>
    <definedName name="표지2" hidden="1">#REF!</definedName>
    <definedName name="한국쉘" localSheetId="1" hidden="1">{#N/A,#N/A,FALSE,"CCTV"}</definedName>
    <definedName name="한국쉘" hidden="1">{#N/A,#N/A,FALSE,"CCTV"}</definedName>
    <definedName name="형광등_A">[25]Lumen!$B$3:$C$38</definedName>
    <definedName name="ㅏ어ㅣ나얼" localSheetId="1" hidden="1">{#N/A,#N/A,FALSE,"CCTV"}</definedName>
    <definedName name="ㅏ어ㅣ나얼" hidden="1">{#N/A,#N/A,FALSE,"CCTV"}</definedName>
    <definedName name="ㅘㅗ허ㅎ" hidden="1">'[26]#REF'!#REF!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5" i="4" l="1"/>
  <c r="I75" i="4"/>
  <c r="H75" i="4"/>
  <c r="G75" i="4"/>
  <c r="F75" i="4"/>
  <c r="L73" i="4"/>
  <c r="K73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6" i="4"/>
  <c r="K56" i="4"/>
  <c r="L55" i="4"/>
  <c r="K55" i="4"/>
  <c r="L54" i="4"/>
  <c r="K54" i="4"/>
  <c r="L53" i="4"/>
  <c r="K53" i="4"/>
  <c r="L51" i="4"/>
  <c r="K51" i="4"/>
  <c r="L50" i="4"/>
  <c r="K50" i="4"/>
  <c r="L49" i="4"/>
  <c r="K49" i="4"/>
  <c r="L47" i="4"/>
  <c r="K47" i="4"/>
  <c r="K75" i="4" s="1"/>
  <c r="L45" i="4"/>
  <c r="L75" i="4" s="1"/>
  <c r="K45" i="4"/>
  <c r="H43" i="4"/>
  <c r="G43" i="4"/>
  <c r="F43" i="4"/>
  <c r="J42" i="4"/>
  <c r="L42" i="4" s="1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3" i="4"/>
  <c r="K33" i="4"/>
  <c r="J32" i="4"/>
  <c r="I32" i="4"/>
  <c r="L30" i="4"/>
  <c r="K30" i="4"/>
  <c r="L29" i="4"/>
  <c r="K29" i="4"/>
  <c r="L28" i="4"/>
  <c r="K28" i="4"/>
  <c r="L27" i="4"/>
  <c r="K27" i="4"/>
  <c r="L26" i="4"/>
  <c r="K26" i="4"/>
  <c r="L25" i="4"/>
  <c r="K25" i="4"/>
  <c r="L23" i="4"/>
  <c r="K23" i="4"/>
  <c r="L21" i="4"/>
  <c r="K21" i="4"/>
  <c r="L20" i="4"/>
  <c r="K20" i="4"/>
  <c r="L18" i="4"/>
  <c r="K18" i="4"/>
  <c r="J17" i="4"/>
  <c r="I17" i="4"/>
  <c r="L16" i="4"/>
  <c r="K16" i="4"/>
  <c r="J15" i="4"/>
  <c r="I15" i="4"/>
  <c r="L14" i="4"/>
  <c r="K14" i="4"/>
  <c r="L13" i="4"/>
  <c r="K13" i="4"/>
  <c r="J12" i="4"/>
  <c r="I12" i="4"/>
  <c r="L11" i="4"/>
  <c r="K11" i="4"/>
  <c r="L10" i="4"/>
  <c r="K10" i="4"/>
  <c r="J9" i="4"/>
  <c r="J43" i="4" s="1"/>
  <c r="I9" i="4"/>
  <c r="I43" i="4" s="1"/>
  <c r="L8" i="4"/>
  <c r="K8" i="4"/>
  <c r="L7" i="4"/>
  <c r="K7" i="4"/>
  <c r="K43" i="4" s="1"/>
  <c r="I130" i="3"/>
  <c r="H130" i="3"/>
  <c r="G130" i="3"/>
  <c r="F130" i="3"/>
  <c r="F125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8" i="3"/>
  <c r="H118" i="3"/>
  <c r="G118" i="3"/>
  <c r="I117" i="3"/>
  <c r="H117" i="3"/>
  <c r="G117" i="3"/>
  <c r="I116" i="3"/>
  <c r="H116" i="3"/>
  <c r="G116" i="3"/>
  <c r="I115" i="3"/>
  <c r="H115" i="3"/>
  <c r="G115" i="3"/>
  <c r="I114" i="3"/>
  <c r="H114" i="3"/>
  <c r="G114" i="3"/>
  <c r="I113" i="3"/>
  <c r="H113" i="3"/>
  <c r="G113" i="3"/>
  <c r="I112" i="3"/>
  <c r="H112" i="3"/>
  <c r="G112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I107" i="3"/>
  <c r="H107" i="3"/>
  <c r="G107" i="3"/>
  <c r="I106" i="3"/>
  <c r="H106" i="3"/>
  <c r="G106" i="3"/>
  <c r="I105" i="3"/>
  <c r="H105" i="3"/>
  <c r="G105" i="3"/>
  <c r="I104" i="3"/>
  <c r="H104" i="3"/>
  <c r="G104" i="3"/>
  <c r="I103" i="3"/>
  <c r="H103" i="3"/>
  <c r="G103" i="3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I125" i="3" s="1"/>
  <c r="H98" i="3"/>
  <c r="H125" i="3" s="1"/>
  <c r="G98" i="3"/>
  <c r="G125" i="3" s="1"/>
  <c r="I95" i="3"/>
  <c r="H95" i="3"/>
  <c r="G95" i="3"/>
  <c r="I87" i="3"/>
  <c r="H87" i="3"/>
  <c r="G87" i="3"/>
  <c r="I85" i="3"/>
  <c r="H85" i="3"/>
  <c r="G85" i="3"/>
  <c r="I84" i="3"/>
  <c r="H84" i="3"/>
  <c r="G84" i="3"/>
  <c r="I83" i="3"/>
  <c r="H83" i="3"/>
  <c r="G83" i="3"/>
  <c r="I82" i="3"/>
  <c r="H82" i="3"/>
  <c r="G82" i="3"/>
  <c r="I80" i="3"/>
  <c r="H80" i="3"/>
  <c r="G80" i="3"/>
  <c r="I79" i="3"/>
  <c r="H79" i="3"/>
  <c r="G79" i="3"/>
  <c r="I78" i="3"/>
  <c r="H78" i="3"/>
  <c r="G78" i="3"/>
  <c r="F76" i="3"/>
  <c r="I76" i="3" s="1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8" i="3"/>
  <c r="H68" i="3"/>
  <c r="G68" i="3"/>
  <c r="I67" i="3"/>
  <c r="H67" i="3"/>
  <c r="G67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56" i="3"/>
  <c r="H56" i="3"/>
  <c r="G56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8" i="3"/>
  <c r="H48" i="3"/>
  <c r="G48" i="3"/>
  <c r="I47" i="3"/>
  <c r="H47" i="3"/>
  <c r="G47" i="3"/>
  <c r="I46" i="3"/>
  <c r="H46" i="3"/>
  <c r="G46" i="3"/>
  <c r="I45" i="3"/>
  <c r="H45" i="3"/>
  <c r="G45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I33" i="3"/>
  <c r="H33" i="3"/>
  <c r="G33" i="3"/>
  <c r="I32" i="3"/>
  <c r="G32" i="3"/>
  <c r="F32" i="3"/>
  <c r="H32" i="3" s="1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F27" i="3"/>
  <c r="H26" i="3"/>
  <c r="G26" i="3"/>
  <c r="F26" i="3"/>
  <c r="I26" i="3" s="1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0" i="3"/>
  <c r="H10" i="3"/>
  <c r="G10" i="3"/>
  <c r="I9" i="3"/>
  <c r="H9" i="3"/>
  <c r="G9" i="3"/>
  <c r="I8" i="3"/>
  <c r="H8" i="3"/>
  <c r="G8" i="3"/>
  <c r="I7" i="3"/>
  <c r="H7" i="3"/>
  <c r="G7" i="3"/>
  <c r="M227" i="2"/>
  <c r="L212" i="2"/>
  <c r="G212" i="2"/>
  <c r="M212" i="2" s="1"/>
  <c r="Q211" i="2"/>
  <c r="M211" i="2"/>
  <c r="L211" i="2"/>
  <c r="N211" i="2" s="1"/>
  <c r="G211" i="2"/>
  <c r="I211" i="2" s="1"/>
  <c r="J211" i="2" s="1"/>
  <c r="Q210" i="2"/>
  <c r="K210" i="2"/>
  <c r="L210" i="2" s="1"/>
  <c r="I210" i="2"/>
  <c r="J210" i="2" s="1"/>
  <c r="N210" i="2" s="1"/>
  <c r="G210" i="2"/>
  <c r="M210" i="2" s="1"/>
  <c r="Q208" i="2"/>
  <c r="L208" i="2"/>
  <c r="G208" i="2"/>
  <c r="M208" i="2" s="1"/>
  <c r="L207" i="2"/>
  <c r="I207" i="2"/>
  <c r="J207" i="2" s="1"/>
  <c r="N207" i="2" s="1"/>
  <c r="G207" i="2"/>
  <c r="M207" i="2" s="1"/>
  <c r="L206" i="2"/>
  <c r="G206" i="2"/>
  <c r="Q205" i="2"/>
  <c r="M205" i="2"/>
  <c r="L205" i="2"/>
  <c r="G205" i="2"/>
  <c r="I205" i="2" s="1"/>
  <c r="J205" i="2" s="1"/>
  <c r="N205" i="2" s="1"/>
  <c r="Q204" i="2"/>
  <c r="L204" i="2"/>
  <c r="G204" i="2"/>
  <c r="Q203" i="2"/>
  <c r="N203" i="2"/>
  <c r="M203" i="2"/>
  <c r="L203" i="2"/>
  <c r="I203" i="2"/>
  <c r="J203" i="2" s="1"/>
  <c r="G203" i="2"/>
  <c r="M202" i="2"/>
  <c r="L202" i="2"/>
  <c r="G202" i="2"/>
  <c r="Q201" i="2"/>
  <c r="L201" i="2"/>
  <c r="G201" i="2"/>
  <c r="M201" i="2" s="1"/>
  <c r="Q200" i="2"/>
  <c r="M200" i="2"/>
  <c r="L200" i="2"/>
  <c r="J200" i="2"/>
  <c r="I200" i="2"/>
  <c r="G200" i="2"/>
  <c r="L199" i="2"/>
  <c r="I199" i="2"/>
  <c r="J199" i="2" s="1"/>
  <c r="G199" i="2"/>
  <c r="Q199" i="2" s="1"/>
  <c r="L198" i="2"/>
  <c r="G198" i="2"/>
  <c r="I198" i="2" s="1"/>
  <c r="J198" i="2" s="1"/>
  <c r="L197" i="2"/>
  <c r="I197" i="2"/>
  <c r="J197" i="2" s="1"/>
  <c r="G197" i="2"/>
  <c r="Q197" i="2" s="1"/>
  <c r="Q196" i="2"/>
  <c r="L196" i="2"/>
  <c r="G196" i="2"/>
  <c r="M196" i="2" s="1"/>
  <c r="L195" i="2"/>
  <c r="I195" i="2"/>
  <c r="J195" i="2" s="1"/>
  <c r="N195" i="2" s="1"/>
  <c r="G195" i="2"/>
  <c r="M195" i="2" s="1"/>
  <c r="M194" i="2"/>
  <c r="L194" i="2"/>
  <c r="G194" i="2"/>
  <c r="Q193" i="2"/>
  <c r="N193" i="2"/>
  <c r="M193" i="2"/>
  <c r="L193" i="2"/>
  <c r="G193" i="2"/>
  <c r="I193" i="2" s="1"/>
  <c r="J193" i="2" s="1"/>
  <c r="L192" i="2"/>
  <c r="G192" i="2"/>
  <c r="Q191" i="2"/>
  <c r="M191" i="2"/>
  <c r="L191" i="2"/>
  <c r="I191" i="2"/>
  <c r="J191" i="2" s="1"/>
  <c r="N191" i="2" s="1"/>
  <c r="G191" i="2"/>
  <c r="M190" i="2"/>
  <c r="L190" i="2"/>
  <c r="G190" i="2"/>
  <c r="Q189" i="2"/>
  <c r="L189" i="2"/>
  <c r="G189" i="2"/>
  <c r="M189" i="2" s="1"/>
  <c r="Q188" i="2"/>
  <c r="M188" i="2"/>
  <c r="L188" i="2"/>
  <c r="J188" i="2"/>
  <c r="N188" i="2" s="1"/>
  <c r="I188" i="2"/>
  <c r="G188" i="2"/>
  <c r="L187" i="2"/>
  <c r="I187" i="2"/>
  <c r="J187" i="2" s="1"/>
  <c r="G187" i="2"/>
  <c r="Q187" i="2" s="1"/>
  <c r="Q186" i="2"/>
  <c r="M186" i="2"/>
  <c r="L186" i="2"/>
  <c r="G186" i="2"/>
  <c r="I186" i="2" s="1"/>
  <c r="J186" i="2" s="1"/>
  <c r="L185" i="2"/>
  <c r="I185" i="2"/>
  <c r="J185" i="2" s="1"/>
  <c r="G185" i="2"/>
  <c r="Q185" i="2" s="1"/>
  <c r="Q184" i="2"/>
  <c r="L184" i="2"/>
  <c r="G184" i="2"/>
  <c r="M184" i="2" s="1"/>
  <c r="L183" i="2"/>
  <c r="I183" i="2"/>
  <c r="J183" i="2" s="1"/>
  <c r="N183" i="2" s="1"/>
  <c r="G183" i="2"/>
  <c r="M183" i="2" s="1"/>
  <c r="L182" i="2"/>
  <c r="G182" i="2"/>
  <c r="M182" i="2" s="1"/>
  <c r="Q181" i="2"/>
  <c r="M181" i="2"/>
  <c r="L181" i="2"/>
  <c r="N181" i="2" s="1"/>
  <c r="G181" i="2"/>
  <c r="I181" i="2" s="1"/>
  <c r="J181" i="2" s="1"/>
  <c r="Q180" i="2"/>
  <c r="L180" i="2"/>
  <c r="G180" i="2"/>
  <c r="Q179" i="2"/>
  <c r="N179" i="2"/>
  <c r="M179" i="2"/>
  <c r="L179" i="2"/>
  <c r="I179" i="2"/>
  <c r="J179" i="2" s="1"/>
  <c r="G179" i="2"/>
  <c r="L178" i="2"/>
  <c r="G178" i="2"/>
  <c r="Q177" i="2"/>
  <c r="L177" i="2"/>
  <c r="G177" i="2"/>
  <c r="M177" i="2" s="1"/>
  <c r="Q176" i="2"/>
  <c r="M176" i="2"/>
  <c r="L176" i="2"/>
  <c r="J176" i="2"/>
  <c r="I176" i="2"/>
  <c r="G176" i="2"/>
  <c r="L175" i="2"/>
  <c r="I175" i="2"/>
  <c r="J175" i="2" s="1"/>
  <c r="G175" i="2"/>
  <c r="Q175" i="2" s="1"/>
  <c r="L174" i="2"/>
  <c r="G174" i="2"/>
  <c r="I174" i="2" s="1"/>
  <c r="J174" i="2" s="1"/>
  <c r="G173" i="2"/>
  <c r="Q172" i="2"/>
  <c r="L172" i="2"/>
  <c r="G172" i="2"/>
  <c r="M172" i="2" s="1"/>
  <c r="Q171" i="2"/>
  <c r="M171" i="2"/>
  <c r="L171" i="2"/>
  <c r="J171" i="2"/>
  <c r="I171" i="2"/>
  <c r="G171" i="2"/>
  <c r="L170" i="2"/>
  <c r="I170" i="2"/>
  <c r="J170" i="2" s="1"/>
  <c r="G170" i="2"/>
  <c r="Q170" i="2" s="1"/>
  <c r="L169" i="2"/>
  <c r="G169" i="2"/>
  <c r="I169" i="2" s="1"/>
  <c r="J169" i="2" s="1"/>
  <c r="L168" i="2"/>
  <c r="I168" i="2"/>
  <c r="J168" i="2" s="1"/>
  <c r="G168" i="2"/>
  <c r="Q168" i="2" s="1"/>
  <c r="Q167" i="2"/>
  <c r="L167" i="2"/>
  <c r="G167" i="2"/>
  <c r="M167" i="2" s="1"/>
  <c r="L166" i="2"/>
  <c r="I166" i="2"/>
  <c r="J166" i="2" s="1"/>
  <c r="N166" i="2" s="1"/>
  <c r="G166" i="2"/>
  <c r="M166" i="2" s="1"/>
  <c r="M165" i="2"/>
  <c r="L165" i="2"/>
  <c r="G165" i="2"/>
  <c r="G164" i="2"/>
  <c r="L163" i="2"/>
  <c r="I163" i="2"/>
  <c r="J163" i="2" s="1"/>
  <c r="G163" i="2"/>
  <c r="Q163" i="2" s="1"/>
  <c r="Q162" i="2"/>
  <c r="L162" i="2"/>
  <c r="G162" i="2"/>
  <c r="M162" i="2" s="1"/>
  <c r="L161" i="2"/>
  <c r="I161" i="2"/>
  <c r="J161" i="2" s="1"/>
  <c r="N161" i="2" s="1"/>
  <c r="G161" i="2"/>
  <c r="M161" i="2" s="1"/>
  <c r="M160" i="2"/>
  <c r="L160" i="2"/>
  <c r="G160" i="2"/>
  <c r="Q159" i="2"/>
  <c r="M159" i="2"/>
  <c r="L159" i="2"/>
  <c r="G159" i="2"/>
  <c r="I159" i="2" s="1"/>
  <c r="J159" i="2" s="1"/>
  <c r="N159" i="2" s="1"/>
  <c r="Q158" i="2"/>
  <c r="K158" i="2"/>
  <c r="L158" i="2" s="1"/>
  <c r="I158" i="2"/>
  <c r="J158" i="2" s="1"/>
  <c r="G158" i="2"/>
  <c r="M158" i="2" s="1"/>
  <c r="Q157" i="2"/>
  <c r="L157" i="2"/>
  <c r="G157" i="2"/>
  <c r="M157" i="2" s="1"/>
  <c r="L156" i="2"/>
  <c r="I156" i="2"/>
  <c r="J156" i="2" s="1"/>
  <c r="N156" i="2" s="1"/>
  <c r="G156" i="2"/>
  <c r="M156" i="2" s="1"/>
  <c r="L155" i="2"/>
  <c r="G155" i="2"/>
  <c r="Q154" i="2"/>
  <c r="N154" i="2"/>
  <c r="M154" i="2"/>
  <c r="L154" i="2"/>
  <c r="G154" i="2"/>
  <c r="I154" i="2" s="1"/>
  <c r="J154" i="2" s="1"/>
  <c r="L153" i="2"/>
  <c r="G153" i="2"/>
  <c r="Q152" i="2"/>
  <c r="M152" i="2"/>
  <c r="G152" i="2"/>
  <c r="K152" i="2" s="1"/>
  <c r="L152" i="2" s="1"/>
  <c r="L151" i="2"/>
  <c r="I151" i="2"/>
  <c r="J151" i="2" s="1"/>
  <c r="N151" i="2" s="1"/>
  <c r="G151" i="2"/>
  <c r="M151" i="2" s="1"/>
  <c r="L150" i="2"/>
  <c r="G150" i="2"/>
  <c r="G149" i="2"/>
  <c r="L148" i="2"/>
  <c r="I148" i="2"/>
  <c r="J148" i="2" s="1"/>
  <c r="G148" i="2"/>
  <c r="Q148" i="2" s="1"/>
  <c r="Q147" i="2"/>
  <c r="L147" i="2"/>
  <c r="G147" i="2"/>
  <c r="M147" i="2" s="1"/>
  <c r="Q146" i="2"/>
  <c r="M146" i="2"/>
  <c r="K146" i="2"/>
  <c r="L146" i="2" s="1"/>
  <c r="J146" i="2"/>
  <c r="N146" i="2" s="1"/>
  <c r="I146" i="2"/>
  <c r="G146" i="2"/>
  <c r="L145" i="2"/>
  <c r="I145" i="2"/>
  <c r="J145" i="2" s="1"/>
  <c r="G145" i="2"/>
  <c r="Q145" i="2" s="1"/>
  <c r="Q144" i="2"/>
  <c r="L144" i="2"/>
  <c r="G144" i="2"/>
  <c r="I144" i="2" s="1"/>
  <c r="J144" i="2" s="1"/>
  <c r="G143" i="2"/>
  <c r="Q142" i="2"/>
  <c r="L142" i="2"/>
  <c r="I142" i="2"/>
  <c r="J142" i="2" s="1"/>
  <c r="G142" i="2"/>
  <c r="M142" i="2" s="1"/>
  <c r="Q141" i="2"/>
  <c r="M141" i="2"/>
  <c r="L141" i="2"/>
  <c r="J141" i="2"/>
  <c r="N141" i="2" s="1"/>
  <c r="I141" i="2"/>
  <c r="G141" i="2"/>
  <c r="L140" i="2"/>
  <c r="I140" i="2"/>
  <c r="J140" i="2" s="1"/>
  <c r="G140" i="2"/>
  <c r="Q140" i="2" s="1"/>
  <c r="Q139" i="2"/>
  <c r="M139" i="2"/>
  <c r="N139" i="2" s="1"/>
  <c r="L139" i="2"/>
  <c r="G139" i="2"/>
  <c r="I139" i="2" s="1"/>
  <c r="J139" i="2" s="1"/>
  <c r="L138" i="2"/>
  <c r="G138" i="2"/>
  <c r="I138" i="2" s="1"/>
  <c r="J138" i="2" s="1"/>
  <c r="Q137" i="2"/>
  <c r="L137" i="2"/>
  <c r="G137" i="2"/>
  <c r="M137" i="2" s="1"/>
  <c r="L136" i="2"/>
  <c r="J136" i="2"/>
  <c r="N136" i="2" s="1"/>
  <c r="I136" i="2"/>
  <c r="G136" i="2"/>
  <c r="M136" i="2" s="1"/>
  <c r="L135" i="2"/>
  <c r="G135" i="2"/>
  <c r="M135" i="2" s="1"/>
  <c r="Q134" i="2"/>
  <c r="M134" i="2"/>
  <c r="L134" i="2"/>
  <c r="G134" i="2"/>
  <c r="I134" i="2" s="1"/>
  <c r="J134" i="2" s="1"/>
  <c r="N134" i="2" s="1"/>
  <c r="Q133" i="2"/>
  <c r="L133" i="2"/>
  <c r="G133" i="2"/>
  <c r="Q132" i="2"/>
  <c r="N132" i="2"/>
  <c r="M132" i="2"/>
  <c r="L132" i="2"/>
  <c r="I132" i="2"/>
  <c r="J132" i="2" s="1"/>
  <c r="G132" i="2"/>
  <c r="L131" i="2"/>
  <c r="I131" i="2"/>
  <c r="J131" i="2" s="1"/>
  <c r="G131" i="2"/>
  <c r="Q131" i="2" s="1"/>
  <c r="Q130" i="2"/>
  <c r="L130" i="2"/>
  <c r="I130" i="2"/>
  <c r="J130" i="2" s="1"/>
  <c r="G130" i="2"/>
  <c r="M130" i="2" s="1"/>
  <c r="Q129" i="2"/>
  <c r="M129" i="2"/>
  <c r="L129" i="2"/>
  <c r="I129" i="2"/>
  <c r="J129" i="2" s="1"/>
  <c r="N129" i="2" s="1"/>
  <c r="G129" i="2"/>
  <c r="G128" i="2"/>
  <c r="Q127" i="2"/>
  <c r="M127" i="2"/>
  <c r="N127" i="2" s="1"/>
  <c r="L127" i="2"/>
  <c r="I127" i="2"/>
  <c r="J127" i="2" s="1"/>
  <c r="G127" i="2"/>
  <c r="L126" i="2"/>
  <c r="I126" i="2"/>
  <c r="J126" i="2" s="1"/>
  <c r="G126" i="2"/>
  <c r="Q126" i="2" s="1"/>
  <c r="G125" i="2"/>
  <c r="Q125" i="2" s="1"/>
  <c r="Q124" i="2"/>
  <c r="M124" i="2"/>
  <c r="L124" i="2"/>
  <c r="G124" i="2"/>
  <c r="I124" i="2" s="1"/>
  <c r="J124" i="2" s="1"/>
  <c r="N124" i="2" s="1"/>
  <c r="Q123" i="2"/>
  <c r="L123" i="2"/>
  <c r="G123" i="2"/>
  <c r="Q122" i="2"/>
  <c r="M122" i="2"/>
  <c r="N122" i="2" s="1"/>
  <c r="L122" i="2"/>
  <c r="I122" i="2"/>
  <c r="J122" i="2" s="1"/>
  <c r="G122" i="2"/>
  <c r="L121" i="2"/>
  <c r="I121" i="2"/>
  <c r="J121" i="2" s="1"/>
  <c r="G121" i="2"/>
  <c r="Q121" i="2" s="1"/>
  <c r="Q120" i="2"/>
  <c r="L120" i="2"/>
  <c r="I120" i="2"/>
  <c r="J120" i="2" s="1"/>
  <c r="G120" i="2"/>
  <c r="M120" i="2" s="1"/>
  <c r="Q119" i="2"/>
  <c r="M119" i="2"/>
  <c r="L119" i="2"/>
  <c r="K119" i="2"/>
  <c r="G119" i="2"/>
  <c r="I119" i="2" s="1"/>
  <c r="J119" i="2" s="1"/>
  <c r="N119" i="2" s="1"/>
  <c r="Q118" i="2"/>
  <c r="L118" i="2"/>
  <c r="G118" i="2"/>
  <c r="Q117" i="2"/>
  <c r="N117" i="2"/>
  <c r="M117" i="2"/>
  <c r="L117" i="2"/>
  <c r="I117" i="2"/>
  <c r="J117" i="2" s="1"/>
  <c r="G117" i="2"/>
  <c r="M116" i="2"/>
  <c r="L116" i="2"/>
  <c r="G116" i="2"/>
  <c r="Q116" i="2" s="1"/>
  <c r="Q115" i="2"/>
  <c r="L115" i="2"/>
  <c r="I115" i="2"/>
  <c r="J115" i="2" s="1"/>
  <c r="N115" i="2" s="1"/>
  <c r="G115" i="2"/>
  <c r="M115" i="2" s="1"/>
  <c r="Q114" i="2"/>
  <c r="M114" i="2"/>
  <c r="L114" i="2"/>
  <c r="I114" i="2"/>
  <c r="J114" i="2" s="1"/>
  <c r="N114" i="2" s="1"/>
  <c r="G114" i="2"/>
  <c r="L113" i="2"/>
  <c r="I113" i="2"/>
  <c r="J113" i="2" s="1"/>
  <c r="G113" i="2"/>
  <c r="Q113" i="2" s="1"/>
  <c r="Q112" i="2"/>
  <c r="M112" i="2"/>
  <c r="N112" i="2" s="1"/>
  <c r="L112" i="2"/>
  <c r="G112" i="2"/>
  <c r="I112" i="2" s="1"/>
  <c r="J112" i="2" s="1"/>
  <c r="L111" i="2"/>
  <c r="I111" i="2"/>
  <c r="J111" i="2" s="1"/>
  <c r="G111" i="2"/>
  <c r="L110" i="2"/>
  <c r="G110" i="2"/>
  <c r="Q110" i="2" s="1"/>
  <c r="L109" i="2"/>
  <c r="G109" i="2"/>
  <c r="M108" i="2"/>
  <c r="L108" i="2"/>
  <c r="G108" i="2"/>
  <c r="Q107" i="2"/>
  <c r="N107" i="2"/>
  <c r="M107" i="2"/>
  <c r="L107" i="2"/>
  <c r="J107" i="2"/>
  <c r="G107" i="2"/>
  <c r="I107" i="2" s="1"/>
  <c r="M106" i="2"/>
  <c r="L106" i="2"/>
  <c r="G106" i="2"/>
  <c r="Q106" i="2" s="1"/>
  <c r="Q105" i="2"/>
  <c r="N105" i="2"/>
  <c r="M105" i="2"/>
  <c r="L105" i="2"/>
  <c r="I105" i="2"/>
  <c r="J105" i="2" s="1"/>
  <c r="G105" i="2"/>
  <c r="G104" i="2"/>
  <c r="Q104" i="2" s="1"/>
  <c r="M103" i="2"/>
  <c r="L103" i="2"/>
  <c r="G103" i="2"/>
  <c r="Q102" i="2"/>
  <c r="M102" i="2"/>
  <c r="L102" i="2"/>
  <c r="G102" i="2"/>
  <c r="I102" i="2" s="1"/>
  <c r="J102" i="2" s="1"/>
  <c r="N102" i="2" s="1"/>
  <c r="Q101" i="2"/>
  <c r="M101" i="2"/>
  <c r="K101" i="2"/>
  <c r="L101" i="2" s="1"/>
  <c r="I101" i="2"/>
  <c r="J101" i="2" s="1"/>
  <c r="N101" i="2" s="1"/>
  <c r="G101" i="2"/>
  <c r="L100" i="2"/>
  <c r="G100" i="2"/>
  <c r="M99" i="2"/>
  <c r="L99" i="2"/>
  <c r="G99" i="2"/>
  <c r="Q99" i="2" s="1"/>
  <c r="G98" i="2"/>
  <c r="Q98" i="2" s="1"/>
  <c r="L97" i="2"/>
  <c r="G97" i="2"/>
  <c r="I97" i="2" s="1"/>
  <c r="J97" i="2" s="1"/>
  <c r="L96" i="2"/>
  <c r="J96" i="2"/>
  <c r="I96" i="2"/>
  <c r="G96" i="2"/>
  <c r="Q95" i="2"/>
  <c r="K95" i="2"/>
  <c r="L95" i="2" s="1"/>
  <c r="N95" i="2" s="1"/>
  <c r="I95" i="2"/>
  <c r="J95" i="2" s="1"/>
  <c r="G95" i="2"/>
  <c r="M95" i="2" s="1"/>
  <c r="Q94" i="2"/>
  <c r="M94" i="2"/>
  <c r="N94" i="2" s="1"/>
  <c r="L94" i="2"/>
  <c r="J94" i="2"/>
  <c r="I94" i="2"/>
  <c r="G94" i="2"/>
  <c r="L93" i="2"/>
  <c r="I93" i="2"/>
  <c r="J93" i="2" s="1"/>
  <c r="G93" i="2"/>
  <c r="Q92" i="2"/>
  <c r="M92" i="2"/>
  <c r="N92" i="2" s="1"/>
  <c r="L92" i="2"/>
  <c r="I92" i="2"/>
  <c r="J92" i="2" s="1"/>
  <c r="G92" i="2"/>
  <c r="K92" i="2" s="1"/>
  <c r="Q91" i="2"/>
  <c r="L91" i="2"/>
  <c r="I91" i="2"/>
  <c r="J91" i="2" s="1"/>
  <c r="G91" i="2"/>
  <c r="M91" i="2" s="1"/>
  <c r="Q90" i="2"/>
  <c r="L90" i="2"/>
  <c r="I90" i="2"/>
  <c r="J90" i="2" s="1"/>
  <c r="G90" i="2"/>
  <c r="M90" i="2" s="1"/>
  <c r="Q89" i="2"/>
  <c r="M89" i="2"/>
  <c r="K89" i="2"/>
  <c r="L89" i="2" s="1"/>
  <c r="G89" i="2"/>
  <c r="I89" i="2" s="1"/>
  <c r="J89" i="2" s="1"/>
  <c r="N89" i="2" s="1"/>
  <c r="L88" i="2"/>
  <c r="I88" i="2"/>
  <c r="J88" i="2" s="1"/>
  <c r="G88" i="2"/>
  <c r="Q88" i="2" s="1"/>
  <c r="Q87" i="2"/>
  <c r="M87" i="2"/>
  <c r="L87" i="2"/>
  <c r="I87" i="2"/>
  <c r="J87" i="2" s="1"/>
  <c r="N87" i="2" s="1"/>
  <c r="G87" i="2"/>
  <c r="K86" i="2"/>
  <c r="L86" i="2" s="1"/>
  <c r="G86" i="2"/>
  <c r="I86" i="2" s="1"/>
  <c r="J86" i="2" s="1"/>
  <c r="L85" i="2"/>
  <c r="G85" i="2"/>
  <c r="Q85" i="2" s="1"/>
  <c r="Q84" i="2"/>
  <c r="M84" i="2"/>
  <c r="L84" i="2"/>
  <c r="J84" i="2"/>
  <c r="N84" i="2" s="1"/>
  <c r="G84" i="2"/>
  <c r="I84" i="2" s="1"/>
  <c r="Q83" i="2"/>
  <c r="M83" i="2"/>
  <c r="K83" i="2"/>
  <c r="L83" i="2" s="1"/>
  <c r="I83" i="2"/>
  <c r="J83" i="2" s="1"/>
  <c r="N83" i="2" s="1"/>
  <c r="G83" i="2"/>
  <c r="L82" i="2"/>
  <c r="G82" i="2"/>
  <c r="Q82" i="2" s="1"/>
  <c r="Q81" i="2"/>
  <c r="L81" i="2"/>
  <c r="I81" i="2"/>
  <c r="J81" i="2" s="1"/>
  <c r="G81" i="2"/>
  <c r="M81" i="2" s="1"/>
  <c r="K80" i="2"/>
  <c r="L80" i="2" s="1"/>
  <c r="I80" i="2"/>
  <c r="J80" i="2" s="1"/>
  <c r="G80" i="2"/>
  <c r="Q80" i="2" s="1"/>
  <c r="L79" i="2"/>
  <c r="G79" i="2"/>
  <c r="I79" i="2" s="1"/>
  <c r="J79" i="2" s="1"/>
  <c r="L78" i="2"/>
  <c r="G78" i="2"/>
  <c r="Q78" i="2" s="1"/>
  <c r="G77" i="2"/>
  <c r="M77" i="2" s="1"/>
  <c r="Q76" i="2"/>
  <c r="M76" i="2"/>
  <c r="L76" i="2"/>
  <c r="I76" i="2"/>
  <c r="J76" i="2" s="1"/>
  <c r="N76" i="2" s="1"/>
  <c r="G76" i="2"/>
  <c r="L75" i="2"/>
  <c r="G75" i="2"/>
  <c r="I75" i="2" s="1"/>
  <c r="J75" i="2" s="1"/>
  <c r="Q74" i="2"/>
  <c r="M74" i="2"/>
  <c r="I74" i="2"/>
  <c r="J74" i="2" s="1"/>
  <c r="G74" i="2"/>
  <c r="K74" i="2" s="1"/>
  <c r="L74" i="2" s="1"/>
  <c r="N74" i="2" s="1"/>
  <c r="Q73" i="2"/>
  <c r="L73" i="2"/>
  <c r="G73" i="2"/>
  <c r="M73" i="2" s="1"/>
  <c r="Q72" i="2"/>
  <c r="L72" i="2"/>
  <c r="G72" i="2"/>
  <c r="M72" i="2" s="1"/>
  <c r="Q71" i="2"/>
  <c r="M71" i="2"/>
  <c r="L71" i="2"/>
  <c r="K71" i="2"/>
  <c r="G71" i="2"/>
  <c r="I71" i="2" s="1"/>
  <c r="J71" i="2" s="1"/>
  <c r="N71" i="2" s="1"/>
  <c r="L70" i="2"/>
  <c r="G70" i="2"/>
  <c r="M70" i="2" s="1"/>
  <c r="Q69" i="2"/>
  <c r="M69" i="2"/>
  <c r="N69" i="2" s="1"/>
  <c r="L69" i="2"/>
  <c r="I69" i="2"/>
  <c r="J69" i="2" s="1"/>
  <c r="G69" i="2"/>
  <c r="Q68" i="2"/>
  <c r="K68" i="2"/>
  <c r="L68" i="2" s="1"/>
  <c r="I68" i="2"/>
  <c r="J68" i="2" s="1"/>
  <c r="G68" i="2"/>
  <c r="M68" i="2" s="1"/>
  <c r="L67" i="2"/>
  <c r="G67" i="2"/>
  <c r="Q67" i="2" s="1"/>
  <c r="Q66" i="2"/>
  <c r="M66" i="2"/>
  <c r="L66" i="2"/>
  <c r="G66" i="2"/>
  <c r="I66" i="2" s="1"/>
  <c r="J66" i="2" s="1"/>
  <c r="N66" i="2" s="1"/>
  <c r="G65" i="2"/>
  <c r="Q65" i="2" s="1"/>
  <c r="L64" i="2"/>
  <c r="G64" i="2"/>
  <c r="Q64" i="2" s="1"/>
  <c r="L63" i="2"/>
  <c r="G63" i="2"/>
  <c r="Q63" i="2" s="1"/>
  <c r="G62" i="2"/>
  <c r="Q62" i="2" s="1"/>
  <c r="L61" i="2"/>
  <c r="G61" i="2"/>
  <c r="I61" i="2" s="1"/>
  <c r="J61" i="2" s="1"/>
  <c r="L60" i="2"/>
  <c r="G60" i="2"/>
  <c r="Q60" i="2" s="1"/>
  <c r="Q59" i="2"/>
  <c r="K59" i="2"/>
  <c r="L59" i="2" s="1"/>
  <c r="I59" i="2"/>
  <c r="J59" i="2" s="1"/>
  <c r="N59" i="2" s="1"/>
  <c r="G59" i="2"/>
  <c r="M59" i="2" s="1"/>
  <c r="Q58" i="2"/>
  <c r="M58" i="2"/>
  <c r="L58" i="2"/>
  <c r="I58" i="2"/>
  <c r="J58" i="2" s="1"/>
  <c r="N58" i="2" s="1"/>
  <c r="G58" i="2"/>
  <c r="L57" i="2"/>
  <c r="J57" i="2"/>
  <c r="I57" i="2"/>
  <c r="G57" i="2"/>
  <c r="Q56" i="2"/>
  <c r="M56" i="2"/>
  <c r="I56" i="2"/>
  <c r="J56" i="2" s="1"/>
  <c r="G56" i="2"/>
  <c r="K56" i="2" s="1"/>
  <c r="L56" i="2" s="1"/>
  <c r="Q55" i="2"/>
  <c r="L55" i="2"/>
  <c r="G55" i="2"/>
  <c r="M55" i="2" s="1"/>
  <c r="Q54" i="2"/>
  <c r="L54" i="2"/>
  <c r="G54" i="2"/>
  <c r="M54" i="2" s="1"/>
  <c r="Q53" i="2"/>
  <c r="M53" i="2"/>
  <c r="N53" i="2" s="1"/>
  <c r="K53" i="2"/>
  <c r="L53" i="2" s="1"/>
  <c r="J53" i="2"/>
  <c r="G53" i="2"/>
  <c r="I53" i="2" s="1"/>
  <c r="L52" i="2"/>
  <c r="G52" i="2"/>
  <c r="Q52" i="2" s="1"/>
  <c r="Q51" i="2"/>
  <c r="N51" i="2"/>
  <c r="M51" i="2"/>
  <c r="L51" i="2"/>
  <c r="I51" i="2"/>
  <c r="J51" i="2" s="1"/>
  <c r="G51" i="2"/>
  <c r="G50" i="2"/>
  <c r="Q50" i="2" s="1"/>
  <c r="L49" i="2"/>
  <c r="G49" i="2"/>
  <c r="Q49" i="2" s="1"/>
  <c r="L48" i="2"/>
  <c r="G48" i="2"/>
  <c r="I48" i="2" s="1"/>
  <c r="J48" i="2" s="1"/>
  <c r="G47" i="2"/>
  <c r="Q47" i="2" s="1"/>
  <c r="L46" i="2"/>
  <c r="G46" i="2"/>
  <c r="Q46" i="2" s="1"/>
  <c r="L45" i="2"/>
  <c r="G45" i="2"/>
  <c r="Q45" i="2" s="1"/>
  <c r="K44" i="2"/>
  <c r="L44" i="2" s="1"/>
  <c r="I44" i="2"/>
  <c r="J44" i="2" s="1"/>
  <c r="G44" i="2"/>
  <c r="Q44" i="2" s="1"/>
  <c r="L43" i="2"/>
  <c r="G43" i="2"/>
  <c r="Q43" i="2" s="1"/>
  <c r="L42" i="2"/>
  <c r="I42" i="2"/>
  <c r="J42" i="2" s="1"/>
  <c r="G42" i="2"/>
  <c r="Q42" i="2" s="1"/>
  <c r="G41" i="2"/>
  <c r="M41" i="2" s="1"/>
  <c r="Q40" i="2"/>
  <c r="M40" i="2"/>
  <c r="L40" i="2"/>
  <c r="J40" i="2"/>
  <c r="N40" i="2" s="1"/>
  <c r="I40" i="2"/>
  <c r="G40" i="2"/>
  <c r="Q39" i="2"/>
  <c r="L39" i="2"/>
  <c r="I39" i="2"/>
  <c r="J39" i="2" s="1"/>
  <c r="N39" i="2" s="1"/>
  <c r="G39" i="2"/>
  <c r="M39" i="2" s="1"/>
  <c r="Q38" i="2"/>
  <c r="M38" i="2"/>
  <c r="L38" i="2"/>
  <c r="I38" i="2"/>
  <c r="J38" i="2" s="1"/>
  <c r="N38" i="2" s="1"/>
  <c r="G38" i="2"/>
  <c r="K38" i="2" s="1"/>
  <c r="L37" i="2"/>
  <c r="G37" i="2"/>
  <c r="M37" i="2" s="1"/>
  <c r="Q36" i="2"/>
  <c r="M36" i="2"/>
  <c r="L36" i="2"/>
  <c r="I36" i="2"/>
  <c r="J36" i="2" s="1"/>
  <c r="G36" i="2"/>
  <c r="G35" i="2"/>
  <c r="I35" i="2" s="1"/>
  <c r="J35" i="2" s="1"/>
  <c r="Q34" i="2"/>
  <c r="M34" i="2"/>
  <c r="L34" i="2"/>
  <c r="J34" i="2"/>
  <c r="I34" i="2"/>
  <c r="G34" i="2"/>
  <c r="Q33" i="2"/>
  <c r="M33" i="2"/>
  <c r="L33" i="2"/>
  <c r="I33" i="2"/>
  <c r="J33" i="2" s="1"/>
  <c r="N33" i="2" s="1"/>
  <c r="G33" i="2"/>
  <c r="Q32" i="2"/>
  <c r="G32" i="2"/>
  <c r="M32" i="2" s="1"/>
  <c r="L31" i="2"/>
  <c r="I31" i="2"/>
  <c r="J31" i="2" s="1"/>
  <c r="G31" i="2"/>
  <c r="Q31" i="2" s="1"/>
  <c r="Q30" i="2"/>
  <c r="L30" i="2"/>
  <c r="I30" i="2"/>
  <c r="J30" i="2" s="1"/>
  <c r="N30" i="2" s="1"/>
  <c r="G30" i="2"/>
  <c r="M30" i="2" s="1"/>
  <c r="Q29" i="2"/>
  <c r="M29" i="2"/>
  <c r="N29" i="2" s="1"/>
  <c r="L29" i="2"/>
  <c r="K29" i="2"/>
  <c r="J29" i="2"/>
  <c r="I29" i="2"/>
  <c r="G29" i="2"/>
  <c r="L28" i="2"/>
  <c r="G28" i="2"/>
  <c r="M28" i="2" s="1"/>
  <c r="Q27" i="2"/>
  <c r="G27" i="2"/>
  <c r="M27" i="2" s="1"/>
  <c r="M26" i="2"/>
  <c r="K26" i="2"/>
  <c r="L26" i="2" s="1"/>
  <c r="I26" i="2"/>
  <c r="J26" i="2" s="1"/>
  <c r="G26" i="2"/>
  <c r="Q26" i="2" s="1"/>
  <c r="L25" i="2"/>
  <c r="G25" i="2"/>
  <c r="M25" i="2" s="1"/>
  <c r="Q24" i="2"/>
  <c r="G24" i="2"/>
  <c r="M24" i="2" s="1"/>
  <c r="Q23" i="2"/>
  <c r="K23" i="2"/>
  <c r="L23" i="2" s="1"/>
  <c r="G23" i="2"/>
  <c r="I23" i="2" s="1"/>
  <c r="J23" i="2" s="1"/>
  <c r="Q22" i="2"/>
  <c r="M22" i="2"/>
  <c r="L22" i="2"/>
  <c r="G22" i="2"/>
  <c r="I22" i="2" s="1"/>
  <c r="J22" i="2" s="1"/>
  <c r="N22" i="2" s="1"/>
  <c r="Q21" i="2"/>
  <c r="M21" i="2"/>
  <c r="N21" i="2" s="1"/>
  <c r="L21" i="2"/>
  <c r="J21" i="2"/>
  <c r="I21" i="2"/>
  <c r="G21" i="2"/>
  <c r="G20" i="2"/>
  <c r="M20" i="2" s="1"/>
  <c r="L19" i="2"/>
  <c r="G19" i="2"/>
  <c r="Q19" i="2" s="1"/>
  <c r="M18" i="2"/>
  <c r="K18" i="2"/>
  <c r="L18" i="2" s="1"/>
  <c r="I18" i="2"/>
  <c r="J18" i="2" s="1"/>
  <c r="G18" i="2"/>
  <c r="Q18" i="2" s="1"/>
  <c r="G17" i="2"/>
  <c r="Q17" i="2" s="1"/>
  <c r="Q16" i="2"/>
  <c r="L16" i="2"/>
  <c r="G16" i="2"/>
  <c r="I16" i="2" s="1"/>
  <c r="J16" i="2" s="1"/>
  <c r="Q15" i="2"/>
  <c r="L15" i="2"/>
  <c r="I15" i="2"/>
  <c r="J15" i="2" s="1"/>
  <c r="G15" i="2"/>
  <c r="M15" i="2" s="1"/>
  <c r="Q14" i="2"/>
  <c r="K14" i="2"/>
  <c r="L14" i="2" s="1"/>
  <c r="G14" i="2"/>
  <c r="M14" i="2" s="1"/>
  <c r="Q13" i="2"/>
  <c r="M13" i="2"/>
  <c r="N13" i="2" s="1"/>
  <c r="L13" i="2"/>
  <c r="J13" i="2"/>
  <c r="I13" i="2"/>
  <c r="G13" i="2"/>
  <c r="G12" i="2"/>
  <c r="Q12" i="2" s="1"/>
  <c r="Q11" i="2"/>
  <c r="M11" i="2"/>
  <c r="K11" i="2"/>
  <c r="L11" i="2" s="1"/>
  <c r="I11" i="2"/>
  <c r="J11" i="2" s="1"/>
  <c r="N11" i="2" s="1"/>
  <c r="G11" i="2"/>
  <c r="M10" i="2"/>
  <c r="L10" i="2"/>
  <c r="I10" i="2"/>
  <c r="J10" i="2" s="1"/>
  <c r="N10" i="2" s="1"/>
  <c r="G10" i="2"/>
  <c r="Q10" i="2" s="1"/>
  <c r="G9" i="2"/>
  <c r="Q9" i="2" s="1"/>
  <c r="Q8" i="2"/>
  <c r="G8" i="2"/>
  <c r="M8" i="2" s="1"/>
  <c r="I24" i="1"/>
  <c r="H24" i="1"/>
  <c r="G24" i="1"/>
  <c r="F24" i="1"/>
  <c r="N68" i="2" l="1"/>
  <c r="N126" i="2"/>
  <c r="N42" i="2"/>
  <c r="N93" i="2"/>
  <c r="N111" i="2"/>
  <c r="N18" i="2"/>
  <c r="N26" i="2"/>
  <c r="N56" i="2"/>
  <c r="N79" i="2"/>
  <c r="N81" i="2"/>
  <c r="N91" i="2"/>
  <c r="N97" i="2"/>
  <c r="N88" i="2"/>
  <c r="N23" i="2"/>
  <c r="N121" i="2"/>
  <c r="N15" i="2"/>
  <c r="I9" i="2"/>
  <c r="J9" i="2" s="1"/>
  <c r="I17" i="2"/>
  <c r="J17" i="2" s="1"/>
  <c r="I28" i="2"/>
  <c r="J28" i="2" s="1"/>
  <c r="N28" i="2" s="1"/>
  <c r="I70" i="2"/>
  <c r="J70" i="2" s="1"/>
  <c r="N70" i="2" s="1"/>
  <c r="Q108" i="2"/>
  <c r="I108" i="2"/>
  <c r="J108" i="2" s="1"/>
  <c r="N108" i="2" s="1"/>
  <c r="I118" i="2"/>
  <c r="J118" i="2" s="1"/>
  <c r="M118" i="2"/>
  <c r="N158" i="2"/>
  <c r="K20" i="2"/>
  <c r="L20" i="2" s="1"/>
  <c r="M23" i="2"/>
  <c r="I25" i="2"/>
  <c r="J25" i="2" s="1"/>
  <c r="N25" i="2" s="1"/>
  <c r="I37" i="2"/>
  <c r="J37" i="2" s="1"/>
  <c r="N37" i="2" s="1"/>
  <c r="M42" i="2"/>
  <c r="M44" i="2"/>
  <c r="N44" i="2" s="1"/>
  <c r="M48" i="2"/>
  <c r="N48" i="2" s="1"/>
  <c r="K50" i="2"/>
  <c r="L50" i="2" s="1"/>
  <c r="I52" i="2"/>
  <c r="J52" i="2" s="1"/>
  <c r="N52" i="2" s="1"/>
  <c r="K62" i="2"/>
  <c r="L62" i="2" s="1"/>
  <c r="I72" i="2"/>
  <c r="J72" i="2" s="1"/>
  <c r="N72" i="2" s="1"/>
  <c r="M80" i="2"/>
  <c r="N80" i="2" s="1"/>
  <c r="M86" i="2"/>
  <c r="N86" i="2" s="1"/>
  <c r="M88" i="2"/>
  <c r="M97" i="2"/>
  <c r="I106" i="2"/>
  <c r="J106" i="2" s="1"/>
  <c r="N106" i="2" s="1"/>
  <c r="I123" i="2"/>
  <c r="J123" i="2" s="1"/>
  <c r="M123" i="2"/>
  <c r="I128" i="2"/>
  <c r="J128" i="2" s="1"/>
  <c r="Q128" i="2"/>
  <c r="M128" i="2"/>
  <c r="K128" i="2"/>
  <c r="L128" i="2" s="1"/>
  <c r="I133" i="2"/>
  <c r="J133" i="2" s="1"/>
  <c r="M133" i="2"/>
  <c r="Q165" i="2"/>
  <c r="I165" i="2"/>
  <c r="J165" i="2" s="1"/>
  <c r="N165" i="2" s="1"/>
  <c r="N171" i="2"/>
  <c r="M174" i="2"/>
  <c r="N186" i="2"/>
  <c r="Q194" i="2"/>
  <c r="I194" i="2"/>
  <c r="J194" i="2" s="1"/>
  <c r="N194" i="2" s="1"/>
  <c r="N197" i="2"/>
  <c r="N200" i="2"/>
  <c r="I12" i="2"/>
  <c r="J12" i="2" s="1"/>
  <c r="M125" i="2"/>
  <c r="K125" i="2"/>
  <c r="L125" i="2" s="1"/>
  <c r="I125" i="2"/>
  <c r="J125" i="2" s="1"/>
  <c r="I60" i="2"/>
  <c r="J60" i="2" s="1"/>
  <c r="I104" i="2"/>
  <c r="J104" i="2" s="1"/>
  <c r="Q149" i="2"/>
  <c r="M149" i="2"/>
  <c r="K149" i="2"/>
  <c r="L149" i="2" s="1"/>
  <c r="I149" i="2"/>
  <c r="J149" i="2" s="1"/>
  <c r="N149" i="2" s="1"/>
  <c r="Q155" i="2"/>
  <c r="I155" i="2"/>
  <c r="J155" i="2" s="1"/>
  <c r="K12" i="2"/>
  <c r="L12" i="2" s="1"/>
  <c r="M31" i="2"/>
  <c r="N31" i="2" s="1"/>
  <c r="K9" i="2"/>
  <c r="L9" i="2" s="1"/>
  <c r="I14" i="2"/>
  <c r="J14" i="2" s="1"/>
  <c r="N14" i="2" s="1"/>
  <c r="K17" i="2"/>
  <c r="L17" i="2" s="1"/>
  <c r="K35" i="2"/>
  <c r="L35" i="2" s="1"/>
  <c r="I54" i="2"/>
  <c r="J54" i="2" s="1"/>
  <c r="N54" i="2" s="1"/>
  <c r="M62" i="2"/>
  <c r="M78" i="2"/>
  <c r="Q86" i="2"/>
  <c r="Q93" i="2"/>
  <c r="M93" i="2"/>
  <c r="M100" i="2"/>
  <c r="I100" i="2"/>
  <c r="J100" i="2" s="1"/>
  <c r="N100" i="2" s="1"/>
  <c r="K104" i="2"/>
  <c r="L104" i="2" s="1"/>
  <c r="Q111" i="2"/>
  <c r="M111" i="2"/>
  <c r="I116" i="2"/>
  <c r="J116" i="2" s="1"/>
  <c r="N116" i="2" s="1"/>
  <c r="M144" i="2"/>
  <c r="N144" i="2" s="1"/>
  <c r="M155" i="2"/>
  <c r="Q174" i="2"/>
  <c r="I180" i="2"/>
  <c r="J180" i="2" s="1"/>
  <c r="M180" i="2"/>
  <c r="G219" i="2"/>
  <c r="L43" i="4"/>
  <c r="Q221" i="2"/>
  <c r="N148" i="2"/>
  <c r="N90" i="2"/>
  <c r="Q97" i="2"/>
  <c r="Q150" i="2"/>
  <c r="I150" i="2"/>
  <c r="J150" i="2" s="1"/>
  <c r="I153" i="2"/>
  <c r="J153" i="2" s="1"/>
  <c r="M153" i="2"/>
  <c r="N198" i="2"/>
  <c r="Q206" i="2"/>
  <c r="I206" i="2"/>
  <c r="J206" i="2" s="1"/>
  <c r="N206" i="2" s="1"/>
  <c r="M64" i="2"/>
  <c r="I64" i="2"/>
  <c r="J64" i="2" s="1"/>
  <c r="N64" i="2" s="1"/>
  <c r="Q135" i="2"/>
  <c r="I135" i="2"/>
  <c r="J135" i="2" s="1"/>
  <c r="N135" i="2" s="1"/>
  <c r="M60" i="2"/>
  <c r="M9" i="2"/>
  <c r="M17" i="2"/>
  <c r="I63" i="2"/>
  <c r="J63" i="2" s="1"/>
  <c r="N63" i="2" s="1"/>
  <c r="I85" i="2"/>
  <c r="J85" i="2" s="1"/>
  <c r="N85" i="2" s="1"/>
  <c r="M104" i="2"/>
  <c r="M109" i="2"/>
  <c r="Q109" i="2"/>
  <c r="I178" i="2"/>
  <c r="J178" i="2" s="1"/>
  <c r="N178" i="2" s="1"/>
  <c r="Q178" i="2"/>
  <c r="I192" i="2"/>
  <c r="J192" i="2" s="1"/>
  <c r="M192" i="2"/>
  <c r="N130" i="2"/>
  <c r="M50" i="2"/>
  <c r="I8" i="2"/>
  <c r="J8" i="2" s="1"/>
  <c r="N8" i="2" s="1"/>
  <c r="I43" i="2"/>
  <c r="J43" i="2" s="1"/>
  <c r="N43" i="2" s="1"/>
  <c r="M52" i="2"/>
  <c r="Q28" i="2"/>
  <c r="I67" i="2"/>
  <c r="J67" i="2" s="1"/>
  <c r="I73" i="2"/>
  <c r="J73" i="2" s="1"/>
  <c r="N73" i="2" s="1"/>
  <c r="N142" i="2"/>
  <c r="Q164" i="2"/>
  <c r="M164" i="2"/>
  <c r="K164" i="2"/>
  <c r="L164" i="2" s="1"/>
  <c r="I164" i="2"/>
  <c r="J164" i="2" s="1"/>
  <c r="N164" i="2" s="1"/>
  <c r="I50" i="2"/>
  <c r="J50" i="2" s="1"/>
  <c r="I32" i="2"/>
  <c r="J32" i="2" s="1"/>
  <c r="I41" i="2"/>
  <c r="J41" i="2" s="1"/>
  <c r="N41" i="2" s="1"/>
  <c r="I65" i="2"/>
  <c r="J65" i="2" s="1"/>
  <c r="N65" i="2" s="1"/>
  <c r="I24" i="2"/>
  <c r="J24" i="2" s="1"/>
  <c r="I98" i="2"/>
  <c r="J98" i="2" s="1"/>
  <c r="I109" i="2"/>
  <c r="J109" i="2" s="1"/>
  <c r="N109" i="2" s="1"/>
  <c r="M150" i="2"/>
  <c r="M169" i="2"/>
  <c r="N169" i="2" s="1"/>
  <c r="M198" i="2"/>
  <c r="M206" i="2"/>
  <c r="K8" i="2"/>
  <c r="L8" i="2" s="1"/>
  <c r="Q25" i="2"/>
  <c r="K27" i="2"/>
  <c r="L27" i="2" s="1"/>
  <c r="K32" i="2"/>
  <c r="L32" i="2" s="1"/>
  <c r="Q35" i="2"/>
  <c r="Q37" i="2"/>
  <c r="M43" i="2"/>
  <c r="K47" i="2"/>
  <c r="L47" i="2" s="1"/>
  <c r="I55" i="2"/>
  <c r="J55" i="2" s="1"/>
  <c r="N55" i="2" s="1"/>
  <c r="Q57" i="2"/>
  <c r="M57" i="2"/>
  <c r="N57" i="2" s="1"/>
  <c r="K65" i="2"/>
  <c r="L65" i="2" s="1"/>
  <c r="I77" i="2"/>
  <c r="J77" i="2" s="1"/>
  <c r="N77" i="2" s="1"/>
  <c r="M79" i="2"/>
  <c r="Q96" i="2"/>
  <c r="M96" i="2"/>
  <c r="N96" i="2" s="1"/>
  <c r="K98" i="2"/>
  <c r="L98" i="2" s="1"/>
  <c r="Q100" i="2"/>
  <c r="M121" i="2"/>
  <c r="M126" i="2"/>
  <c r="M131" i="2"/>
  <c r="N131" i="2" s="1"/>
  <c r="Q153" i="2"/>
  <c r="Q169" i="2"/>
  <c r="I190" i="2"/>
  <c r="J190" i="2" s="1"/>
  <c r="N190" i="2" s="1"/>
  <c r="Q190" i="2"/>
  <c r="Q198" i="2"/>
  <c r="I204" i="2"/>
  <c r="J204" i="2" s="1"/>
  <c r="M204" i="2"/>
  <c r="M46" i="2"/>
  <c r="I46" i="2"/>
  <c r="J46" i="2" s="1"/>
  <c r="N46" i="2" s="1"/>
  <c r="I62" i="2"/>
  <c r="J62" i="2" s="1"/>
  <c r="I78" i="2"/>
  <c r="J78" i="2" s="1"/>
  <c r="N78" i="2" s="1"/>
  <c r="N120" i="2"/>
  <c r="Q212" i="2"/>
  <c r="I212" i="2"/>
  <c r="J212" i="2" s="1"/>
  <c r="N212" i="2" s="1"/>
  <c r="Q48" i="2"/>
  <c r="I47" i="2"/>
  <c r="J47" i="2" s="1"/>
  <c r="Q70" i="2"/>
  <c r="Q20" i="2"/>
  <c r="Q219" i="2" s="1"/>
  <c r="I49" i="2"/>
  <c r="J49" i="2" s="1"/>
  <c r="N49" i="2" s="1"/>
  <c r="Q75" i="2"/>
  <c r="M75" i="2"/>
  <c r="N75" i="2" s="1"/>
  <c r="M19" i="2"/>
  <c r="K24" i="2"/>
  <c r="L24" i="2" s="1"/>
  <c r="M45" i="2"/>
  <c r="M61" i="2"/>
  <c r="N61" i="2" s="1"/>
  <c r="M63" i="2"/>
  <c r="K77" i="2"/>
  <c r="L77" i="2" s="1"/>
  <c r="M85" i="2"/>
  <c r="M98" i="2"/>
  <c r="Q103" i="2"/>
  <c r="I103" i="2"/>
  <c r="J103" i="2" s="1"/>
  <c r="N103" i="2" s="1"/>
  <c r="M178" i="2"/>
  <c r="Q192" i="2"/>
  <c r="Q138" i="2"/>
  <c r="M138" i="2"/>
  <c r="N138" i="2" s="1"/>
  <c r="N185" i="2"/>
  <c r="M12" i="2"/>
  <c r="G221" i="2"/>
  <c r="K41" i="2"/>
  <c r="L41" i="2" s="1"/>
  <c r="N34" i="2"/>
  <c r="Q41" i="2"/>
  <c r="M47" i="2"/>
  <c r="K143" i="2"/>
  <c r="L143" i="2" s="1"/>
  <c r="Q143" i="2"/>
  <c r="M143" i="2"/>
  <c r="Q160" i="2"/>
  <c r="I160" i="2"/>
  <c r="J160" i="2" s="1"/>
  <c r="N160" i="2" s="1"/>
  <c r="N163" i="2"/>
  <c r="K173" i="2"/>
  <c r="L173" i="2" s="1"/>
  <c r="I173" i="2"/>
  <c r="J173" i="2" s="1"/>
  <c r="Q173" i="2"/>
  <c r="M173" i="2"/>
  <c r="I202" i="2"/>
  <c r="J202" i="2" s="1"/>
  <c r="N202" i="2" s="1"/>
  <c r="Q202" i="2"/>
  <c r="I20" i="2"/>
  <c r="J20" i="2" s="1"/>
  <c r="N174" i="2"/>
  <c r="Q182" i="2"/>
  <c r="I182" i="2"/>
  <c r="J182" i="2" s="1"/>
  <c r="N182" i="2" s="1"/>
  <c r="I19" i="2"/>
  <c r="J19" i="2" s="1"/>
  <c r="N19" i="2" s="1"/>
  <c r="I27" i="2"/>
  <c r="J27" i="2" s="1"/>
  <c r="N27" i="2" s="1"/>
  <c r="M35" i="2"/>
  <c r="N35" i="2" s="1"/>
  <c r="I45" i="2"/>
  <c r="J45" i="2" s="1"/>
  <c r="M16" i="2"/>
  <c r="N16" i="2" s="1"/>
  <c r="N36" i="2"/>
  <c r="M49" i="2"/>
  <c r="M65" i="2"/>
  <c r="M67" i="2"/>
  <c r="Q79" i="2"/>
  <c r="G220" i="2"/>
  <c r="Q61" i="2"/>
  <c r="Q77" i="2"/>
  <c r="M82" i="2"/>
  <c r="I82" i="2"/>
  <c r="J82" i="2" s="1"/>
  <c r="I99" i="2"/>
  <c r="J99" i="2" s="1"/>
  <c r="N99" i="2" s="1"/>
  <c r="M110" i="2"/>
  <c r="I110" i="2"/>
  <c r="J110" i="2" s="1"/>
  <c r="N110" i="2" s="1"/>
  <c r="I143" i="2"/>
  <c r="J143" i="2" s="1"/>
  <c r="N176" i="2"/>
  <c r="G76" i="3"/>
  <c r="Q136" i="2"/>
  <c r="M148" i="2"/>
  <c r="Q151" i="2"/>
  <c r="Q156" i="2"/>
  <c r="Q161" i="2"/>
  <c r="M163" i="2"/>
  <c r="Q166" i="2"/>
  <c r="M168" i="2"/>
  <c r="N168" i="2" s="1"/>
  <c r="Q183" i="2"/>
  <c r="M185" i="2"/>
  <c r="Q195" i="2"/>
  <c r="M197" i="2"/>
  <c r="Q207" i="2"/>
  <c r="H76" i="3"/>
  <c r="I172" i="2"/>
  <c r="J172" i="2" s="1"/>
  <c r="N172" i="2" s="1"/>
  <c r="I177" i="2"/>
  <c r="J177" i="2" s="1"/>
  <c r="N177" i="2" s="1"/>
  <c r="I189" i="2"/>
  <c r="J189" i="2" s="1"/>
  <c r="N189" i="2" s="1"/>
  <c r="I201" i="2"/>
  <c r="J201" i="2" s="1"/>
  <c r="N201" i="2" s="1"/>
  <c r="M113" i="2"/>
  <c r="N113" i="2" s="1"/>
  <c r="I137" i="2"/>
  <c r="J137" i="2" s="1"/>
  <c r="N137" i="2" s="1"/>
  <c r="M140" i="2"/>
  <c r="N140" i="2" s="1"/>
  <c r="M145" i="2"/>
  <c r="N145" i="2" s="1"/>
  <c r="I147" i="2"/>
  <c r="J147" i="2" s="1"/>
  <c r="N147" i="2" s="1"/>
  <c r="I152" i="2"/>
  <c r="J152" i="2" s="1"/>
  <c r="N152" i="2" s="1"/>
  <c r="I157" i="2"/>
  <c r="J157" i="2" s="1"/>
  <c r="N157" i="2" s="1"/>
  <c r="I162" i="2"/>
  <c r="J162" i="2" s="1"/>
  <c r="N162" i="2" s="1"/>
  <c r="I167" i="2"/>
  <c r="J167" i="2" s="1"/>
  <c r="N167" i="2" s="1"/>
  <c r="M170" i="2"/>
  <c r="N170" i="2" s="1"/>
  <c r="M175" i="2"/>
  <c r="N175" i="2" s="1"/>
  <c r="I184" i="2"/>
  <c r="J184" i="2" s="1"/>
  <c r="N184" i="2" s="1"/>
  <c r="M187" i="2"/>
  <c r="N187" i="2" s="1"/>
  <c r="I196" i="2"/>
  <c r="J196" i="2" s="1"/>
  <c r="N196" i="2" s="1"/>
  <c r="M199" i="2"/>
  <c r="N199" i="2" s="1"/>
  <c r="I208" i="2"/>
  <c r="J208" i="2" s="1"/>
  <c r="N208" i="2" s="1"/>
  <c r="N143" i="2" l="1"/>
  <c r="N17" i="2"/>
  <c r="N47" i="2"/>
  <c r="N104" i="2"/>
  <c r="N9" i="2"/>
  <c r="N24" i="2"/>
  <c r="N20" i="2"/>
  <c r="N128" i="2"/>
  <c r="N204" i="2"/>
  <c r="N50" i="2"/>
  <c r="N123" i="2"/>
  <c r="N60" i="2"/>
  <c r="F220" i="2"/>
  <c r="N180" i="2"/>
  <c r="N32" i="2"/>
  <c r="N153" i="2"/>
  <c r="N150" i="2"/>
  <c r="N82" i="2"/>
  <c r="N45" i="2"/>
  <c r="N173" i="2"/>
  <c r="N192" i="2"/>
  <c r="N125" i="2"/>
  <c r="N12" i="2"/>
  <c r="N133" i="2"/>
  <c r="N62" i="2"/>
  <c r="N98" i="2"/>
  <c r="N67" i="2"/>
  <c r="F221" i="2" s="1"/>
  <c r="N155" i="2"/>
  <c r="N118" i="2"/>
  <c r="F219" i="2" l="1"/>
  <c r="F226" i="2" s="1"/>
</calcChain>
</file>

<file path=xl/sharedStrings.xml><?xml version="1.0" encoding="utf-8"?>
<sst xmlns="http://schemas.openxmlformats.org/spreadsheetml/2006/main" count="1109" uniqueCount="301">
  <si>
    <t>ELEC. CABLE TRENCH DATA</t>
    <phoneticPr fontId="0" type="noConversion"/>
  </si>
  <si>
    <r>
      <t xml:space="preserve">Project : </t>
    </r>
    <r>
      <rPr>
        <b/>
        <sz val="11"/>
        <rFont val="돋움"/>
        <family val="3"/>
        <charset val="129"/>
      </rPr>
      <t>카자흐스탄</t>
    </r>
    <r>
      <rPr>
        <b/>
        <sz val="11"/>
        <rFont val="Arial"/>
        <family val="3"/>
      </rPr>
      <t xml:space="preserve"> KMGPC Gas Separation Unit Project</t>
    </r>
  </si>
  <si>
    <t>Section No.</t>
  </si>
  <si>
    <t>WBS</t>
    <phoneticPr fontId="0" type="noConversion"/>
  </si>
  <si>
    <t>Type No.</t>
    <phoneticPr fontId="0" type="noConversion"/>
  </si>
  <si>
    <t>Cable Trench (mm)</t>
    <phoneticPr fontId="0" type="noConversion"/>
  </si>
  <si>
    <t>Protection 
Tile(EA)
(300Wx300Dx50T)</t>
    <phoneticPr fontId="0" type="noConversion"/>
  </si>
  <si>
    <t>Warning Tape(m)</t>
    <phoneticPr fontId="0" type="noConversion"/>
  </si>
  <si>
    <t>Route
Marker</t>
    <phoneticPr fontId="0" type="noConversion"/>
  </si>
  <si>
    <t>Remark</t>
    <phoneticPr fontId="0" type="noConversion"/>
  </si>
  <si>
    <t>Reference 
Drawing No.</t>
    <phoneticPr fontId="0" type="noConversion"/>
  </si>
  <si>
    <t>Width
(mm)</t>
    <phoneticPr fontId="0" type="noConversion"/>
  </si>
  <si>
    <t>Height
(mm)</t>
    <phoneticPr fontId="0" type="noConversion"/>
  </si>
  <si>
    <t>Length
(m)</t>
    <phoneticPr fontId="0" type="noConversion"/>
  </si>
  <si>
    <t>1. POWER SYSTEM</t>
    <phoneticPr fontId="0" type="noConversion"/>
  </si>
  <si>
    <t>SECTION "1-1"</t>
    <phoneticPr fontId="0" type="noConversion"/>
  </si>
  <si>
    <t>101.00</t>
    <phoneticPr fontId="0" type="noConversion"/>
  </si>
  <si>
    <t>Attachment #P-1</t>
    <phoneticPr fontId="0" type="noConversion"/>
  </si>
  <si>
    <t>SECTION "1-2"</t>
    <phoneticPr fontId="0" type="noConversion"/>
  </si>
  <si>
    <t>SECTION "2-1"</t>
    <phoneticPr fontId="0" type="noConversion"/>
  </si>
  <si>
    <t>102.00</t>
    <phoneticPr fontId="0" type="noConversion"/>
  </si>
  <si>
    <t>SECTION "2-2"</t>
    <phoneticPr fontId="0" type="noConversion"/>
  </si>
  <si>
    <t>SECTION "3-1"</t>
    <phoneticPr fontId="0" type="noConversion"/>
  </si>
  <si>
    <t>104.00</t>
    <phoneticPr fontId="0" type="noConversion"/>
  </si>
  <si>
    <t>SECTION "xx-x"</t>
    <phoneticPr fontId="0" type="noConversion"/>
  </si>
  <si>
    <t>Power Concrete Trench Total</t>
    <phoneticPr fontId="0" type="noConversion"/>
  </si>
  <si>
    <t>ELECTRICAL CABLE TRAY</t>
    <phoneticPr fontId="0" type="noConversion"/>
  </si>
  <si>
    <r>
      <t xml:space="preserve">Project : </t>
    </r>
    <r>
      <rPr>
        <b/>
        <sz val="11"/>
        <rFont val="돋움"/>
        <family val="3"/>
        <charset val="129"/>
      </rPr>
      <t>BOTB</t>
    </r>
  </si>
  <si>
    <t>Cable Tray
Section</t>
    <phoneticPr fontId="0" type="noConversion"/>
  </si>
  <si>
    <t>Remark</t>
  </si>
  <si>
    <t xml:space="preserve"> Cable Tray Section</t>
    <phoneticPr fontId="0" type="noConversion"/>
  </si>
  <si>
    <t>Total Length [M]</t>
    <phoneticPr fontId="0" type="noConversion"/>
  </si>
  <si>
    <t>LAYER</t>
    <phoneticPr fontId="0" type="noConversion"/>
  </si>
  <si>
    <t>C-CHANNEL (125x65x6T)</t>
    <phoneticPr fontId="0" type="noConversion"/>
  </si>
  <si>
    <t>H-Support
(150x150)</t>
    <phoneticPr fontId="0" type="noConversion"/>
  </si>
  <si>
    <t>Cable Tray Weight    [Kg]</t>
    <phoneticPr fontId="0" type="noConversion"/>
  </si>
  <si>
    <t>Total Weight
[Kg]</t>
    <phoneticPr fontId="0" type="noConversion"/>
  </si>
  <si>
    <t>Width 
(mm)</t>
    <phoneticPr fontId="0" type="noConversion"/>
  </si>
  <si>
    <t>Height
 (mm)</t>
    <phoneticPr fontId="0" type="noConversion"/>
  </si>
  <si>
    <t>HOR.TRAY [M]           (1 ROW)</t>
    <phoneticPr fontId="0" type="noConversion"/>
  </si>
  <si>
    <t>VER.TRAY [M]           (1 ROW)</t>
    <phoneticPr fontId="0" type="noConversion"/>
  </si>
  <si>
    <t>Length [M]</t>
    <phoneticPr fontId="0" type="noConversion"/>
  </si>
  <si>
    <t>Weight [Kg]</t>
    <phoneticPr fontId="0" type="noConversion"/>
  </si>
  <si>
    <t>PIPE RACK</t>
    <phoneticPr fontId="0" type="noConversion"/>
  </si>
  <si>
    <t>SECTION "6A"</t>
    <phoneticPr fontId="0" type="noConversion"/>
  </si>
  <si>
    <t>670.00</t>
  </si>
  <si>
    <t>SECTION "6B"</t>
    <phoneticPr fontId="0" type="noConversion"/>
  </si>
  <si>
    <t>SECTION "5A"</t>
    <phoneticPr fontId="0" type="noConversion"/>
  </si>
  <si>
    <t>SECTION "5B"</t>
    <phoneticPr fontId="0" type="noConversion"/>
  </si>
  <si>
    <t>SECTION "5C"</t>
    <phoneticPr fontId="0" type="noConversion"/>
  </si>
  <si>
    <t>SECTION "4A"</t>
    <phoneticPr fontId="0" type="noConversion"/>
  </si>
  <si>
    <t>SECTION "3A"</t>
    <phoneticPr fontId="0" type="noConversion"/>
  </si>
  <si>
    <t>SECTION "2A"</t>
    <phoneticPr fontId="0" type="noConversion"/>
  </si>
  <si>
    <t>SECTION "1A"</t>
    <phoneticPr fontId="0" type="noConversion"/>
  </si>
  <si>
    <t>SECTION "Z"</t>
    <phoneticPr fontId="0" type="noConversion"/>
  </si>
  <si>
    <t>SECTION "Y1"</t>
    <phoneticPr fontId="0" type="noConversion"/>
  </si>
  <si>
    <t>SECTION "Y2"</t>
    <phoneticPr fontId="0" type="noConversion"/>
  </si>
  <si>
    <t>SECTION "Y3"</t>
    <phoneticPr fontId="0" type="noConversion"/>
  </si>
  <si>
    <t>SECTION "X1"</t>
    <phoneticPr fontId="0" type="noConversion"/>
  </si>
  <si>
    <t>SECTION "X2"</t>
    <phoneticPr fontId="0" type="noConversion"/>
  </si>
  <si>
    <t>SECTION "X3"</t>
    <phoneticPr fontId="0" type="noConversion"/>
  </si>
  <si>
    <t>SECTION "W1"</t>
    <phoneticPr fontId="0" type="noConversion"/>
  </si>
  <si>
    <t>SECTION "W2"</t>
    <phoneticPr fontId="0" type="noConversion"/>
  </si>
  <si>
    <t>SECTION "W3"</t>
    <phoneticPr fontId="0" type="noConversion"/>
  </si>
  <si>
    <t>SECTION "W4"</t>
    <phoneticPr fontId="0" type="noConversion"/>
  </si>
  <si>
    <t>SECTION "W5"</t>
    <phoneticPr fontId="0" type="noConversion"/>
  </si>
  <si>
    <t>SECTION "V1"</t>
    <phoneticPr fontId="0" type="noConversion"/>
  </si>
  <si>
    <t>SECTION "V2"</t>
    <phoneticPr fontId="0" type="noConversion"/>
  </si>
  <si>
    <t>SECTION "U1"</t>
    <phoneticPr fontId="0" type="noConversion"/>
  </si>
  <si>
    <t>SECTION "T1"</t>
    <phoneticPr fontId="0" type="noConversion"/>
  </si>
  <si>
    <t>SECTION "T2"</t>
    <phoneticPr fontId="0" type="noConversion"/>
  </si>
  <si>
    <t>SECTION "T3"</t>
    <phoneticPr fontId="0" type="noConversion"/>
  </si>
  <si>
    <t>SECTION "S1"</t>
    <phoneticPr fontId="0" type="noConversion"/>
  </si>
  <si>
    <t>SECTION "S2"</t>
    <phoneticPr fontId="0" type="noConversion"/>
  </si>
  <si>
    <t>SECTION "S3"</t>
    <phoneticPr fontId="0" type="noConversion"/>
  </si>
  <si>
    <t>SECTION "R1"</t>
    <phoneticPr fontId="0" type="noConversion"/>
  </si>
  <si>
    <t>SECTION "R2"</t>
    <phoneticPr fontId="0" type="noConversion"/>
  </si>
  <si>
    <t>SECTION "Q1"</t>
    <phoneticPr fontId="0" type="noConversion"/>
  </si>
  <si>
    <t>SECTION "P1"</t>
    <phoneticPr fontId="0" type="noConversion"/>
  </si>
  <si>
    <t>SECTION "O1"</t>
    <phoneticPr fontId="0" type="noConversion"/>
  </si>
  <si>
    <t>SECTION "O2"</t>
    <phoneticPr fontId="0" type="noConversion"/>
  </si>
  <si>
    <t>SECTION "O3"</t>
    <phoneticPr fontId="0" type="noConversion"/>
  </si>
  <si>
    <t>SECTION "N1"</t>
    <phoneticPr fontId="0" type="noConversion"/>
  </si>
  <si>
    <t>SECTION "M1"</t>
    <phoneticPr fontId="0" type="noConversion"/>
  </si>
  <si>
    <t>SECTION "L1"</t>
    <phoneticPr fontId="0" type="noConversion"/>
  </si>
  <si>
    <t>SECTION "K1"</t>
    <phoneticPr fontId="0" type="noConversion"/>
  </si>
  <si>
    <t>SECTION "J1"</t>
    <phoneticPr fontId="0" type="noConversion"/>
  </si>
  <si>
    <t>SECTION "J2"</t>
    <phoneticPr fontId="0" type="noConversion"/>
  </si>
  <si>
    <t>SECTION "J3"</t>
    <phoneticPr fontId="0" type="noConversion"/>
  </si>
  <si>
    <t>SECTION "J4"</t>
    <phoneticPr fontId="0" type="noConversion"/>
  </si>
  <si>
    <t>SECTION "I1"</t>
    <phoneticPr fontId="0" type="noConversion"/>
  </si>
  <si>
    <t>SECTION "H1"</t>
    <phoneticPr fontId="0" type="noConversion"/>
  </si>
  <si>
    <t>SECTION "H2"</t>
    <phoneticPr fontId="0" type="noConversion"/>
  </si>
  <si>
    <t>SECTION "H3"</t>
    <phoneticPr fontId="0" type="noConversion"/>
  </si>
  <si>
    <t>SECTION "H4"</t>
    <phoneticPr fontId="0" type="noConversion"/>
  </si>
  <si>
    <t>SECTION "H6"</t>
    <phoneticPr fontId="0" type="noConversion"/>
  </si>
  <si>
    <t>SECTION "H5"</t>
    <phoneticPr fontId="0" type="noConversion"/>
  </si>
  <si>
    <t>SECTION "G1"</t>
    <phoneticPr fontId="0" type="noConversion"/>
  </si>
  <si>
    <t>SECTION "F1"</t>
    <phoneticPr fontId="0" type="noConversion"/>
  </si>
  <si>
    <t>SECTION "F2"</t>
    <phoneticPr fontId="0" type="noConversion"/>
  </si>
  <si>
    <t>SECTION "F3"</t>
    <phoneticPr fontId="0" type="noConversion"/>
  </si>
  <si>
    <t>SECTION "E1"</t>
    <phoneticPr fontId="0" type="noConversion"/>
  </si>
  <si>
    <t>SECTION "D1"</t>
    <phoneticPr fontId="0" type="noConversion"/>
  </si>
  <si>
    <t>SECTION "D2"</t>
    <phoneticPr fontId="0" type="noConversion"/>
  </si>
  <si>
    <t>SECTION "D3"</t>
    <phoneticPr fontId="0" type="noConversion"/>
  </si>
  <si>
    <t>SECTION "D4"</t>
    <phoneticPr fontId="0" type="noConversion"/>
  </si>
  <si>
    <t>SECTION "C1"</t>
    <phoneticPr fontId="0" type="noConversion"/>
  </si>
  <si>
    <t>SECTION "C2"</t>
    <phoneticPr fontId="0" type="noConversion"/>
  </si>
  <si>
    <t>SECTION "B1"</t>
    <phoneticPr fontId="0" type="noConversion"/>
  </si>
  <si>
    <t>SECTION "A1"</t>
    <phoneticPr fontId="0" type="noConversion"/>
  </si>
  <si>
    <t>SECTION "A2"</t>
    <phoneticPr fontId="0" type="noConversion"/>
  </si>
  <si>
    <t>SECTION "A3"</t>
    <phoneticPr fontId="0" type="noConversion"/>
  </si>
  <si>
    <t>Crossing &amp; Branch &amp; Drop</t>
    <phoneticPr fontId="0" type="noConversion"/>
  </si>
  <si>
    <t>Electrical Cable Tray Loading Data</t>
    <phoneticPr fontId="0" type="noConversion"/>
  </si>
  <si>
    <t xml:space="preserve">Tray Width </t>
    <phoneticPr fontId="0" type="noConversion"/>
  </si>
  <si>
    <t>Total Weight    (ton)</t>
    <phoneticPr fontId="0" type="noConversion"/>
  </si>
  <si>
    <t xml:space="preserve"> C-CHANNEL (150x75x6T) = 13.4 Kg/M</t>
    <phoneticPr fontId="0" type="noConversion"/>
  </si>
  <si>
    <t xml:space="preserve"> H-Beam (150x150) = 31.5 Kg/M</t>
    <phoneticPr fontId="0" type="noConversion"/>
  </si>
  <si>
    <t xml:space="preserve"> W900mm x H150mm = 150 Kg/M</t>
    <phoneticPr fontId="0" type="noConversion"/>
  </si>
  <si>
    <t xml:space="preserve"> W600mm x H150mm = 95 Kg/M</t>
    <phoneticPr fontId="0" type="noConversion"/>
  </si>
  <si>
    <t xml:space="preserve"> W300mm x H150mm = 65 Kg/M</t>
    <phoneticPr fontId="0" type="noConversion"/>
  </si>
  <si>
    <r>
      <t xml:space="preserve">Project : </t>
    </r>
    <r>
      <rPr>
        <b/>
        <sz val="11"/>
        <rFont val="맑은 고딕"/>
        <family val="3"/>
        <charset val="129"/>
      </rPr>
      <t>카자흐스탄</t>
    </r>
    <r>
      <rPr>
        <b/>
        <sz val="11"/>
        <rFont val="Arial"/>
        <family val="3"/>
      </rPr>
      <t xml:space="preserve"> KMGPC Gas Separation Unit Project</t>
    </r>
  </si>
  <si>
    <t>Direct Buried (mm)</t>
    <phoneticPr fontId="0" type="noConversion"/>
  </si>
  <si>
    <t>SECTION "114-1"</t>
    <phoneticPr fontId="0" type="noConversion"/>
  </si>
  <si>
    <t>114.00</t>
    <phoneticPr fontId="0" type="noConversion"/>
  </si>
  <si>
    <t>Direct Buried</t>
    <phoneticPr fontId="0" type="noConversion"/>
  </si>
  <si>
    <t>P220</t>
    <phoneticPr fontId="0" type="noConversion"/>
  </si>
  <si>
    <t>Attachment #P-7</t>
    <phoneticPr fontId="0" type="noConversion"/>
  </si>
  <si>
    <t>SECTION "114-2"</t>
  </si>
  <si>
    <t>SECTION "114-3"</t>
  </si>
  <si>
    <t>SECTION "114-4"</t>
  </si>
  <si>
    <t>SECTION "119-1"</t>
  </si>
  <si>
    <t>119.00</t>
    <phoneticPr fontId="0" type="noConversion"/>
  </si>
  <si>
    <r>
      <t>P220</t>
    </r>
    <r>
      <rPr>
        <sz val="9"/>
        <rFont val="Arial Unicode MS"/>
        <family val="2"/>
        <charset val="129"/>
      </rPr>
      <t>으로 이동완료</t>
    </r>
  </si>
  <si>
    <t>SECTION "119-2"</t>
  </si>
  <si>
    <t>SECTION "119-3"</t>
  </si>
  <si>
    <t>SECTION "119-4"</t>
  </si>
  <si>
    <t>SECTION "119-5"</t>
  </si>
  <si>
    <t>119.00</t>
  </si>
  <si>
    <t>SECTION "119-6"</t>
  </si>
  <si>
    <t>SECTION "119-7"</t>
  </si>
  <si>
    <t>SECTION "119-8"</t>
  </si>
  <si>
    <t>SECTION "119-9"</t>
  </si>
  <si>
    <t>SECTION "119-10"</t>
  </si>
  <si>
    <t>SECTION "119-11"</t>
  </si>
  <si>
    <t>SECTION "119-12"</t>
  </si>
  <si>
    <t>SECTION "119-13"</t>
  </si>
  <si>
    <t>SECTION "119-14"</t>
  </si>
  <si>
    <t>SECTION "119-15"</t>
  </si>
  <si>
    <t>SECTION "119-16"</t>
  </si>
  <si>
    <t>SECTION "119-17"</t>
  </si>
  <si>
    <t>SECTION "119-18"</t>
  </si>
  <si>
    <t>SECTION "119-19"</t>
  </si>
  <si>
    <t>SECTION "119-20"</t>
  </si>
  <si>
    <t>SECTION "119-21"</t>
  </si>
  <si>
    <t>SECTION "119-22"</t>
  </si>
  <si>
    <t>SECTION "119-23"</t>
  </si>
  <si>
    <t>SECTION "119-24"</t>
  </si>
  <si>
    <t>SECTION "119-25"</t>
  </si>
  <si>
    <t>SECTION "119-26"</t>
  </si>
  <si>
    <t>SECTION "119-27"</t>
  </si>
  <si>
    <t>SECTION "119-28"</t>
  </si>
  <si>
    <t>SECTION "119-29"</t>
  </si>
  <si>
    <t>SECTION "119-30"</t>
  </si>
  <si>
    <t>SECTION "119-31"</t>
  </si>
  <si>
    <t>SECTION "119-32"</t>
  </si>
  <si>
    <t>SECTION "140-1"</t>
    <phoneticPr fontId="0" type="noConversion"/>
  </si>
  <si>
    <t>140.00</t>
    <phoneticPr fontId="0" type="noConversion"/>
  </si>
  <si>
    <t>D200</t>
    <phoneticPr fontId="0" type="noConversion"/>
  </si>
  <si>
    <t>SECTION "140-2"</t>
    <phoneticPr fontId="0" type="noConversion"/>
  </si>
  <si>
    <t>SECTION "142-1"</t>
    <phoneticPr fontId="0" type="noConversion"/>
  </si>
  <si>
    <t>142.00</t>
    <phoneticPr fontId="0" type="noConversion"/>
  </si>
  <si>
    <t>SECTION "142-2"</t>
  </si>
  <si>
    <t>SECTION "142-3"</t>
  </si>
  <si>
    <t>SECTION "142-4"</t>
  </si>
  <si>
    <t>SECTION "142-5"</t>
  </si>
  <si>
    <t>SECTION "142-6"</t>
  </si>
  <si>
    <t>142.00</t>
  </si>
  <si>
    <t>SECTION "142-7"</t>
  </si>
  <si>
    <t>SECTION "142-8"</t>
  </si>
  <si>
    <t>SECTION "142-9"</t>
  </si>
  <si>
    <t>SECTION "142-10"</t>
  </si>
  <si>
    <t>SECTION "142-11"</t>
  </si>
  <si>
    <t>SECTION "142-12"</t>
  </si>
  <si>
    <t>SECTION "142-13"</t>
  </si>
  <si>
    <t>SECTION "142-14"</t>
  </si>
  <si>
    <t>SECTION "142-15"</t>
  </si>
  <si>
    <t>SECTION "142-16"</t>
  </si>
  <si>
    <t>SECTION "142-17"</t>
  </si>
  <si>
    <t>SECTION "142-18"</t>
  </si>
  <si>
    <t>SECTION "145-1"</t>
    <phoneticPr fontId="0" type="noConversion"/>
  </si>
  <si>
    <t>145.00</t>
    <phoneticPr fontId="0" type="noConversion"/>
  </si>
  <si>
    <t>B210</t>
    <phoneticPr fontId="0" type="noConversion"/>
  </si>
  <si>
    <t>SECTION "145-2"</t>
  </si>
  <si>
    <t>SECTION "400-1"</t>
    <phoneticPr fontId="0" type="noConversion"/>
  </si>
  <si>
    <t>400.00</t>
    <phoneticPr fontId="0" type="noConversion"/>
  </si>
  <si>
    <t>GEEP</t>
    <phoneticPr fontId="0" type="noConversion"/>
  </si>
  <si>
    <t>M200</t>
    <phoneticPr fontId="0" type="noConversion"/>
  </si>
  <si>
    <t>SECTION "400-2"</t>
  </si>
  <si>
    <t>SECTION "400-3"</t>
  </si>
  <si>
    <t>SECTION "400-4"</t>
  </si>
  <si>
    <t>SECTION "400-5"</t>
  </si>
  <si>
    <t>SECTION "400-6"</t>
  </si>
  <si>
    <t>SECTION "400-7"</t>
    <phoneticPr fontId="0" type="noConversion"/>
  </si>
  <si>
    <t>1890 unit</t>
    <phoneticPr fontId="0" type="noConversion"/>
  </si>
  <si>
    <t>EHT Assume</t>
    <phoneticPr fontId="0" type="noConversion"/>
  </si>
  <si>
    <t>CP Assume</t>
    <phoneticPr fontId="0" type="noConversion"/>
  </si>
  <si>
    <r>
      <t>TR 1/2</t>
    </r>
    <r>
      <rPr>
        <sz val="9"/>
        <rFont val="Arial Unicode MS"/>
        <family val="2"/>
        <charset val="129"/>
      </rPr>
      <t>차</t>
    </r>
  </si>
  <si>
    <t>SECTION "500-1"</t>
  </si>
  <si>
    <t>500.00</t>
    <phoneticPr fontId="0" type="noConversion"/>
  </si>
  <si>
    <t>Technical Water LACT Meter</t>
    <phoneticPr fontId="0" type="noConversion"/>
  </si>
  <si>
    <t>SECTION "500-2"</t>
    <phoneticPr fontId="0" type="noConversion"/>
  </si>
  <si>
    <t>SECTION "500-3"</t>
    <phoneticPr fontId="0" type="noConversion"/>
  </si>
  <si>
    <t>SECTION "500-4"</t>
  </si>
  <si>
    <t>SECTION "005-1"</t>
    <phoneticPr fontId="0" type="noConversion"/>
  </si>
  <si>
    <t>005.00</t>
    <phoneticPr fontId="0" type="noConversion"/>
  </si>
  <si>
    <t>Existing Pipe Rack</t>
    <phoneticPr fontId="0" type="noConversion"/>
  </si>
  <si>
    <t>L000</t>
    <phoneticPr fontId="0" type="noConversion"/>
  </si>
  <si>
    <t>Direct Buried</t>
  </si>
  <si>
    <t>SECTION "141-1"</t>
    <phoneticPr fontId="0" type="noConversion"/>
  </si>
  <si>
    <t>2. LIGHTING SYSTEM</t>
    <phoneticPr fontId="0" type="noConversion"/>
  </si>
  <si>
    <t>101.00</t>
  </si>
  <si>
    <t>Attachment #L-1</t>
    <phoneticPr fontId="0" type="noConversion"/>
  </si>
  <si>
    <t>C210</t>
    <phoneticPr fontId="0" type="noConversion"/>
  </si>
  <si>
    <t>103.00</t>
  </si>
  <si>
    <t>104.00</t>
  </si>
  <si>
    <t>C310</t>
    <phoneticPr fontId="0" type="noConversion"/>
  </si>
  <si>
    <t>105.00</t>
  </si>
  <si>
    <t>B320</t>
    <phoneticPr fontId="0" type="noConversion"/>
  </si>
  <si>
    <t>107.00</t>
  </si>
  <si>
    <t>108.00</t>
  </si>
  <si>
    <t>109.00</t>
  </si>
  <si>
    <t>110.00</t>
  </si>
  <si>
    <t>112.00 
(CLOSED DRAIN SYSTEM)</t>
    <phoneticPr fontId="0" type="noConversion"/>
  </si>
  <si>
    <t>112.00  (FLARE SYSTEM)</t>
    <phoneticPr fontId="0" type="noConversion"/>
  </si>
  <si>
    <t>113.00</t>
  </si>
  <si>
    <t>114.00</t>
  </si>
  <si>
    <t>115.00</t>
  </si>
  <si>
    <t>119.02.03</t>
    <phoneticPr fontId="0" type="noConversion"/>
  </si>
  <si>
    <t>121.00</t>
  </si>
  <si>
    <t>125.00</t>
  </si>
  <si>
    <t>H100</t>
    <phoneticPr fontId="0" type="noConversion"/>
  </si>
  <si>
    <t>126.00</t>
  </si>
  <si>
    <t>K100</t>
    <phoneticPr fontId="0" type="noConversion"/>
  </si>
  <si>
    <t>140.00</t>
  </si>
  <si>
    <t>R210</t>
    <phoneticPr fontId="0" type="noConversion"/>
  </si>
  <si>
    <t>141.00</t>
  </si>
  <si>
    <t>F300</t>
    <phoneticPr fontId="0" type="noConversion"/>
  </si>
  <si>
    <t>145.00</t>
  </si>
  <si>
    <t xml:space="preserve"> </t>
    <phoneticPr fontId="0" type="noConversion"/>
  </si>
  <si>
    <t>Lighitng Direct Buried Total</t>
    <phoneticPr fontId="0" type="noConversion"/>
  </si>
  <si>
    <t>3.  GROUNDING SYSTEM</t>
    <phoneticPr fontId="0" type="noConversion"/>
  </si>
  <si>
    <t>136.00</t>
    <phoneticPr fontId="0" type="noConversion"/>
  </si>
  <si>
    <t>MAIN GRID</t>
    <phoneticPr fontId="0" type="noConversion"/>
  </si>
  <si>
    <t>Attachment #G-1</t>
    <phoneticPr fontId="0" type="noConversion"/>
  </si>
  <si>
    <t xml:space="preserve"> Grounding Direct Buried Total</t>
    <phoneticPr fontId="0" type="noConversion"/>
  </si>
  <si>
    <t>ELEC. DUCT BANK DATA</t>
    <phoneticPr fontId="0" type="noConversion"/>
  </si>
  <si>
    <t>PVC Conduit
(M)</t>
    <phoneticPr fontId="0" type="noConversion"/>
  </si>
  <si>
    <t>Bell Mouth
(EA)</t>
    <phoneticPr fontId="0" type="noConversion"/>
  </si>
  <si>
    <t>PVC 
Q'TY</t>
    <phoneticPr fontId="0" type="noConversion"/>
  </si>
  <si>
    <t>Duct Bank
Q'TY</t>
    <phoneticPr fontId="0" type="noConversion"/>
  </si>
  <si>
    <t>200mm</t>
  </si>
  <si>
    <t>150mm</t>
    <phoneticPr fontId="0" type="noConversion"/>
  </si>
  <si>
    <t>SECTION "119-DB1"</t>
    <phoneticPr fontId="0" type="noConversion"/>
  </si>
  <si>
    <t>Duct Bank</t>
    <phoneticPr fontId="0" type="noConversion"/>
  </si>
  <si>
    <t>Attachment #P-2</t>
    <phoneticPr fontId="0" type="noConversion"/>
  </si>
  <si>
    <t>SECTION "119-DB2"</t>
    <phoneticPr fontId="0" type="noConversion"/>
  </si>
  <si>
    <t>SECTION "119-DB3"</t>
  </si>
  <si>
    <t>SECTION "119-DB4"</t>
  </si>
  <si>
    <t>Duct Bank</t>
  </si>
  <si>
    <t>SECTION "119-DB5"</t>
  </si>
  <si>
    <t>SECTION "119-DB6"</t>
  </si>
  <si>
    <t>SECTION "119-DB7"</t>
  </si>
  <si>
    <t>SECTION "119-DB8"</t>
  </si>
  <si>
    <t>SECTION "119-DB9"</t>
  </si>
  <si>
    <t>SECTION "119-DB10"</t>
  </si>
  <si>
    <t>SECTION "119-DB11"</t>
  </si>
  <si>
    <t>SECTION "119-DB12"</t>
  </si>
  <si>
    <t>SECTION "200-DBxx"</t>
    <phoneticPr fontId="0" type="noConversion"/>
  </si>
  <si>
    <t>200</t>
    <phoneticPr fontId="0" type="noConversion"/>
  </si>
  <si>
    <t>SECTION "141-DBxx"</t>
    <phoneticPr fontId="0" type="noConversion"/>
  </si>
  <si>
    <t>SECTION "400-DB1"</t>
    <phoneticPr fontId="0" type="noConversion"/>
  </si>
  <si>
    <t>SECTION "400-DB2"</t>
    <phoneticPr fontId="0" type="noConversion"/>
  </si>
  <si>
    <t>SECTION "400-DB3"</t>
    <phoneticPr fontId="0" type="noConversion"/>
  </si>
  <si>
    <t>SECTION "400-DB4"</t>
    <phoneticPr fontId="0" type="noConversion"/>
  </si>
  <si>
    <t>SECTION "400-DB5"</t>
    <phoneticPr fontId="0" type="noConversion"/>
  </si>
  <si>
    <t>SECTION "400-DB6"</t>
    <phoneticPr fontId="0" type="noConversion"/>
  </si>
  <si>
    <t>LAB</t>
    <phoneticPr fontId="0" type="noConversion"/>
  </si>
  <si>
    <t>SECTION "005-DB1"</t>
    <phoneticPr fontId="0" type="noConversion"/>
  </si>
  <si>
    <t>Existing Pipe Line</t>
    <phoneticPr fontId="0" type="noConversion"/>
  </si>
  <si>
    <t>SECTION "005-DB2"</t>
    <phoneticPr fontId="0" type="noConversion"/>
  </si>
  <si>
    <t>L100</t>
    <phoneticPr fontId="0" type="noConversion"/>
  </si>
  <si>
    <t>SECTION "005-DB3"</t>
    <phoneticPr fontId="0" type="noConversion"/>
  </si>
  <si>
    <t>SECTION "005-DB4"</t>
  </si>
  <si>
    <t>SECTION "005-DB5"</t>
  </si>
  <si>
    <t>SECTION "005-DB6"</t>
  </si>
  <si>
    <t>SECTION "005-DB7"</t>
  </si>
  <si>
    <t>Power Duct Bank Total</t>
    <phoneticPr fontId="0" type="noConversion"/>
  </si>
  <si>
    <t>Attachment #L-1</t>
  </si>
  <si>
    <t>Misc Assume
(remote area)</t>
    <phoneticPr fontId="0" type="noConversion"/>
  </si>
  <si>
    <t>Lighitng Duct Bank Total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</si>
</sst>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_);[Red]\(0\)"/>
    <numFmt numFmtId="165" formatCode="0.0_);[Red]\(0.0\)"/>
    <numFmt numFmtId="166" formatCode="&quot;W&quot;000"/>
  </numFmts>
  <fonts count="17">
    <font>
      <sz val="11"/>
      <name val="돋움"/>
      <family val="3"/>
      <charset val="129"/>
    </font>
    <font>
      <b/>
      <i/>
      <u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돋움"/>
      <family val="3"/>
      <charset val="129"/>
    </font>
    <font>
      <b/>
      <sz val="11"/>
      <name val="Arial"/>
      <family val="3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 Unicode MS"/>
      <family val="3"/>
      <charset val="129"/>
    </font>
    <font>
      <sz val="9"/>
      <color rgb="FFFF0000"/>
      <name val="Arial"/>
      <family val="2"/>
    </font>
    <font>
      <sz val="11"/>
      <color rgb="FFFF0000"/>
      <name val="Arial"/>
      <family val="2"/>
    </font>
    <font>
      <u val="double"/>
      <sz val="10"/>
      <color indexed="10"/>
      <name val="Arial"/>
      <family val="2"/>
    </font>
    <font>
      <b/>
      <sz val="11"/>
      <name val="맑은 고딕"/>
      <family val="3"/>
      <charset val="129"/>
    </font>
    <font>
      <sz val="9"/>
      <name val="Arial Unicode MS"/>
      <family val="2"/>
      <charset val="129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Continuous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 shrinkToFit="1"/>
    </xf>
    <xf numFmtId="164" fontId="9" fillId="2" borderId="4" xfId="0" applyNumberFormat="1" applyFont="1" applyFill="1" applyBorder="1" applyAlignment="1">
      <alignment horizontal="center" vertical="center" shrinkToFit="1"/>
    </xf>
    <xf numFmtId="3" fontId="9" fillId="2" borderId="12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9" fillId="0" borderId="0" xfId="0" applyFont="1"/>
    <xf numFmtId="0" fontId="9" fillId="0" borderId="14" xfId="0" applyFont="1" applyBorder="1" applyAlignment="1">
      <alignment horizontal="center" vertical="center"/>
    </xf>
    <xf numFmtId="0" fontId="9" fillId="0" borderId="15" xfId="0" quotePrefix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 shrinkToFit="1"/>
    </xf>
    <xf numFmtId="3" fontId="9" fillId="0" borderId="15" xfId="0" applyNumberFormat="1" applyFont="1" applyBorder="1" applyAlignment="1">
      <alignment horizontal="center" vertical="center" shrinkToFit="1"/>
    </xf>
    <xf numFmtId="3" fontId="9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quotePrefix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3" fontId="9" fillId="3" borderId="23" xfId="0" applyNumberFormat="1" applyFont="1" applyFill="1" applyBorder="1" applyAlignment="1">
      <alignment horizontal="center" vertical="center" shrinkToFit="1"/>
    </xf>
    <xf numFmtId="3" fontId="9" fillId="3" borderId="24" xfId="0" applyNumberFormat="1" applyFont="1" applyFill="1" applyBorder="1" applyAlignment="1">
      <alignment horizontal="center" vertical="center" shrinkToFit="1"/>
    </xf>
    <xf numFmtId="3" fontId="7" fillId="3" borderId="25" xfId="0" applyNumberFormat="1" applyFont="1" applyFill="1" applyBorder="1" applyAlignment="1">
      <alignment horizontal="center" vertical="center" shrinkToFit="1"/>
    </xf>
    <xf numFmtId="164" fontId="7" fillId="3" borderId="25" xfId="0" applyNumberFormat="1" applyFont="1" applyFill="1" applyBorder="1" applyAlignment="1">
      <alignment horizontal="center" vertical="center" shrinkToFit="1"/>
    </xf>
    <xf numFmtId="0" fontId="9" fillId="3" borderId="2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5" fontId="2" fillId="0" borderId="0" xfId="0" applyNumberFormat="1" applyFont="1"/>
    <xf numFmtId="165" fontId="6" fillId="0" borderId="0" xfId="0" applyNumberFormat="1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 wrapText="1"/>
    </xf>
    <xf numFmtId="165" fontId="6" fillId="4" borderId="28" xfId="0" applyNumberFormat="1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8" fillId="5" borderId="28" xfId="0" applyFont="1" applyFill="1" applyBorder="1" applyAlignment="1">
      <alignment horizontal="left" vertical="center" indent="1"/>
    </xf>
    <xf numFmtId="0" fontId="0" fillId="6" borderId="28" xfId="0" applyFill="1" applyBorder="1"/>
    <xf numFmtId="0" fontId="0" fillId="6" borderId="0" xfId="0" applyFill="1"/>
    <xf numFmtId="0" fontId="6" fillId="0" borderId="32" xfId="0" applyFont="1" applyBorder="1" applyAlignment="1">
      <alignment horizontal="center" vertical="center"/>
    </xf>
    <xf numFmtId="0" fontId="6" fillId="0" borderId="33" xfId="0" quotePrefix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5" fontId="6" fillId="0" borderId="33" xfId="0" applyNumberFormat="1" applyFont="1" applyBorder="1" applyAlignment="1">
      <alignment horizontal="right" vertical="center"/>
    </xf>
    <xf numFmtId="41" fontId="6" fillId="0" borderId="34" xfId="0" applyNumberFormat="1" applyFont="1" applyBorder="1" applyAlignment="1">
      <alignment vertical="center" wrapText="1"/>
    </xf>
    <xf numFmtId="41" fontId="6" fillId="0" borderId="35" xfId="0" applyNumberFormat="1" applyFont="1" applyBorder="1" applyAlignment="1">
      <alignment vertical="center" wrapText="1"/>
    </xf>
    <xf numFmtId="0" fontId="7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37" xfId="0" quotePrefix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165" fontId="6" fillId="0" borderId="37" xfId="0" applyNumberFormat="1" applyFont="1" applyBorder="1" applyAlignment="1">
      <alignment horizontal="right" vertical="center"/>
    </xf>
    <xf numFmtId="41" fontId="6" fillId="0" borderId="37" xfId="0" applyNumberFormat="1" applyFont="1" applyBorder="1" applyAlignment="1">
      <alignment vertical="center" wrapText="1"/>
    </xf>
    <xf numFmtId="41" fontId="6" fillId="0" borderId="38" xfId="0" applyNumberFormat="1" applyFont="1" applyBorder="1" applyAlignment="1">
      <alignment vertical="center" wrapText="1"/>
    </xf>
    <xf numFmtId="0" fontId="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6" fillId="0" borderId="39" xfId="0" applyFont="1" applyBorder="1" applyAlignment="1">
      <alignment horizontal="center" vertical="center"/>
    </xf>
    <xf numFmtId="0" fontId="6" fillId="0" borderId="40" xfId="0" quotePrefix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165" fontId="6" fillId="0" borderId="40" xfId="0" applyNumberFormat="1" applyFont="1" applyBorder="1" applyAlignment="1">
      <alignment horizontal="right" vertical="center"/>
    </xf>
    <xf numFmtId="41" fontId="6" fillId="0" borderId="41" xfId="0" applyNumberFormat="1" applyFont="1" applyBorder="1" applyAlignment="1">
      <alignment vertical="center" wrapText="1"/>
    </xf>
    <xf numFmtId="41" fontId="6" fillId="0" borderId="42" xfId="0" applyNumberFormat="1" applyFont="1" applyBorder="1" applyAlignment="1">
      <alignment vertical="center" wrapText="1"/>
    </xf>
    <xf numFmtId="41" fontId="6" fillId="0" borderId="43" xfId="0" applyNumberFormat="1" applyFont="1" applyBorder="1" applyAlignment="1">
      <alignment vertical="center" wrapText="1"/>
    </xf>
    <xf numFmtId="41" fontId="6" fillId="0" borderId="33" xfId="0" applyNumberFormat="1" applyFont="1" applyBorder="1" applyAlignment="1">
      <alignment vertical="center" wrapText="1"/>
    </xf>
    <xf numFmtId="41" fontId="6" fillId="0" borderId="40" xfId="0" applyNumberFormat="1" applyFont="1" applyBorder="1" applyAlignment="1">
      <alignment vertical="center" wrapText="1"/>
    </xf>
    <xf numFmtId="0" fontId="6" fillId="7" borderId="32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165" fontId="6" fillId="0" borderId="42" xfId="0" applyNumberFormat="1" applyFont="1" applyBorder="1" applyAlignment="1">
      <alignment horizontal="center" vertical="center"/>
    </xf>
    <xf numFmtId="41" fontId="6" fillId="0" borderId="44" xfId="0" applyNumberFormat="1" applyFont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165" fontId="6" fillId="0" borderId="28" xfId="0" applyNumberFormat="1" applyFont="1" applyBorder="1" applyAlignment="1">
      <alignment horizontal="center" vertical="center"/>
    </xf>
    <xf numFmtId="41" fontId="6" fillId="0" borderId="28" xfId="0" applyNumberFormat="1" applyFont="1" applyBorder="1" applyAlignment="1">
      <alignment vertical="center" wrapText="1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41" fontId="6" fillId="0" borderId="48" xfId="0" applyNumberFormat="1" applyFont="1" applyBorder="1" applyAlignment="1">
      <alignment vertical="center" wrapText="1"/>
    </xf>
    <xf numFmtId="41" fontId="6" fillId="0" borderId="49" xfId="0" applyNumberFormat="1" applyFont="1" applyBorder="1" applyAlignment="1">
      <alignment vertical="center" wrapText="1"/>
    </xf>
    <xf numFmtId="0" fontId="7" fillId="0" borderId="28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0" fillId="3" borderId="0" xfId="0" applyFill="1"/>
    <xf numFmtId="0" fontId="12" fillId="0" borderId="50" xfId="0" applyFont="1" applyBorder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13" fillId="6" borderId="28" xfId="0" applyFont="1" applyFill="1" applyBorder="1" applyAlignment="1">
      <alignment vertical="center"/>
    </xf>
    <xf numFmtId="0" fontId="6" fillId="6" borderId="47" xfId="0" applyFont="1" applyFill="1" applyBorder="1" applyAlignment="1">
      <alignment vertical="center"/>
    </xf>
    <xf numFmtId="0" fontId="6" fillId="6" borderId="48" xfId="0" applyFont="1" applyFill="1" applyBorder="1" applyAlignment="1">
      <alignment horizontal="center" vertical="center"/>
    </xf>
    <xf numFmtId="41" fontId="6" fillId="0" borderId="48" xfId="0" applyNumberFormat="1" applyFont="1" applyBorder="1" applyAlignment="1">
      <alignment vertical="center"/>
    </xf>
    <xf numFmtId="165" fontId="6" fillId="0" borderId="48" xfId="0" applyNumberFormat="1" applyFont="1" applyBorder="1" applyAlignment="1">
      <alignment vertical="center"/>
    </xf>
    <xf numFmtId="41" fontId="6" fillId="0" borderId="48" xfId="0" applyNumberFormat="1" applyFont="1" applyBorder="1" applyAlignment="1">
      <alignment horizontal="left" vertical="center"/>
    </xf>
    <xf numFmtId="0" fontId="0" fillId="0" borderId="50" xfId="0" applyBorder="1"/>
    <xf numFmtId="0" fontId="6" fillId="9" borderId="28" xfId="0" applyFont="1" applyFill="1" applyBorder="1" applyAlignment="1">
      <alignment vertical="center"/>
    </xf>
    <xf numFmtId="0" fontId="6" fillId="9" borderId="47" xfId="0" applyFont="1" applyFill="1" applyBorder="1" applyAlignment="1">
      <alignment vertical="center"/>
    </xf>
    <xf numFmtId="41" fontId="6" fillId="0" borderId="28" xfId="0" applyNumberFormat="1" applyFont="1" applyBorder="1" applyAlignment="1">
      <alignment horizontal="center" vertical="center"/>
    </xf>
    <xf numFmtId="166" fontId="6" fillId="0" borderId="28" xfId="0" applyNumberFormat="1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0" fillId="0" borderId="54" xfId="0" applyBorder="1"/>
    <xf numFmtId="41" fontId="0" fillId="0" borderId="0" xfId="0" applyNumberFormat="1"/>
    <xf numFmtId="165" fontId="0" fillId="0" borderId="0" xfId="0" applyNumberFormat="1"/>
    <xf numFmtId="0" fontId="0" fillId="10" borderId="0" xfId="0" applyFill="1"/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left" vertical="center"/>
    </xf>
    <xf numFmtId="3" fontId="9" fillId="2" borderId="55" xfId="0" applyNumberFormat="1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3" fontId="9" fillId="2" borderId="25" xfId="0" applyNumberFormat="1" applyFont="1" applyFill="1" applyBorder="1" applyAlignment="1">
      <alignment horizontal="center" vertical="center" shrinkToFit="1"/>
    </xf>
    <xf numFmtId="3" fontId="9" fillId="2" borderId="22" xfId="0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7" xfId="0" quotePrefix="1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 shrinkToFit="1"/>
    </xf>
    <xf numFmtId="3" fontId="9" fillId="3" borderId="17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3" fontId="9" fillId="0" borderId="16" xfId="0" applyNumberFormat="1" applyFont="1" applyBorder="1" applyAlignment="1">
      <alignment horizontal="center" vertical="center" shrinkToFit="1"/>
    </xf>
    <xf numFmtId="2" fontId="9" fillId="3" borderId="7" xfId="0" quotePrefix="1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19" xfId="0" quotePrefix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2" fontId="9" fillId="0" borderId="19" xfId="0" applyNumberFormat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 shrinkToFit="1"/>
    </xf>
    <xf numFmtId="0" fontId="9" fillId="3" borderId="61" xfId="0" applyFont="1" applyFill="1" applyBorder="1" applyAlignment="1">
      <alignment horizontal="center" vertical="center"/>
    </xf>
    <xf numFmtId="3" fontId="7" fillId="3" borderId="55" xfId="0" applyNumberFormat="1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3" fontId="11" fillId="0" borderId="37" xfId="0" applyNumberFormat="1" applyFont="1" applyBorder="1" applyAlignment="1">
      <alignment horizontal="center" vertical="center" shrinkToFit="1"/>
    </xf>
    <xf numFmtId="3" fontId="9" fillId="0" borderId="37" xfId="0" applyNumberFormat="1" applyFont="1" applyBorder="1" applyAlignment="1">
      <alignment horizontal="center" vertical="center" shrinkToFit="1"/>
    </xf>
    <xf numFmtId="3" fontId="9" fillId="0" borderId="41" xfId="0" applyNumberFormat="1" applyFont="1" applyBorder="1" applyAlignment="1">
      <alignment horizontal="center" vertical="center" shrinkToFit="1"/>
    </xf>
    <xf numFmtId="3" fontId="9" fillId="0" borderId="41" xfId="0" applyNumberFormat="1" applyFont="1" applyBorder="1" applyAlignment="1">
      <alignment horizontal="center" vertical="center"/>
    </xf>
    <xf numFmtId="3" fontId="9" fillId="0" borderId="37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3" fontId="11" fillId="0" borderId="41" xfId="0" applyNumberFormat="1" applyFont="1" applyBorder="1" applyAlignment="1">
      <alignment horizontal="center" vertical="center" shrinkToFit="1"/>
    </xf>
    <xf numFmtId="0" fontId="9" fillId="0" borderId="63" xfId="0" applyFont="1" applyBorder="1" applyAlignment="1">
      <alignment horizontal="center" vertical="center"/>
    </xf>
    <xf numFmtId="3" fontId="9" fillId="0" borderId="63" xfId="0" applyNumberFormat="1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5" fillId="0" borderId="0" xfId="0" applyFont="1"/>
    <xf numFmtId="0" fontId="9" fillId="3" borderId="64" xfId="0" applyFont="1" applyFill="1" applyBorder="1" applyAlignment="1">
      <alignment horizontal="center" vertical="center"/>
    </xf>
    <xf numFmtId="3" fontId="9" fillId="3" borderId="41" xfId="0" applyNumberFormat="1" applyFont="1" applyFill="1" applyBorder="1" applyAlignment="1">
      <alignment horizontal="center" vertical="center" shrinkToFit="1"/>
    </xf>
    <xf numFmtId="3" fontId="9" fillId="3" borderId="41" xfId="0" applyNumberFormat="1" applyFont="1" applyFill="1" applyBorder="1" applyAlignment="1">
      <alignment horizontal="center" vertical="center"/>
    </xf>
    <xf numFmtId="0" fontId="7" fillId="3" borderId="65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0" xfId="0" applyFont="1" applyFill="1"/>
    <xf numFmtId="0" fontId="7" fillId="0" borderId="9" xfId="0" applyFont="1" applyBorder="1" applyAlignment="1">
      <alignment vertical="center"/>
    </xf>
    <xf numFmtId="2" fontId="9" fillId="0" borderId="19" xfId="0" quotePrefix="1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8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el&#49569;&#44221;&#48124;\&#44277;&#50976;\data\EXCEL_DA\JOB\Nanjing\cal\CBL_IEC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dding\SAUDI%20BOTB\Civil%20Information\KGSU%20Civil%20Inform_Elec_20241125_(Rev.A)_Brown%20Field%20&#52628;&#44032;_ETCP.xlsm" TargetMode="External"/><Relationship Id="rId1" Type="http://schemas.openxmlformats.org/officeDocument/2006/relationships/externalLinkPath" Target="KGSU%20Civil%20Inform_Elec_20241125_(Rev.A)_Brown%20Field%20&#52628;&#44032;_ETCP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4868;&#49440;\D\project\pc0840\SPEC\BM-PC084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icamfs01\proj\Engineering%20Disciplines\Process\CAMBRIDGE\LA%20McMonagle\Equipment%20Data%20Sheets\L%20V%20Separato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50672;\aproject\skec\TDI\BM\TDIBM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652;&#50896;\pp-06057(seoa)\PROJECT%20(&#51652;&#54665;)\SBR\DATA%20SHEET\06.10.12\&#49352;%20&#54260;&#45908;\Column-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DS\1.Project%20(&#44277;&#50976;)\01.%20project\01.%20&#54788;&#45824;ENG\03.%20AGCC\2)%20&#47928;&#49436;&#49688;&#49888;\01.%20ELEC\02.%20LOAD%20LIST\190520%20TOYO%20LOAD%20LIST%20&#51221;&#50857;&#49453;&#48512;&#51109;\AGCC.130-3000-65L-0001_EN_0_R1B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\1.Project%20(&#44277;&#50976;)\01.%20project\01.%20&#54788;&#45824;ENG\03.%20AGCC\2)%20&#47928;&#49436;&#49688;&#49888;\01.%20ELEC\02.%20LOAD%20LIST\190520%20TOYO%20LOAD%20LIST%20&#51221;&#50857;&#49453;&#48512;&#51109;\AGCC.130-3000-65L-0001_EN_0_R1B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DS\1.Project%20(&#44277;&#50976;)\01.%20project\AGCC\01.%20HEC%20&#51204;&#44592;&#54016;%20&#49457;&#44284;&#54408;\001.%20Enginnering\05.%20Load%20List\190424%20HEC%20Load%20Lis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\1.Project%20(&#44277;&#50976;)\01.%20project\AGCC\01.%20HEC%20&#51204;&#44592;&#54016;%20&#49457;&#44284;&#54408;\001.%20Enginnering\05.%20Load%20List\190424%20HEC%20Load%20Lis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DS\1.Project%20(&#44277;&#50976;)\01.%20Project\17.%20HEC%20(Russia%20AGCC)\02.%20&#51217;&#49688;\02.%20&#51060;&#51456;&#49437;\70.%20%20&#46020;&#50836;%20&#49457;&#44284;&#54408;\01.%20190920\TOYO%20Cable%20List%20Rev.C\AGCC.167-3000-65L-0002_C_E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\1.Project%20(&#44277;&#50976;)\01.%20Project\17.%20HEC%20(Russia%20AGCC)\02.%20&#51217;&#49688;\02.%20&#51060;&#51456;&#49437;\70.%20%20&#46020;&#50836;%20&#49457;&#44284;&#54408;\01.%20190920\TOYO%20Cable%20List%20Rev.C\AGCC.167-3000-65L-0002_C_E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4221;&#46041;\NC-41\&#44060;&#48156;program\fdn_bm_p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DS\1.Project%20(&#44277;&#50976;)\&#44060;&#48156;program\fdn_bm_pr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\1.Project%20(&#44277;&#50976;)\&#44060;&#48156;program\fdn_bm_pr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icamfs01\proj\Collaboration\Process%20Data%20Sheets\To%20Bullpen\L%20V%20Separato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57;&#50864;&#51473;\Users\2011%20&#54532;&#47196;&#51229;&#53944;\&#47560;&#44256;&#47532;\&#48156;&#49569;\1010\MAKORI_&#53664;&#47785;_Inform_Rev_B(11.OCT.11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OIN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udfs01\DFSHOU\Documents%20and%20Settings\chang.suh\Desktop\CS%20S&amp;W%202006\API%20682%20Mech%20Seal%20DS\API%20682%203rd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el&#49569;&#44221;&#48124;\&#44277;&#50976;\Job\HANGLAS\Calculation\Job\30054\Calcul\Cable\SAM\Vd_cabl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EC%20UC%20&#54028;&#51068;\190424%20HEC%20Load%20List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4508;&#48276;\project\Documents%20and%20Settings\user\My%20Documents\down2\Load_summary_R0A(0520)_U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DS\1.Project%20(&#44277;&#50976;)\WINDOWS\TEMP\&#44036;&#51217;&#48708;_REV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-noh\1.Project%20(&#44277;&#50976;)\WINDOWS\TEMP\&#44036;&#51217;&#48708;_REV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\2010&#45380;\&#53216;&#50920;&#51060;&#53944;%20NLTF%20(&#44204;&#51201;)\&#49457;&#44284;&#54408;\&#53664;&#47785;&#47932;&#47049;\Appendix-1-3%20Cable%20Tray%20Fill%20Schedule%20Sheets%20for%20IO%20Rackroom%20Each%20Cable%20Tray_r0_(20070720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48;&#49324;&#48376;&#44288;&#51613;&#52629;&#50668;&#44148;&#48372;&#44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IEC"/>
      <sheetName val="IEC"/>
      <sheetName val="Moudule_IEC"/>
      <sheetName val="CBL_IEC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crete Trench"/>
      <sheetName val="CABLE TRAY"/>
      <sheetName val="Direct Buried"/>
      <sheetName val="T-SUPPORT (LOCAL)"/>
      <sheetName val="DUCT BANK"/>
      <sheetName val="GROUNDING CONCRETE PIT"/>
      <sheetName val="FOUNDATION"/>
      <sheetName val="ATTACHMENTS"/>
      <sheetName val="ATT-AIS"/>
      <sheetName val="CATHODIC DEEP WE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견적기준"/>
      <sheetName val="INDEX"/>
      <sheetName val="INSTR"/>
      <sheetName val="PLC"/>
      <sheetName val="CABLE"/>
      <sheetName val="TRAY"/>
      <sheetName val="JB"/>
      <sheetName val="PIPE"/>
      <sheetName val="TUBE"/>
      <sheetName val="MISC"/>
      <sheetName val="설계기준(내부)"/>
      <sheetName val="eq_data"/>
      <sheetName val="PipWT"/>
      <sheetName val="단면검토"/>
      <sheetName val="설계조건"/>
      <sheetName val="Piping Design Data"/>
      <sheetName val="TYPE-B 평균H"/>
      <sheetName val="직원동원SCH"/>
      <sheetName val="Sheet1"/>
      <sheetName val="MACRO(전선관)"/>
      <sheetName val="Sheet3"/>
      <sheetName val="look-up"/>
      <sheetName val="Lookup"/>
      <sheetName val="BM-PC0840"/>
      <sheetName val="DATA"/>
      <sheetName val="Hoja3"/>
      <sheetName val="Hoja2"/>
      <sheetName val="Table 1"/>
      <sheetName val="IN"/>
      <sheetName val="Total"/>
      <sheetName val="현황CODE"/>
      <sheetName val="손익현황"/>
      <sheetName val="SPEC"/>
      <sheetName val="Cover sheet"/>
      <sheetName val="BQ List"/>
      <sheetName val="SUM"/>
      <sheetName val="RFP002"/>
      <sheetName val="Basis"/>
      <sheetName val="purch-summ-data"/>
      <sheetName val="PEL"/>
      <sheetName val="steam table"/>
      <sheetName val="ISOP"/>
      <sheetName val="Piping_Design_Data"/>
      <sheetName val="TYPE-B_평균H"/>
      <sheetName val="Table_1"/>
      <sheetName val="Piping Cost"/>
      <sheetName val="Units"/>
      <sheetName val="Instructions"/>
      <sheetName val="IT-BAT"/>
      <sheetName val="F-302"/>
      <sheetName val="new급여T(4을-운전)"/>
      <sheetName val="PBS"/>
      <sheetName val="가상data"/>
      <sheetName val="정부노임단가"/>
      <sheetName val="PIPE-SUMMARY"/>
      <sheetName val="PIPE-LINK"/>
      <sheetName val="HALOBUTYL"/>
      <sheetName val="h-013211-2"/>
      <sheetName val="steam_table"/>
      <sheetName val="산근"/>
      <sheetName val="PSIZE"/>
      <sheetName val="공사비 내역 (가)"/>
      <sheetName val="Tipo Terzi"/>
      <sheetName val="P110"/>
      <sheetName val="CONTENTS"/>
      <sheetName val="DSCCI_Print"/>
      <sheetName val="CBE-VSL"/>
      <sheetName val="Testing"/>
      <sheetName val="Pag. 1"/>
      <sheetName val="할증 "/>
      <sheetName val="HRD"/>
      <sheetName val="Macro1"/>
      <sheetName val="#4-1표지"/>
      <sheetName val="Code_Magics"/>
      <sheetName val="Code"/>
      <sheetName val="영업2"/>
      <sheetName val="영업3"/>
      <sheetName val="견적 집계"/>
      <sheetName val="간접비내역-1"/>
      <sheetName val="집계표"/>
      <sheetName val="CALCULATION"/>
      <sheetName val="Anal-1 (Nox-SO2-CO)"/>
      <sheetName val="piping"/>
      <sheetName val="DATA LISTS"/>
      <sheetName val="DCS"/>
      <sheetName val="ANALYSER"/>
      <sheetName val="PROCURE"/>
      <sheetName val="B31.1"/>
      <sheetName val="SUMMARY"/>
      <sheetName val="TABLE"/>
      <sheetName val="갑지(추정)"/>
      <sheetName val="Graph (LGEN)"/>
      <sheetName val="out_prog"/>
      <sheetName val="선적schedule (2)"/>
      <sheetName val="PRICE LIST"/>
      <sheetName val="TABLE2-2 OSBL-(SITE PREP)"/>
      <sheetName val="TOTAL PIPING"/>
      <sheetName val="Bend_fact "/>
      <sheetName val="갑지"/>
      <sheetName val="15010"/>
      <sheetName val="24"/>
      <sheetName val="CPS"/>
      <sheetName val="Cover_sheet"/>
      <sheetName val="BQ_List"/>
      <sheetName val="boq"/>
      <sheetName val="PAD-F"/>
      <sheetName val="Ex-Rate"/>
      <sheetName val="TTL"/>
      <sheetName val="KP1590_E"/>
      <sheetName val="SHL"/>
      <sheetName val="K1"/>
      <sheetName val="OSBL-TOTAL (SEA WATER)"/>
      <sheetName val="상반기손익차2총괄"/>
      <sheetName val="UG분석표"/>
      <sheetName val="95삼성급(본사)"/>
      <sheetName val="ld-sd-dt"/>
      <sheetName val="highlight"/>
      <sheetName val="ld-sd"/>
      <sheetName val="갑지1"/>
      <sheetName val="DESIGN(77C-102A)-2"/>
      <sheetName val="ELECTRICAL"/>
      <sheetName val="비교표"/>
      <sheetName val="BAY별 원가표준"/>
      <sheetName val="기본자료(실행)"/>
      <sheetName val="3cx95sq"/>
      <sheetName val="자재코드"/>
      <sheetName val="ST-CST1"/>
      <sheetName val="OSBL-TOTAL (OTHER WORK)"/>
      <sheetName val="입력값1"/>
      <sheetName val="CABLE DATA"/>
      <sheetName val="Process Piping"/>
      <sheetName val="Insts"/>
      <sheetName val="내역"/>
      <sheetName val="WORK-VOL"/>
      <sheetName val="Daten"/>
      <sheetName val="Connections"/>
      <sheetName val="한강운반비"/>
      <sheetName val="세금자료"/>
      <sheetName val="개시대사 (2)"/>
      <sheetName val="OSBL-TOTAL (CIVIL WORK)"/>
      <sheetName val="MAN-STD"/>
      <sheetName val="Step"/>
      <sheetName val="E_Rate PM"/>
      <sheetName val="TIE-INS"/>
      <sheetName val="제출계산서"/>
      <sheetName val="ISO"/>
      <sheetName val="SOURCE"/>
      <sheetName val="Piping_Design_Data1"/>
      <sheetName val="TYPE-B_평균H1"/>
      <sheetName val="Table_11"/>
      <sheetName val="Piping_Cost"/>
      <sheetName val="Piping_Design_Data2"/>
      <sheetName val="TYPE-B_평균H2"/>
      <sheetName val="Table_12"/>
      <sheetName val="BQ_List1"/>
      <sheetName val="steam_table1"/>
      <sheetName val="Piping_Cost1"/>
      <sheetName val="Cover_sheet1"/>
      <sheetName val="TABLE2-1_ISBL-(SlTE_PREP)"/>
      <sheetName val="TABLE2_1_ISBL_(Soil_Invest)"/>
      <sheetName val="TABLE2-2_OSBL(GENERAL-CIVIL)"/>
      <sheetName val="TABLE2-2_OSBL-(SITE_PREP)"/>
      <sheetName val="#REF"/>
      <sheetName val="code data"/>
      <sheetName val="4002"/>
      <sheetName val="표지"/>
      <sheetName val="Sheeta"/>
      <sheetName val="Units+rev"/>
      <sheetName val="PRESSURE GAUGE"/>
      <sheetName val="SHUTDOWN VALVE"/>
      <sheetName val="조건표"/>
      <sheetName val="WE'T"/>
      <sheetName val="MEXICO-C"/>
      <sheetName val="INST LIST"/>
      <sheetName val="CVA"/>
      <sheetName val="PROCESS"/>
      <sheetName val="내역서"/>
      <sheetName val="DRUM"/>
      <sheetName val="BQMPALOC"/>
      <sheetName val="PumpSpec"/>
      <sheetName val="footing"/>
      <sheetName val="97 사업추정(WEKI)"/>
      <sheetName val="기준"/>
      <sheetName val="대비표"/>
      <sheetName val=" 견적서"/>
      <sheetName val="터널조도"/>
      <sheetName val="견적의뢰"/>
      <sheetName val="B"/>
      <sheetName val="공사비_내역_(가)"/>
      <sheetName val="Tipo_Terzi"/>
      <sheetName val="DATA_LISTS"/>
      <sheetName val="TRICONIX"/>
      <sheetName val="Sheet5"/>
      <sheetName val="Engrg Est"/>
      <sheetName val="COVER-P"/>
      <sheetName val="Material_Group"/>
      <sheetName val="PTrating all"/>
      <sheetName val="Default"/>
      <sheetName val="BQ"/>
      <sheetName val="수입"/>
      <sheetName val="41-42-1"/>
      <sheetName val="BASEINPUT"/>
      <sheetName val="000000"/>
      <sheetName val="E01"/>
      <sheetName val="MVE02"/>
      <sheetName val="DATE"/>
      <sheetName val="Pipe ID"/>
      <sheetName val="notifier"/>
      <sheetName val="OD5000"/>
      <sheetName val="배명(단가)"/>
      <sheetName val="Panel제작명세서"/>
      <sheetName val="ABB"/>
      <sheetName val="노임9월"/>
      <sheetName val="Y-WORK"/>
      <sheetName val="적용환율"/>
      <sheetName val="Taux"/>
      <sheetName val="SCHEDULE"/>
      <sheetName val="Factor"/>
      <sheetName val="당초"/>
      <sheetName val="CAT_5"/>
      <sheetName val="costing_Misc"/>
      <sheetName val="Summary Sheets"/>
      <sheetName val="HVAC"/>
      <sheetName val="DB@Acess"/>
      <sheetName val="Civil"/>
      <sheetName val="costing_Press"/>
      <sheetName val="costing_ESDV"/>
      <sheetName val=" 갑지"/>
      <sheetName val="costing_MOV"/>
      <sheetName val="REDUCER"/>
      <sheetName val="costing_CV"/>
      <sheetName val="Tables"/>
      <sheetName val="合成単価作成表-BLDG"/>
      <sheetName val="POWER"/>
      <sheetName val="w't table"/>
      <sheetName val="COA-17"/>
      <sheetName val="S N"/>
      <sheetName val="costing_FE"/>
      <sheetName val="C-18"/>
      <sheetName val="금액내역서"/>
      <sheetName val="LABTOTAL"/>
      <sheetName val="95신규호표"/>
      <sheetName val="VS배관내역서"/>
      <sheetName val="작성기준"/>
      <sheetName val="Macro"/>
      <sheetName val="노임단가"/>
      <sheetName val="#3_일위대가목록"/>
      <sheetName val="cbe-1"/>
      <sheetName val="MOTOR"/>
      <sheetName val="Submission-Application"/>
      <sheetName val="VL"/>
      <sheetName val="TN"/>
      <sheetName val="ND"/>
      <sheetName val="소상 &quot;1&quot;"/>
      <sheetName val="list"/>
      <sheetName val=""/>
      <sheetName val="동결보온"/>
      <sheetName val="Substn, Pdt Trans, Pack, Others"/>
      <sheetName val="attach(2)"/>
      <sheetName val="소야공정계획표"/>
      <sheetName val="BQLIST"/>
      <sheetName val="1을"/>
      <sheetName val=" "/>
      <sheetName val="연돌일위집계"/>
      <sheetName val="장비"/>
      <sheetName val="노무"/>
      <sheetName val="CYP-O.F"/>
      <sheetName val="Line Details"/>
      <sheetName val="Two Phase"/>
      <sheetName val="물량표"/>
      <sheetName val="Sheet2"/>
      <sheetName val="TYPE-B_평균H3"/>
      <sheetName val="Piping_Design_Data3"/>
      <sheetName val="Table_13"/>
      <sheetName val="BQ_List2"/>
      <sheetName val="steam_table2"/>
      <sheetName val="Piping_Cost2"/>
      <sheetName val="Cover_sheet2"/>
      <sheetName val="공사비_내역_(가)1"/>
      <sheetName val="Tipo_Terzi1"/>
      <sheetName val="할증_"/>
      <sheetName val="PRICE_LIST"/>
      <sheetName val="TABLE2-2_OSBL-(SITE_PREP)1"/>
      <sheetName val="TOTAL_PIPING"/>
      <sheetName val="Bend_fact_"/>
      <sheetName val="DATA_LISTS1"/>
      <sheetName val="Graph_(LGEN)"/>
      <sheetName val="선적schedule_(2)"/>
      <sheetName val="Pag__1"/>
      <sheetName val="견적_집계"/>
      <sheetName val="Anal-1_(Nox-SO2-CO)"/>
      <sheetName val="OSBL-TOTAL_(SEA_WATER)"/>
      <sheetName val="개시대사_(2)"/>
      <sheetName val="E_Rate_PM"/>
      <sheetName val="OSBL-TOTAL_(CIVIL_WORK)"/>
      <sheetName val="PRESSURE_GAUGE"/>
      <sheetName val="SHUTDOWN_VALVE"/>
      <sheetName val="B31_1"/>
      <sheetName val="Process_Piping"/>
      <sheetName val="code_data"/>
      <sheetName val="97_사업추정(WEKI)"/>
      <sheetName val="OSBL-TOTAL_(OTHER_WORK)"/>
      <sheetName val="Pipe_ID"/>
      <sheetName val="PTrating_all"/>
      <sheetName val="INST_LIST"/>
      <sheetName val="_견적서"/>
      <sheetName val="BAY별_원가표준"/>
      <sheetName val="CABLE_DATA"/>
      <sheetName val="burner-spare"/>
      <sheetName val="조도계산서 (도서)"/>
      <sheetName val="Euro-conversion"/>
      <sheetName val="설계서"/>
      <sheetName val="BM"/>
      <sheetName val="BOM_DWG"/>
      <sheetName val="Notes for BOQ"/>
      <sheetName val="Piping_Design_Data5"/>
      <sheetName val="TYPE-B_평균H5"/>
      <sheetName val="Table_15"/>
      <sheetName val="BQ_List4"/>
      <sheetName val="Piping_Cost4"/>
      <sheetName val="Cover_sheet4"/>
      <sheetName val="steam_table4"/>
      <sheetName val="공사비_내역_(가)2"/>
      <sheetName val="Tipo_Terzi2"/>
      <sheetName val="Pag__12"/>
      <sheetName val="할증_2"/>
      <sheetName val="견적_집계2"/>
      <sheetName val="Anal-1_(Nox-SO2-CO)2"/>
      <sheetName val="DATA_LISTS2"/>
      <sheetName val="TABLE2-2_OSBL-(SITE_PREP)3"/>
      <sheetName val="TOTAL_PIPING2"/>
      <sheetName val="Bend_fact_2"/>
      <sheetName val="PRICE_LIST2"/>
      <sheetName val="Graph_(LGEN)2"/>
      <sheetName val="선적schedule_(2)2"/>
      <sheetName val="Process_Piping2"/>
      <sheetName val="OSBL-TOTAL_(SEA_WATER)2"/>
      <sheetName val="INST_LIST2"/>
      <sheetName val="개시대사_(2)2"/>
      <sheetName val="OSBL-TOTAL_(CIVIL_WORK)2"/>
      <sheetName val="E_Rate_PM2"/>
      <sheetName val="code_data2"/>
      <sheetName val="Piping_Design_Data4"/>
      <sheetName val="TYPE-B_평균H4"/>
      <sheetName val="Table_14"/>
      <sheetName val="BQ_List3"/>
      <sheetName val="Piping_Cost3"/>
      <sheetName val="Cover_sheet3"/>
      <sheetName val="steam_table3"/>
      <sheetName val="Pag__11"/>
      <sheetName val="할증_1"/>
      <sheetName val="견적_집계1"/>
      <sheetName val="Anal-1_(Nox-SO2-CO)1"/>
      <sheetName val="TABLE2-2_OSBL-(SITE_PREP)2"/>
      <sheetName val="TOTAL_PIPING1"/>
      <sheetName val="Bend_fact_1"/>
      <sheetName val="PRICE_LIST1"/>
      <sheetName val="Graph_(LGEN)1"/>
      <sheetName val="선적schedule_(2)1"/>
      <sheetName val="Process_Piping1"/>
      <sheetName val="OSBL-TOTAL_(SEA_WATER)1"/>
      <sheetName val="INST_LIST1"/>
      <sheetName val="개시대사_(2)1"/>
      <sheetName val="OSBL-TOTAL_(CIVIL_WORK)1"/>
      <sheetName val="E_Rate_PM1"/>
      <sheetName val="code_data1"/>
      <sheetName val="Cost_Summary1"/>
      <sheetName val="Summary_Sheets1"/>
      <sheetName val="ITB_COST1"/>
      <sheetName val="DWTables"/>
      <sheetName val="BOM_DCS"/>
      <sheetName val="Piping_Design_Data6"/>
      <sheetName val="TYPE-B_평균H6"/>
      <sheetName val="Table_16"/>
      <sheetName val="BQ_List5"/>
      <sheetName val="Piping_Cost5"/>
      <sheetName val="Cover_sheet5"/>
      <sheetName val="steam_table5"/>
      <sheetName val="공사비_내역_(가)3"/>
      <sheetName val="Tipo_Terzi3"/>
      <sheetName val="Pag__13"/>
      <sheetName val="할증_3"/>
      <sheetName val="견적_집계3"/>
      <sheetName val="Anal-1_(Nox-SO2-CO)3"/>
      <sheetName val="DATA_LISTS3"/>
      <sheetName val="TABLE2-2_OSBL-(SITE_PREP)4"/>
      <sheetName val="TOTAL_PIPING3"/>
      <sheetName val="Bend_fact_3"/>
      <sheetName val="PRICE_LIST3"/>
      <sheetName val="Graph_(LGEN)3"/>
      <sheetName val="선적schedule_(2)3"/>
      <sheetName val="Process_Piping3"/>
      <sheetName val="OSBL-TOTAL_(SEA_WATER)3"/>
      <sheetName val="INST_LIST3"/>
      <sheetName val="개시대사_(2)3"/>
      <sheetName val="OSBL-TOTAL_(CIVIL_WORK)3"/>
      <sheetName val="E_Rate_PM3"/>
      <sheetName val="code_data3"/>
      <sheetName val="PRO_DCI"/>
      <sheetName val="ELEC_DCI"/>
      <sheetName val="INST_DCI"/>
      <sheetName val="JOINT1"/>
      <sheetName val="PAGE 3_GENERAL DETAILS"/>
      <sheetName val="IO"/>
      <sheetName val="Integration"/>
      <sheetName val="PRESSURE_GAUGE1"/>
      <sheetName val="SHUTDOWN_VALVE1"/>
      <sheetName val="B31_11"/>
      <sheetName val="97_사업추정(WEKI)1"/>
      <sheetName val="OSBL-TOTAL_(OTHER_WORK)1"/>
      <sheetName val="_견적서1"/>
      <sheetName val="Engrg_Est1"/>
      <sheetName val="CABLE_DATA1"/>
      <sheetName val="BAY별_원가표준1"/>
      <sheetName val="PTrating_all1"/>
      <sheetName val="Pipe_ID1"/>
      <sheetName val="_갑지1"/>
      <sheetName val="w't_table1"/>
      <sheetName val="S_N1"/>
      <sheetName val="소상_&quot;1&quot;1"/>
      <sheetName val="Substn,_Pdt_Trans,_Pack,_Other1"/>
      <sheetName val="Engrg_Est"/>
      <sheetName val="Summary_Sheets"/>
      <sheetName val="_갑지"/>
      <sheetName val="w't_table"/>
      <sheetName val="S_N"/>
      <sheetName val="소상_&quot;1&quot;"/>
      <sheetName val="Substn,_Pdt_Trans,_Pack,_Others"/>
      <sheetName val="DropBox"/>
      <sheetName val="유효성 검사"/>
      <sheetName val="TN IO_LIST"/>
      <sheetName val="6PILE  (돌출)"/>
      <sheetName val="CAL."/>
      <sheetName val="유효성검사"/>
      <sheetName val="자문요청"/>
      <sheetName val="mto-rev0B"/>
      <sheetName val="기준액"/>
      <sheetName val="MATRIAL"/>
      <sheetName val="laroux"/>
      <sheetName val="I_O Module"/>
      <sheetName val="PIPES"/>
      <sheetName val="Piping_Design_Data7"/>
      <sheetName val="TYPE-B_평균H7"/>
      <sheetName val="Table_17"/>
      <sheetName val="Cover_sheet6"/>
      <sheetName val="BQ_List6"/>
      <sheetName val="steam_table6"/>
      <sheetName val="Piping_Cost6"/>
      <sheetName val="Pag__14"/>
      <sheetName val="할증_4"/>
      <sheetName val="견적_집계4"/>
      <sheetName val="공사비_내역_(가)4"/>
      <sheetName val="Tipo_Terzi4"/>
      <sheetName val="PRICE_LIST4"/>
      <sheetName val="Anal-1_(Nox-SO2-CO)4"/>
      <sheetName val="Graph_(LGEN)4"/>
      <sheetName val="선적schedule_(2)4"/>
      <sheetName val="DATA_LISTS4"/>
      <sheetName val="TABLE2-2_OSBL-(SITE_PREP)5"/>
      <sheetName val="TOTAL_PIPING4"/>
      <sheetName val="Bend_fact_4"/>
      <sheetName val="Process_Piping4"/>
      <sheetName val="INST_LIST4"/>
      <sheetName val="OSBL-TOTAL_(SEA_WATER)4"/>
      <sheetName val="개시대사_(2)4"/>
      <sheetName val="OSBL-TOTAL_(CIVIL_WORK)4"/>
      <sheetName val="E_Rate_PM4"/>
      <sheetName val="code_data4"/>
      <sheetName val="PRESSURE_GAUGE2"/>
      <sheetName val="SHUTDOWN_VALVE2"/>
      <sheetName val="97_사업추정(WEKI)2"/>
      <sheetName val="OSBL-TOTAL_(OTHER_WORK)2"/>
      <sheetName val="_견적서2"/>
      <sheetName val="B31_12"/>
      <sheetName val="Engrg_Est2"/>
      <sheetName val="CABLE_DATA2"/>
      <sheetName val="BAY별_원가표준2"/>
      <sheetName val="Pipe_ID2"/>
      <sheetName val="PTrating_all2"/>
      <sheetName val="Summary_Sheets2"/>
      <sheetName val="_갑지2"/>
      <sheetName val="w't_table2"/>
      <sheetName val="S_N2"/>
      <sheetName val="소상_&quot;1&quot;2"/>
      <sheetName val="Substn,_Pdt_Trans,_Pack,_Other2"/>
      <sheetName val="Line_Details"/>
      <sheetName val="Two_Phase"/>
      <sheetName val="_"/>
      <sheetName val="CYP-O_F"/>
      <sheetName val="조도계산서_(도서)"/>
      <sheetName val="Notes_for_BOQ"/>
      <sheetName val="PAGE_3_GENERAL_DETAILS"/>
      <sheetName val="TN_IO_LIST"/>
      <sheetName val="유효성_검사"/>
      <sheetName val="2001概算定额"/>
      <sheetName val="RNRLRPL2"/>
      <sheetName val="PRO_A"/>
      <sheetName val="DWG"/>
      <sheetName val="ELEC_MCI"/>
      <sheetName val="MAIN"/>
      <sheetName val="INST_MCI"/>
      <sheetName val="MECH_MCI"/>
      <sheetName val="PRO"/>
      <sheetName val="Activity(new)"/>
      <sheetName val="Total(new)"/>
      <sheetName val="현장지지물물량"/>
      <sheetName val="Basic"/>
      <sheetName val="VESSELS &amp; COLUMNS"/>
      <sheetName val="설정"/>
      <sheetName val="Alternator"/>
      <sheetName val="일위대가"/>
      <sheetName val="Proposal"/>
      <sheetName val="원가 BOM-SLV,LND"/>
      <sheetName val="MTP"/>
      <sheetName val="6PILE__(돌출)"/>
      <sheetName val="CAL_"/>
      <sheetName val="Piping_Design_Data8"/>
      <sheetName val="TYPE-B_평균H8"/>
      <sheetName val="Table_18"/>
      <sheetName val="BQ_List7"/>
      <sheetName val="steam_table7"/>
      <sheetName val="Piping_Cost7"/>
      <sheetName val="Cover_sheet7"/>
      <sheetName val="공사비_내역_(가)5"/>
      <sheetName val="할증_5"/>
      <sheetName val="TABLE2-2_OSBL-(SITE_PREP)6"/>
      <sheetName val="TOTAL_PIPING5"/>
      <sheetName val="Bend_fact_5"/>
      <sheetName val="Tipo_Terzi5"/>
      <sheetName val="DATA_LISTS5"/>
      <sheetName val="PRICE_LIST5"/>
      <sheetName val="Pag__15"/>
      <sheetName val="OSBL-TOTAL_(SEA_WATER)5"/>
      <sheetName val="견적_집계5"/>
      <sheetName val="Anal-1_(Nox-SO2-CO)5"/>
      <sheetName val="Graph_(LGEN)5"/>
      <sheetName val="선적schedule_(2)5"/>
      <sheetName val="개시대사_(2)5"/>
      <sheetName val="OSBL-TOTAL_(CIVIL_WORK)5"/>
      <sheetName val="E_Rate_PM5"/>
      <sheetName val="Process_Piping5"/>
      <sheetName val="code_data5"/>
      <sheetName val="OSBL-TOTAL_(OTHER_WORK)3"/>
      <sheetName val="B31_13"/>
      <sheetName val="PRESSURE_GAUGE3"/>
      <sheetName val="SHUTDOWN_VALVE3"/>
      <sheetName val="BAY별_원가표준3"/>
      <sheetName val="CABLE_DATA3"/>
      <sheetName val="INST_LIST5"/>
      <sheetName val="97_사업추정(WEKI)3"/>
      <sheetName val="_견적서3"/>
      <sheetName val="Pipe_ID3"/>
      <sheetName val="PTrating_all3"/>
      <sheetName val="Engrg_Est3"/>
      <sheetName val="소상_&quot;1&quot;3"/>
      <sheetName val="Substn,_Pdt_Trans,_Pack,_Other3"/>
      <sheetName val="_1"/>
      <sheetName val="조도계산서_(도서)1"/>
      <sheetName val="CYP-O_F1"/>
      <sheetName val="Summary_Sheets3"/>
      <sheetName val="_갑지3"/>
      <sheetName val="w't_table3"/>
      <sheetName val="S_N3"/>
      <sheetName val="Line_Details1"/>
      <sheetName val="Two_Phase1"/>
      <sheetName val="Notes_for_BOQ1"/>
      <sheetName val="Datasheet for STRAINER"/>
      <sheetName val="PAGE_3_GENERAL_DETAILS1"/>
      <sheetName val="유효성_검사1"/>
      <sheetName val="6PILE__(돌출)1"/>
      <sheetName val="CAL_1"/>
      <sheetName val="TN_IO_LIST1"/>
      <sheetName val="4B - (1) Materials"/>
      <sheetName val="GROUP"/>
      <sheetName val="자바라1"/>
      <sheetName val="Engg-Exec-2"/>
      <sheetName val="Site-Precom-2"/>
      <sheetName val="Cont"/>
      <sheetName val="Ranges"/>
      <sheetName val="User"/>
      <sheetName val="MHRS"/>
      <sheetName val="BELİRLENECEKLER"/>
      <sheetName val="재료비"/>
      <sheetName val="EVVK"/>
      <sheetName val="EVVG"/>
      <sheetName val="EYDS"/>
      <sheetName val="EVVB"/>
      <sheetName val="EVVD"/>
      <sheetName val="EVVC"/>
      <sheetName val="EFF"/>
      <sheetName val="EFFH"/>
      <sheetName val="EVVH"/>
      <sheetName val="EVVF"/>
      <sheetName val="EVVE"/>
      <sheetName val="EVVM"/>
      <sheetName val="EFFB"/>
      <sheetName val="EMMT"/>
      <sheetName val="EMMC"/>
      <sheetName val="EMMA"/>
      <sheetName val="HVAC_DCI"/>
      <sheetName val="PIPE_DCI"/>
      <sheetName val="역T형"/>
      <sheetName val="parameters"/>
      <sheetName val="dr &amp; wd"/>
      <sheetName val="細目"/>
      <sheetName val="Man-month Chart - Overall"/>
      <sheetName val="MH(on site)"/>
      <sheetName val="Heat"/>
      <sheetName val="TABLE-A"/>
      <sheetName val="基数"/>
      <sheetName val="salary"/>
      <sheetName val="AC"/>
      <sheetName val="Cashflow Analysis"/>
      <sheetName val="TYPE-B_평균H9"/>
      <sheetName val="Piping_Design_Data9"/>
      <sheetName val="Table_19"/>
      <sheetName val="BQ_List8"/>
      <sheetName val="Cover_sheet8"/>
      <sheetName val="steam_table8"/>
      <sheetName val="code_data6"/>
      <sheetName val="Piping_Cost8"/>
      <sheetName val="공사비_내역_(가)6"/>
      <sheetName val="Tipo_Terzi6"/>
      <sheetName val="DATA_LISTS6"/>
      <sheetName val="Pag__16"/>
      <sheetName val="할증_6"/>
      <sheetName val="B31_14"/>
      <sheetName val="PRICE_LIST6"/>
      <sheetName val="견적_집계6"/>
      <sheetName val="Anal-1_(Nox-SO2-CO)6"/>
      <sheetName val="TABLE2-2_OSBL-(SITE_PREP)7"/>
      <sheetName val="TOTAL_PIPING6"/>
      <sheetName val="Bend_fact_6"/>
      <sheetName val="Graph_(LGEN)6"/>
      <sheetName val="선적schedule_(2)6"/>
      <sheetName val="Process_Piping6"/>
      <sheetName val="OSBL-TOTAL_(SEA_WATER)6"/>
      <sheetName val="INST_LIST6"/>
      <sheetName val="개시대사_(2)6"/>
      <sheetName val="OSBL-TOTAL_(CIVIL_WORK)6"/>
      <sheetName val="E_Rate_PM6"/>
      <sheetName val="BAY별_원가표준4"/>
      <sheetName val="OSBL-TOTAL_(OTHER_WORK)4"/>
      <sheetName val="CABLE_DATA4"/>
      <sheetName val="PRESSURE_GAUGE4"/>
      <sheetName val="SHUTDOWN_VALVE4"/>
      <sheetName val="97_사업추정(WEKI)4"/>
      <sheetName val="Engrg_Est4"/>
      <sheetName val="PTrating_all4"/>
      <sheetName val="_견적서4"/>
      <sheetName val="Pipe_ID4"/>
      <sheetName val="Summary_Sheets4"/>
      <sheetName val="_갑지4"/>
      <sheetName val="w't_table4"/>
      <sheetName val="S_N4"/>
      <sheetName val="소상_&quot;1&quot;4"/>
      <sheetName val="Substn,_Pdt_Trans,_Pack,_Other4"/>
      <sheetName val="_2"/>
      <sheetName val="CYP-O_F2"/>
      <sheetName val="Line_Details2"/>
      <sheetName val="Two_Phase2"/>
      <sheetName val="조도계산서_(도서)2"/>
      <sheetName val="Notes_for_BOQ2"/>
      <sheetName val="TN_IO_LIST2"/>
      <sheetName val="PAGE_3_GENERAL_DETAILS2"/>
      <sheetName val="유효성_검사2"/>
      <sheetName val="6PILE__(돌출)2"/>
      <sheetName val="CAL_2"/>
      <sheetName val="VESSELS_&amp;_COLUMNS"/>
      <sheetName val="I_O_Module"/>
      <sheetName val="4B_-_(1)_Materials"/>
      <sheetName val="VA_code"/>
      <sheetName val="EQUIP"/>
      <sheetName val="단면가정"/>
      <sheetName val="ABUT수량-A1"/>
      <sheetName val="Breakdown-1"/>
      <sheetName val="Add"/>
      <sheetName val="Equipment"/>
      <sheetName val="원가_BOM-SLV,LND"/>
      <sheetName val="Datasheet_for_STRAINER"/>
      <sheetName val="dr_&amp;_wd"/>
      <sheetName val="L V Separator"/>
      <sheetName val="Man-month_Chart_-_Overall"/>
      <sheetName val="MH(on_site)"/>
      <sheetName val="Cash2"/>
      <sheetName val="Z"/>
      <sheetName val="손익차9월2"/>
      <sheetName val="영업소실적"/>
      <sheetName val="data_dci"/>
      <sheetName val="data_mci"/>
      <sheetName val="9-1차이내역"/>
      <sheetName val="behind"/>
      <sheetName val="간접비(1)"/>
      <sheetName val="SS2"/>
      <sheetName val="수주현황2월"/>
      <sheetName val="인원계획"/>
      <sheetName val="General Data"/>
    </sheetNames>
    <sheetDataSet>
      <sheetData sheetId="0">
        <row r="4">
          <cell r="B4" t="str">
            <v>Line N°</v>
          </cell>
        </row>
      </sheetData>
      <sheetData sheetId="1">
        <row r="4">
          <cell r="B4" t="str">
            <v>Line N°</v>
          </cell>
        </row>
      </sheetData>
      <sheetData sheetId="2">
        <row r="4">
          <cell r="B4" t="str">
            <v>Line N°</v>
          </cell>
        </row>
      </sheetData>
      <sheetData sheetId="3" refreshError="1">
        <row r="5">
          <cell r="A5" t="str">
            <v>NO</v>
          </cell>
          <cell r="B5" t="str">
            <v>DESCRIPTION</v>
          </cell>
          <cell r="C5" t="str">
            <v>SIZE</v>
          </cell>
          <cell r="D5" t="str">
            <v>UNIT</v>
          </cell>
          <cell r="E5" t="str">
            <v>NET</v>
          </cell>
          <cell r="F5" t="str">
            <v>SPARE</v>
          </cell>
          <cell r="G5" t="str">
            <v>TOTAL</v>
          </cell>
          <cell r="H5" t="str">
            <v>UNIT</v>
          </cell>
          <cell r="I5" t="str">
            <v>TOTAL</v>
          </cell>
          <cell r="J5" t="str">
            <v>UNIT</v>
          </cell>
          <cell r="K5" t="str">
            <v>TOTAL</v>
          </cell>
          <cell r="L5" t="str">
            <v xml:space="preserve"> </v>
          </cell>
          <cell r="M5" t="str">
            <v xml:space="preserve"> </v>
          </cell>
        </row>
        <row r="6">
          <cell r="A6" t="str">
            <v>1.1</v>
          </cell>
          <cell r="B6" t="str">
            <v>ORIFICE PLATE ASSEMBLY</v>
          </cell>
          <cell r="C6" t="str">
            <v>4" 150#</v>
          </cell>
          <cell r="D6" t="str">
            <v>EA</v>
          </cell>
          <cell r="E6">
            <v>1</v>
          </cell>
        </row>
        <row r="7">
          <cell r="B7" t="str">
            <v xml:space="preserve">  FLANGE/PLATE : 304LSS/316LSS</v>
          </cell>
          <cell r="C7" t="str">
            <v>2" 150#</v>
          </cell>
          <cell r="D7" t="str">
            <v>EA</v>
          </cell>
          <cell r="E7">
            <v>2</v>
          </cell>
        </row>
        <row r="8">
          <cell r="B8" t="str">
            <v xml:space="preserve">  PROCESS CONN : ANSI, RF</v>
          </cell>
        </row>
        <row r="9">
          <cell r="B9" t="str">
            <v xml:space="preserve">  ACCESSORIES :</v>
          </cell>
        </row>
        <row r="10">
          <cell r="B10" t="str">
            <v xml:space="preserve">    - NIPPLE</v>
          </cell>
        </row>
        <row r="11">
          <cell r="B11" t="str">
            <v xml:space="preserve">    - BOLT &amp; NUT</v>
          </cell>
        </row>
        <row r="12">
          <cell r="B12" t="str">
            <v xml:space="preserve">    - GASKET</v>
          </cell>
        </row>
        <row r="13">
          <cell r="B13" t="str">
            <v xml:space="preserve">    - JACK SCREW</v>
          </cell>
        </row>
        <row r="17">
          <cell r="A17" t="str">
            <v>1.2</v>
          </cell>
          <cell r="B17" t="str">
            <v>MASS FLOWMETER</v>
          </cell>
          <cell r="C17" t="str">
            <v>6" 150#</v>
          </cell>
          <cell r="D17" t="str">
            <v>EA</v>
          </cell>
          <cell r="E17">
            <v>2</v>
          </cell>
        </row>
        <row r="18">
          <cell r="B18" t="str">
            <v xml:space="preserve">  TYPE : CORIOLIS</v>
          </cell>
          <cell r="C18" t="str">
            <v>4" 150#</v>
          </cell>
          <cell r="D18" t="str">
            <v>EA</v>
          </cell>
          <cell r="E18">
            <v>1</v>
          </cell>
        </row>
        <row r="19">
          <cell r="B19" t="str">
            <v xml:space="preserve">  BODY/ELEMENT : 304SS/316LSS</v>
          </cell>
          <cell r="C19" t="str">
            <v>5" 150#</v>
          </cell>
          <cell r="D19" t="str">
            <v>EA</v>
          </cell>
          <cell r="E19">
            <v>1</v>
          </cell>
        </row>
        <row r="20">
          <cell r="B20" t="str">
            <v xml:space="preserve">  OUTPUT : 4-20mA, SMART</v>
          </cell>
        </row>
        <row r="21">
          <cell r="B21" t="str">
            <v xml:space="preserve">  PROCESS CONN : ANSI, RF</v>
          </cell>
        </row>
        <row r="22">
          <cell r="B22" t="str">
            <v xml:space="preserve">  ELEC. ENCL.: INTRINSIC SAFETY (Exi)</v>
          </cell>
        </row>
        <row r="23">
          <cell r="B23" t="str">
            <v xml:space="preserve">  ACCESSORIES :</v>
          </cell>
        </row>
        <row r="24">
          <cell r="B24" t="str">
            <v xml:space="preserve">    - SPECIAL CABLE</v>
          </cell>
        </row>
        <row r="25">
          <cell r="B25" t="str">
            <v xml:space="preserve">    - CONVERTER (REMOTE)</v>
          </cell>
        </row>
        <row r="26">
          <cell r="B26" t="str">
            <v xml:space="preserve">    - MOUNTING BRACKET (FOR 2" PIPE)</v>
          </cell>
        </row>
        <row r="30">
          <cell r="A30" t="str">
            <v>1.3</v>
          </cell>
          <cell r="B30" t="str">
            <v>TURBINE FLOWMETER</v>
          </cell>
          <cell r="C30" t="str">
            <v>1" 150#</v>
          </cell>
          <cell r="D30" t="str">
            <v>EA</v>
          </cell>
          <cell r="E30">
            <v>1</v>
          </cell>
        </row>
        <row r="31">
          <cell r="B31" t="str">
            <v xml:space="preserve">  TYPE : TRANSMIT</v>
          </cell>
        </row>
        <row r="32">
          <cell r="B32" t="str">
            <v xml:space="preserve">  BODY/ELEMENT : 304LSS/316LSS</v>
          </cell>
        </row>
        <row r="33">
          <cell r="B33" t="str">
            <v xml:space="preserve">  OUTPUT : 4-20mA, SMART</v>
          </cell>
        </row>
        <row r="34">
          <cell r="B34" t="str">
            <v xml:space="preserve">  PROCESS CONN : ANSI, RF</v>
          </cell>
        </row>
        <row r="35">
          <cell r="B35" t="str">
            <v xml:space="preserve">  ELEC. ENCL.: INTRINSIC SAFETY (Exi)</v>
          </cell>
        </row>
        <row r="36">
          <cell r="B36" t="str">
            <v xml:space="preserve">  ACCESSORIES :</v>
          </cell>
        </row>
        <row r="37">
          <cell r="B37" t="str">
            <v xml:space="preserve">    - CONVERTER (INTEGRAL)</v>
          </cell>
        </row>
        <row r="38">
          <cell r="B38" t="str">
            <v xml:space="preserve">    - LOCAL TOTALIZER</v>
          </cell>
        </row>
        <row r="42">
          <cell r="A42" t="str">
            <v>1.4</v>
          </cell>
          <cell r="B42" t="str">
            <v>ULTRASONIC FLOWMETER</v>
          </cell>
          <cell r="C42" t="str">
            <v>8" 150#</v>
          </cell>
          <cell r="D42" t="str">
            <v>EA</v>
          </cell>
          <cell r="E42">
            <v>1</v>
          </cell>
        </row>
        <row r="43">
          <cell r="B43" t="str">
            <v xml:space="preserve">  TYPE : TRANSMIT</v>
          </cell>
        </row>
        <row r="44">
          <cell r="B44" t="str">
            <v xml:space="preserve">  BODY/ELEMENT : 304SS</v>
          </cell>
        </row>
        <row r="45">
          <cell r="B45" t="str">
            <v xml:space="preserve">  OUTPUT : 4-20mA, SMART</v>
          </cell>
        </row>
        <row r="46">
          <cell r="B46" t="str">
            <v xml:space="preserve">  PROCESS CONN : ANSI, RF</v>
          </cell>
        </row>
        <row r="47">
          <cell r="B47" t="str">
            <v xml:space="preserve">  ELEC. ENCL.: INTRINSIC SAFETY (Exi)</v>
          </cell>
        </row>
        <row r="51">
          <cell r="A51" t="str">
            <v>1.5</v>
          </cell>
          <cell r="B51" t="str">
            <v xml:space="preserve">DISPLACEMENT TYPE ,LEVEL </v>
          </cell>
          <cell r="C51" t="str">
            <v>500mm</v>
          </cell>
          <cell r="D51" t="str">
            <v>EA</v>
          </cell>
          <cell r="E51">
            <v>5</v>
          </cell>
        </row>
        <row r="52">
          <cell r="B52" t="str">
            <v xml:space="preserve">  MOUNTING : INTERNAL</v>
          </cell>
        </row>
        <row r="53">
          <cell r="B53" t="str">
            <v xml:space="preserve">  FUNCTION : SWITCH</v>
          </cell>
        </row>
        <row r="54">
          <cell r="B54" t="str">
            <v xml:space="preserve">  BODY/DISPLACER : 304SS/316LSS</v>
          </cell>
        </row>
        <row r="55">
          <cell r="B55" t="str">
            <v xml:space="preserve">  OUTPUT : 1 DPDT x 1</v>
          </cell>
        </row>
        <row r="56">
          <cell r="B56" t="str">
            <v xml:space="preserve">  PROCESS CONN : ANSI, 4" 150#</v>
          </cell>
        </row>
        <row r="57">
          <cell r="B57" t="str">
            <v xml:space="preserve">  ELEC. ENCL.: EXP. PF (Exd)</v>
          </cell>
        </row>
        <row r="61">
          <cell r="A61" t="str">
            <v>1.6</v>
          </cell>
          <cell r="B61" t="str">
            <v xml:space="preserve">DISPLACEMENT TYPE ,LEVEL </v>
          </cell>
          <cell r="C61" t="str">
            <v>2" 150#</v>
          </cell>
          <cell r="D61" t="str">
            <v>EA</v>
          </cell>
          <cell r="E61">
            <v>9</v>
          </cell>
        </row>
        <row r="62">
          <cell r="B62" t="str">
            <v xml:space="preserve">  MOUTING : SIDE, EXTERNAL</v>
          </cell>
        </row>
        <row r="63">
          <cell r="B63" t="str">
            <v xml:space="preserve">  FUNCTION : SWITCH</v>
          </cell>
        </row>
        <row r="64">
          <cell r="B64" t="str">
            <v xml:space="preserve">  BODY/FLOAT : 304SS/316LSS</v>
          </cell>
        </row>
        <row r="65">
          <cell r="B65" t="str">
            <v xml:space="preserve">  OUTPUT : 1 DPDT x 2</v>
          </cell>
        </row>
        <row r="66">
          <cell r="B66" t="str">
            <v xml:space="preserve">  PROCESS CONN : ANSI RF</v>
          </cell>
        </row>
        <row r="67">
          <cell r="B67" t="str">
            <v xml:space="preserve">  ELEC. ENCL.: EXP. PF (Exd)</v>
          </cell>
        </row>
        <row r="68">
          <cell r="B68" t="str">
            <v xml:space="preserve">  C-TO C : 440 MM</v>
          </cell>
        </row>
        <row r="72">
          <cell r="A72" t="str">
            <v>1.7</v>
          </cell>
          <cell r="B72" t="str">
            <v>AUTOMATIC TANK GAUGE (ENRAF 854)</v>
          </cell>
          <cell r="C72" t="str">
            <v>20000mm</v>
          </cell>
          <cell r="D72" t="str">
            <v>EA</v>
          </cell>
          <cell r="E72">
            <v>4</v>
          </cell>
        </row>
        <row r="73">
          <cell r="B73" t="str">
            <v xml:space="preserve">  TYPE : TRANSMIT,SERVO-BALANCE</v>
          </cell>
        </row>
        <row r="74">
          <cell r="B74" t="str">
            <v xml:space="preserve">  BODY/FLOAT : ADC/316LSS</v>
          </cell>
        </row>
        <row r="75">
          <cell r="B75" t="str">
            <v xml:space="preserve">  OUTPUT : 4-20mA, SMART</v>
          </cell>
        </row>
        <row r="76">
          <cell r="B76" t="str">
            <v xml:space="preserve">  PROCESS CONN : ANSI, RF</v>
          </cell>
        </row>
        <row r="77">
          <cell r="B77" t="str">
            <v xml:space="preserve">  ELEC. ENCL.: INTRINSIC SAFETY (Exi)</v>
          </cell>
        </row>
        <row r="78">
          <cell r="B78" t="str">
            <v xml:space="preserve">  ACCESSORIES :</v>
          </cell>
        </row>
        <row r="79">
          <cell r="B79" t="str">
            <v xml:space="preserve">    - TANK SIDE INDICATOR</v>
          </cell>
        </row>
        <row r="80">
          <cell r="B80" t="str">
            <v xml:space="preserve">    - CALIBRATION CHAMBER</v>
          </cell>
        </row>
        <row r="81">
          <cell r="B81" t="str">
            <v xml:space="preserve">    - BALL VALVE</v>
          </cell>
        </row>
        <row r="82">
          <cell r="B82" t="str">
            <v xml:space="preserve">    - MULTIPLE RESISTANCE THERMOMETER</v>
          </cell>
        </row>
        <row r="83">
          <cell r="B83" t="str">
            <v xml:space="preserve">      (865 MRT)</v>
          </cell>
        </row>
        <row r="84">
          <cell r="A84" t="str">
            <v xml:space="preserve"> </v>
          </cell>
        </row>
        <row r="87">
          <cell r="A87" t="str">
            <v>1.8</v>
          </cell>
          <cell r="B87" t="str">
            <v>LEVEL GAUGE</v>
          </cell>
          <cell r="C87" t="str">
            <v>1370MM</v>
          </cell>
          <cell r="D87" t="str">
            <v>EA</v>
          </cell>
          <cell r="E87">
            <v>4</v>
          </cell>
        </row>
        <row r="88">
          <cell r="B88" t="str">
            <v xml:space="preserve">  TYPE : REFLEX</v>
          </cell>
        </row>
        <row r="89">
          <cell r="B89" t="str">
            <v xml:space="preserve">  BODY/ELEMENT : 304SS/316LSS</v>
          </cell>
        </row>
        <row r="90">
          <cell r="A90" t="str">
            <v xml:space="preserve"> </v>
          </cell>
          <cell r="B90" t="str">
            <v xml:space="preserve">  PROCESS CONN : ANSI 2", 150#</v>
          </cell>
        </row>
        <row r="91">
          <cell r="B91" t="str">
            <v xml:space="preserve">  ACCESSORIES</v>
          </cell>
        </row>
        <row r="92">
          <cell r="B92" t="str">
            <v xml:space="preserve">    - GAUGE VALVE, OFFSET TYPE</v>
          </cell>
        </row>
        <row r="93">
          <cell r="B93" t="str">
            <v xml:space="preserve">    - VENT/DRAIN VALVE</v>
          </cell>
        </row>
        <row r="97">
          <cell r="A97" t="str">
            <v>1.9</v>
          </cell>
          <cell r="B97" t="str">
            <v>MAGNETIC LEVEL GAUGE</v>
          </cell>
          <cell r="C97" t="str">
            <v>2000MM</v>
          </cell>
          <cell r="D97" t="str">
            <v>EA</v>
          </cell>
          <cell r="E97">
            <v>7</v>
          </cell>
        </row>
        <row r="98">
          <cell r="B98" t="str">
            <v xml:space="preserve">  TYPE : MAGNETIC FLOAT</v>
          </cell>
        </row>
        <row r="99">
          <cell r="B99" t="str">
            <v xml:space="preserve">  BODY/ELEMENT : 304SS/316LSS</v>
          </cell>
        </row>
        <row r="100">
          <cell r="B100" t="str">
            <v xml:space="preserve">  PROCESS CONN : ANSI 2", 150#</v>
          </cell>
        </row>
        <row r="101">
          <cell r="B101" t="str">
            <v xml:space="preserve">  ACCESSORIES</v>
          </cell>
        </row>
        <row r="102">
          <cell r="B102" t="str">
            <v xml:space="preserve">    - VENT/DRAIN VALVE</v>
          </cell>
        </row>
        <row r="106">
          <cell r="A106" t="str">
            <v>1.10</v>
          </cell>
          <cell r="B106" t="str">
            <v>DITTO 1.8 BUT</v>
          </cell>
          <cell r="C106" t="str">
            <v>2000MM</v>
          </cell>
          <cell r="D106" t="str">
            <v>EA</v>
          </cell>
          <cell r="E106">
            <v>1</v>
          </cell>
        </row>
        <row r="107">
          <cell r="B107" t="str">
            <v xml:space="preserve">  ACCESSORIES</v>
          </cell>
        </row>
        <row r="108">
          <cell r="B108" t="str">
            <v xml:space="preserve">    - LEVEL SWITCH (1 EA)</v>
          </cell>
        </row>
        <row r="112">
          <cell r="A112" t="str">
            <v>1.11</v>
          </cell>
          <cell r="B112" t="str">
            <v>PRESSURE TRANSMITTER</v>
          </cell>
          <cell r="C112">
            <v>0</v>
          </cell>
          <cell r="D112" t="str">
            <v>EA</v>
          </cell>
          <cell r="E112">
            <v>7</v>
          </cell>
        </row>
        <row r="113">
          <cell r="B113" t="str">
            <v xml:space="preserve">  TYPE : DIAPHRAGM</v>
          </cell>
        </row>
        <row r="114">
          <cell r="B114" t="str">
            <v xml:space="preserve">  BODY/ELEMENT : 304SS/316LSS</v>
          </cell>
        </row>
        <row r="115">
          <cell r="B115" t="str">
            <v xml:space="preserve">  OUTPUT : 4-20mA, SMART</v>
          </cell>
        </row>
        <row r="116">
          <cell r="B116" t="str">
            <v xml:space="preserve">  PROCESS CONN : 1/2" NPT</v>
          </cell>
        </row>
        <row r="117">
          <cell r="B117" t="str">
            <v xml:space="preserve">  ELEC. ENCL.: INTRINSIC SAFETY (Exi)</v>
          </cell>
        </row>
        <row r="118">
          <cell r="B118" t="str">
            <v xml:space="preserve">  ACCESSORIES :</v>
          </cell>
        </row>
        <row r="119">
          <cell r="B119" t="str">
            <v xml:space="preserve">    - LOCAL INDICATOR</v>
          </cell>
        </row>
        <row r="120">
          <cell r="B120" t="str">
            <v xml:space="preserve">    - 2-VALVE MANIFOLD</v>
          </cell>
        </row>
        <row r="121">
          <cell r="B121" t="str">
            <v xml:space="preserve">    - MOUNTING BRACKET (FOR 2" PIPE)</v>
          </cell>
        </row>
        <row r="125">
          <cell r="A125" t="str">
            <v>1.12</v>
          </cell>
          <cell r="B125" t="str">
            <v>D/P TRANSMITTER,  FLOW</v>
          </cell>
          <cell r="C125">
            <v>0</v>
          </cell>
          <cell r="D125" t="str">
            <v>EA</v>
          </cell>
          <cell r="E125">
            <v>3</v>
          </cell>
        </row>
        <row r="126">
          <cell r="B126" t="str">
            <v xml:space="preserve">  TYPE : DIAPHRAGM</v>
          </cell>
        </row>
        <row r="127">
          <cell r="B127" t="str">
            <v xml:space="preserve">  BODY/ELEMENT : 304SS/316LSS</v>
          </cell>
        </row>
        <row r="128">
          <cell r="B128" t="str">
            <v xml:space="preserve">  OUTPUT : 4-20mA, SMART</v>
          </cell>
        </row>
        <row r="129">
          <cell r="B129" t="str">
            <v xml:space="preserve">  PROCESS CONN : 1/2" NPTF</v>
          </cell>
        </row>
        <row r="130">
          <cell r="B130" t="str">
            <v xml:space="preserve">  ELEC. ENCL.: INTRINSIC SAFETY (Exi)</v>
          </cell>
        </row>
        <row r="131">
          <cell r="B131" t="str">
            <v xml:space="preserve">  ACCESSORIES :</v>
          </cell>
        </row>
        <row r="132">
          <cell r="B132" t="str">
            <v xml:space="preserve">    - 3-VALVE MANIFOLD</v>
          </cell>
        </row>
        <row r="133">
          <cell r="B133" t="str">
            <v xml:space="preserve">    - LOCAL INDICATOR</v>
          </cell>
        </row>
        <row r="134">
          <cell r="B134" t="str">
            <v xml:space="preserve">    - MOUNTING BRACKET (FOR 2" PIPE)</v>
          </cell>
        </row>
        <row r="138">
          <cell r="A138" t="str">
            <v>1.13</v>
          </cell>
          <cell r="B138" t="str">
            <v>PRESSURE GAUGE</v>
          </cell>
          <cell r="C138">
            <v>0</v>
          </cell>
          <cell r="D138" t="str">
            <v>EA</v>
          </cell>
          <cell r="E138">
            <v>9</v>
          </cell>
        </row>
        <row r="139">
          <cell r="B139" t="str">
            <v xml:space="preserve">  TYPE : LIQUID FILLED</v>
          </cell>
        </row>
        <row r="140">
          <cell r="B140" t="str">
            <v xml:space="preserve">  DIAL SIZE : 6"</v>
          </cell>
        </row>
        <row r="141">
          <cell r="B141" t="str">
            <v xml:space="preserve">  CASE/ELEMENT : 304SS/316SS</v>
          </cell>
        </row>
        <row r="142">
          <cell r="B142" t="str">
            <v xml:space="preserve">  PROCESS CONN. : 1/2" NPT</v>
          </cell>
        </row>
        <row r="146">
          <cell r="A146" t="str">
            <v>1.14</v>
          </cell>
          <cell r="B146" t="str">
            <v>DIFF. PRESSURE GAUGE</v>
          </cell>
          <cell r="C146">
            <v>0</v>
          </cell>
          <cell r="D146" t="str">
            <v>EA</v>
          </cell>
          <cell r="E146">
            <v>7</v>
          </cell>
        </row>
        <row r="147">
          <cell r="B147" t="str">
            <v xml:space="preserve">  TYPE : DIAPHRAGM</v>
          </cell>
        </row>
        <row r="148">
          <cell r="B148" t="str">
            <v xml:space="preserve">  DIAL SIZE : 6"</v>
          </cell>
        </row>
        <row r="149">
          <cell r="B149" t="str">
            <v xml:space="preserve">  CASE/ELEMENT : 304SS/316SS</v>
          </cell>
        </row>
        <row r="150">
          <cell r="B150" t="str">
            <v xml:space="preserve">  PROCESS CONN. : 1/2" NPT</v>
          </cell>
        </row>
        <row r="151">
          <cell r="B151" t="str">
            <v xml:space="preserve">  ACCESSORIES :</v>
          </cell>
        </row>
        <row r="152">
          <cell r="B152" t="str">
            <v xml:space="preserve">    - MOUNTING BRACKET (FOR 2" PIPE)</v>
          </cell>
        </row>
        <row r="156">
          <cell r="A156" t="str">
            <v>1.15</v>
          </cell>
          <cell r="B156" t="str">
            <v>TEMPERATURE TRANSMITTER</v>
          </cell>
          <cell r="C156">
            <v>0</v>
          </cell>
          <cell r="D156" t="str">
            <v>EA</v>
          </cell>
          <cell r="E156">
            <v>6</v>
          </cell>
        </row>
        <row r="157">
          <cell r="B157" t="str">
            <v xml:space="preserve">  BODY/ELEMENT : 316SS/316LSS</v>
          </cell>
        </row>
        <row r="158">
          <cell r="B158" t="str">
            <v xml:space="preserve">  OUTPUT : 4-20mA, SMART</v>
          </cell>
        </row>
        <row r="159">
          <cell r="B159" t="str">
            <v xml:space="preserve">  ELEC. ENCL.: INTRINSIC SAFETY (Exi)</v>
          </cell>
        </row>
        <row r="160">
          <cell r="B160" t="str">
            <v xml:space="preserve">  ACCESSORIES :</v>
          </cell>
        </row>
        <row r="161">
          <cell r="B161" t="str">
            <v xml:space="preserve">    - LOCAL INDICATOR</v>
          </cell>
        </row>
        <row r="162">
          <cell r="B162" t="str">
            <v xml:space="preserve">    - MOUNTING BRACKET (FOR 2" PIPE)</v>
          </cell>
        </row>
        <row r="166">
          <cell r="A166" t="str">
            <v>1.16</v>
          </cell>
          <cell r="B166" t="str">
            <v>THERMOELEMENT ASSEMBLY</v>
          </cell>
          <cell r="C166">
            <v>0</v>
          </cell>
          <cell r="D166" t="str">
            <v>EA</v>
          </cell>
          <cell r="E166">
            <v>6</v>
          </cell>
        </row>
        <row r="167">
          <cell r="B167" t="str">
            <v xml:space="preserve">  SENSOR : RTD (SINGLE), Pt 100 ohm</v>
          </cell>
        </row>
        <row r="168">
          <cell r="B168" t="str">
            <v xml:space="preserve">  ELEMENT : 316SS</v>
          </cell>
        </row>
        <row r="169">
          <cell r="B169" t="str">
            <v xml:space="preserve">  ELEC. ENCL.: INTRINSIC SAFETY (Exi)</v>
          </cell>
        </row>
        <row r="170">
          <cell r="B170" t="str">
            <v xml:space="preserve">  WELL :</v>
          </cell>
        </row>
        <row r="171">
          <cell r="B171" t="str">
            <v xml:space="preserve">    - TYPE : DRILLED BAR</v>
          </cell>
        </row>
        <row r="172">
          <cell r="B172" t="str">
            <v xml:space="preserve">    - MATL : 316LSS</v>
          </cell>
        </row>
        <row r="173">
          <cell r="B173" t="str">
            <v xml:space="preserve">    - PROCESS CONN : ANSI 1 1/2", 150#</v>
          </cell>
        </row>
        <row r="174">
          <cell r="B174" t="str">
            <v xml:space="preserve">    - IMMER. LENGTH : 400mm</v>
          </cell>
        </row>
        <row r="178">
          <cell r="A178" t="str">
            <v>1.17</v>
          </cell>
          <cell r="B178" t="str">
            <v xml:space="preserve">INDICATING THERMOMETER </v>
          </cell>
          <cell r="C178">
            <v>0</v>
          </cell>
          <cell r="D178" t="str">
            <v>EA</v>
          </cell>
          <cell r="E178">
            <v>2</v>
          </cell>
        </row>
        <row r="179">
          <cell r="B179" t="str">
            <v xml:space="preserve">  TYPE/FORM : BIMETAL/ANY ANGLE TYPE</v>
          </cell>
        </row>
        <row r="180">
          <cell r="B180" t="str">
            <v xml:space="preserve">  DIAL SIZE : 5"</v>
          </cell>
        </row>
        <row r="181">
          <cell r="B181" t="str">
            <v xml:space="preserve">  CASE/ELEMENTL : 304SS/316SS</v>
          </cell>
        </row>
        <row r="182">
          <cell r="B182" t="str">
            <v xml:space="preserve">  WELL :</v>
          </cell>
        </row>
        <row r="183">
          <cell r="B183" t="str">
            <v xml:space="preserve">    - TYPE : DRILLED BAR</v>
          </cell>
        </row>
        <row r="184">
          <cell r="B184" t="str">
            <v xml:space="preserve">    - MATL : 316LSS</v>
          </cell>
        </row>
        <row r="185">
          <cell r="B185" t="str">
            <v xml:space="preserve">    - PROCESS CONN : ANSI 1 1/2", 150#</v>
          </cell>
        </row>
        <row r="186">
          <cell r="B186" t="str">
            <v xml:space="preserve">    - IMMER. LENGTH : 400mm</v>
          </cell>
        </row>
        <row r="190">
          <cell r="A190" t="str">
            <v>1.18</v>
          </cell>
          <cell r="B190" t="str">
            <v xml:space="preserve">TEST THERMOWELL </v>
          </cell>
          <cell r="C190">
            <v>0</v>
          </cell>
          <cell r="D190" t="str">
            <v>EA</v>
          </cell>
          <cell r="E190">
            <v>2</v>
          </cell>
        </row>
        <row r="191">
          <cell r="B191" t="str">
            <v xml:space="preserve">  TYPE : DRILLED BAR</v>
          </cell>
        </row>
        <row r="192">
          <cell r="B192" t="str">
            <v xml:space="preserve">  MATL : 316LSS</v>
          </cell>
        </row>
        <row r="193">
          <cell r="B193" t="str">
            <v xml:space="preserve">  PROCESS CONN : ANSI 1 1/2", 150#</v>
          </cell>
        </row>
        <row r="194">
          <cell r="B194" t="str">
            <v xml:space="preserve">  IMMER. LENGTH : 400mm</v>
          </cell>
        </row>
        <row r="198">
          <cell r="A198" t="str">
            <v>1.19</v>
          </cell>
          <cell r="B198" t="str">
            <v>CONTROL VALVE</v>
          </cell>
          <cell r="C198" t="str">
            <v>2" 300#</v>
          </cell>
          <cell r="D198" t="str">
            <v>EA</v>
          </cell>
          <cell r="E198">
            <v>4</v>
          </cell>
        </row>
        <row r="199">
          <cell r="B199" t="str">
            <v xml:space="preserve">  TYPE : GLOBE</v>
          </cell>
          <cell r="C199" t="str">
            <v>4" 300#</v>
          </cell>
          <cell r="D199" t="str">
            <v>EA</v>
          </cell>
          <cell r="E199">
            <v>3</v>
          </cell>
        </row>
        <row r="200">
          <cell r="B200" t="str">
            <v xml:space="preserve">  CONTROL ACTION : THROTTLING</v>
          </cell>
          <cell r="C200" t="str">
            <v>6" 300#</v>
          </cell>
          <cell r="D200" t="str">
            <v>EA</v>
          </cell>
          <cell r="E200">
            <v>1</v>
          </cell>
        </row>
        <row r="201">
          <cell r="B201" t="str">
            <v xml:space="preserve">  ACTUATOR : DIAPHRAGM</v>
          </cell>
        </row>
        <row r="202">
          <cell r="B202" t="str">
            <v xml:space="preserve">  BODY/TRIM : 304LSS/316LSS</v>
          </cell>
        </row>
        <row r="203">
          <cell r="B203" t="str">
            <v xml:space="preserve">  BONNET : STANDARD</v>
          </cell>
        </row>
        <row r="204">
          <cell r="B204" t="str">
            <v xml:space="preserve">  FLANGE RATING : ANSI,RF</v>
          </cell>
        </row>
        <row r="205">
          <cell r="B205" t="str">
            <v xml:space="preserve">  ELEC. ENCL.: INTRINSIC SAFETY (Exi)</v>
          </cell>
        </row>
        <row r="206">
          <cell r="B206" t="str">
            <v xml:space="preserve">  ACCESSORIES :</v>
          </cell>
        </row>
        <row r="207">
          <cell r="B207" t="str">
            <v xml:space="preserve">    - I/P POSITIONER</v>
          </cell>
        </row>
        <row r="208">
          <cell r="B208" t="str">
            <v xml:space="preserve">    - AIR SET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 refreshError="1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 V Separator"/>
      <sheetName val="eq_data"/>
      <sheetName val="Cover"/>
      <sheetName val="Code"/>
      <sheetName val="h-013211-2"/>
      <sheetName val="INSTR"/>
      <sheetName val="DWTables"/>
      <sheetName val="PRC-SUM"/>
      <sheetName val="PRO_DCI"/>
      <sheetName val="INST_DCI"/>
      <sheetName val="HVAC_DCI"/>
      <sheetName val="PIPE_DCI"/>
      <sheetName val="sum3"/>
      <sheetName val="Sheet1"/>
      <sheetName val="Connections"/>
      <sheetName val="Sheet2"/>
      <sheetName val="Proj Cost Sumry"/>
      <sheetName val="L_V_Separator"/>
      <sheetName val="L_V_Separator1"/>
      <sheetName val="DRUM"/>
    </sheetNames>
    <sheetDataSet>
      <sheetData sheetId="0">
        <row r="1">
          <cell r="A1" t="str">
            <v>LIQUID  / VAPOR SEPARATOR  DATA SHEET</v>
          </cell>
        </row>
        <row r="2">
          <cell r="A2" t="str">
            <v>CLIENT :</v>
          </cell>
          <cell r="D2" t="str">
            <v>SK Corporation</v>
          </cell>
          <cell r="O2" t="str">
            <v>ITEM NO. :</v>
          </cell>
          <cell r="R2" t="str">
            <v>XX-XXXXX</v>
          </cell>
        </row>
        <row r="3">
          <cell r="A3" t="str">
            <v>UNIT:</v>
          </cell>
          <cell r="D3" t="str">
            <v>Unit Name</v>
          </cell>
          <cell r="O3" t="str">
            <v>LOCATION :</v>
          </cell>
          <cell r="R3" t="str">
            <v>Ulsan, Korea</v>
          </cell>
        </row>
        <row r="4">
          <cell r="A4">
            <v>1</v>
          </cell>
          <cell r="B4" t="str">
            <v>EQUIPMENT NAME:</v>
          </cell>
          <cell r="G4" t="str">
            <v>Equipment Name</v>
          </cell>
          <cell r="V4" t="str">
            <v>NUMBER REQUIRED:</v>
          </cell>
        </row>
        <row r="5">
          <cell r="A5">
            <v>2</v>
          </cell>
          <cell r="B5" t="str">
            <v xml:space="preserve">NOTE : </v>
          </cell>
          <cell r="F5" t="str">
            <v>INDICATES INFORMATION TO BE COMPLETED BY PURCHASER</v>
          </cell>
          <cell r="U5" t="str">
            <v>BY MANUFACTURER</v>
          </cell>
          <cell r="Z5" t="str">
            <v>BY EITHER</v>
          </cell>
        </row>
        <row r="6">
          <cell r="A6">
            <v>3</v>
          </cell>
          <cell r="B6" t="str">
            <v>MANUFACTURER:</v>
          </cell>
          <cell r="O6" t="str">
            <v>MODEL NO. :</v>
          </cell>
          <cell r="V6" t="str">
            <v>SERIAL NO. :</v>
          </cell>
        </row>
        <row r="7">
          <cell r="A7">
            <v>4</v>
          </cell>
          <cell r="B7" t="str">
            <v>GENERAL</v>
          </cell>
          <cell r="Q7" t="str">
            <v>CONNECTIONS</v>
          </cell>
        </row>
        <row r="8">
          <cell r="A8">
            <v>5</v>
          </cell>
          <cell r="V8" t="str">
            <v>NO.</v>
          </cell>
          <cell r="X8" t="str">
            <v>SIZE</v>
          </cell>
          <cell r="Y8" t="str">
            <v>in</v>
          </cell>
          <cell r="Z8" t="str">
            <v>RATING</v>
          </cell>
          <cell r="AB8" t="str">
            <v>FACING</v>
          </cell>
        </row>
        <row r="9">
          <cell r="A9">
            <v>6</v>
          </cell>
          <cell r="B9" t="str">
            <v xml:space="preserve"> TYPE - </v>
          </cell>
          <cell r="E9" t="str">
            <v>CENTRIFUGAL</v>
          </cell>
          <cell r="I9" t="str">
            <v>GRAVITY SETTLING</v>
          </cell>
          <cell r="Q9" t="str">
            <v xml:space="preserve"> INLET</v>
          </cell>
        </row>
        <row r="10">
          <cell r="A10">
            <v>7</v>
          </cell>
          <cell r="E10" t="str">
            <v>VANE</v>
          </cell>
          <cell r="I10" t="str">
            <v xml:space="preserve"> OTHER</v>
          </cell>
          <cell r="Q10" t="str">
            <v xml:space="preserve"> VAPOR  OUTLET</v>
          </cell>
        </row>
        <row r="11">
          <cell r="A11">
            <v>8</v>
          </cell>
          <cell r="B11" t="str">
            <v xml:space="preserve"> ORIENTATION -</v>
          </cell>
          <cell r="G11" t="str">
            <v>HORIZONTAL</v>
          </cell>
          <cell r="L11" t="str">
            <v xml:space="preserve"> VERTICAL UPFLOW</v>
          </cell>
          <cell r="Q11" t="str">
            <v xml:space="preserve"> VENT</v>
          </cell>
        </row>
        <row r="12">
          <cell r="A12">
            <v>9</v>
          </cell>
          <cell r="G12" t="str">
            <v>IN-LINE</v>
          </cell>
          <cell r="L12" t="str">
            <v xml:space="preserve"> VERTICAL DOWNFLOW</v>
          </cell>
          <cell r="Q12" t="str">
            <v xml:space="preserve"> LIQUID OUTLET</v>
          </cell>
        </row>
        <row r="13">
          <cell r="A13">
            <v>10</v>
          </cell>
          <cell r="G13" t="str">
            <v>OTHER</v>
          </cell>
          <cell r="Q13" t="str">
            <v xml:space="preserve"> MANWAY</v>
          </cell>
        </row>
        <row r="14">
          <cell r="A14">
            <v>11</v>
          </cell>
          <cell r="Q14" t="str">
            <v xml:space="preserve"> RELIEF VALVE</v>
          </cell>
        </row>
        <row r="15">
          <cell r="A15">
            <v>12</v>
          </cell>
          <cell r="C15" t="str">
            <v>OVERALL  DIMENSIONS - DIAM :</v>
          </cell>
          <cell r="K15" t="str">
            <v>mm</v>
          </cell>
          <cell r="M15" t="str">
            <v>HT:</v>
          </cell>
          <cell r="P15" t="str">
            <v>mm</v>
          </cell>
          <cell r="Q15" t="str">
            <v xml:space="preserve"> LEVEL GUAGE</v>
          </cell>
        </row>
        <row r="16">
          <cell r="A16">
            <v>13</v>
          </cell>
          <cell r="B16" t="str">
            <v xml:space="preserve"> SHELL SUPPORT</v>
          </cell>
          <cell r="H16" t="str">
            <v xml:space="preserve"> LEGS</v>
          </cell>
          <cell r="L16" t="str">
            <v xml:space="preserve"> LUGS</v>
          </cell>
          <cell r="Q16" t="str">
            <v xml:space="preserve"> VACUUM BREAKER</v>
          </cell>
        </row>
        <row r="17">
          <cell r="A17">
            <v>14</v>
          </cell>
          <cell r="H17" t="str">
            <v>SKIRT</v>
          </cell>
          <cell r="L17" t="str">
            <v xml:space="preserve"> OTHER</v>
          </cell>
          <cell r="Q17" t="str">
            <v xml:space="preserve"> STEAM JACKET INLET</v>
          </cell>
        </row>
        <row r="18">
          <cell r="A18">
            <v>15</v>
          </cell>
          <cell r="B18" t="str">
            <v xml:space="preserve"> DAVIT REQ'D TO LIFT COVER</v>
          </cell>
          <cell r="J18" t="str">
            <v xml:space="preserve"> YES</v>
          </cell>
          <cell r="M18" t="str">
            <v>NO</v>
          </cell>
          <cell r="Q18" t="str">
            <v xml:space="preserve"> STEAM JACKET DRAIN</v>
          </cell>
        </row>
        <row r="19">
          <cell r="A19">
            <v>16</v>
          </cell>
          <cell r="B19" t="str">
            <v xml:space="preserve"> WEIGHT - EMPTY</v>
          </cell>
          <cell r="I19" t="str">
            <v>kg</v>
          </cell>
          <cell r="J19" t="str">
            <v>FLOODED</v>
          </cell>
          <cell r="P19" t="str">
            <v>kg</v>
          </cell>
        </row>
        <row r="20">
          <cell r="A20">
            <v>17</v>
          </cell>
          <cell r="B20" t="str">
            <v>OPERATING CONDITIONS</v>
          </cell>
        </row>
        <row r="21">
          <cell r="A21">
            <v>18</v>
          </cell>
          <cell r="C21" t="str">
            <v xml:space="preserve"> FLUID -</v>
          </cell>
        </row>
        <row r="22">
          <cell r="A22">
            <v>19</v>
          </cell>
          <cell r="C22" t="str">
            <v xml:space="preserve"> SEPARATOR DUTY -</v>
          </cell>
          <cell r="Q22" t="str">
            <v>SEPARATOR ELEMENTS</v>
          </cell>
        </row>
        <row r="23">
          <cell r="A23">
            <v>20</v>
          </cell>
          <cell r="R23" t="str">
            <v>MANUFACTURER</v>
          </cell>
        </row>
        <row r="24">
          <cell r="A24">
            <v>21</v>
          </cell>
          <cell r="R24" t="str">
            <v>MODEL No(s).</v>
          </cell>
        </row>
        <row r="25">
          <cell r="A25">
            <v>22</v>
          </cell>
          <cell r="Q25" t="str">
            <v xml:space="preserve">  TYPE(S)</v>
          </cell>
          <cell r="T25" t="str">
            <v>INLET BAFFLE</v>
          </cell>
          <cell r="X25" t="str">
            <v>AGGLOMERATOR</v>
          </cell>
        </row>
        <row r="26">
          <cell r="A26">
            <v>23</v>
          </cell>
          <cell r="K26" t="str">
            <v>NORMAL</v>
          </cell>
          <cell r="N26" t="str">
            <v>RATED</v>
          </cell>
          <cell r="T26" t="str">
            <v>VANE</v>
          </cell>
          <cell r="X26" t="str">
            <v>MIST EXTRACTOR</v>
          </cell>
        </row>
        <row r="27">
          <cell r="A27">
            <v>24</v>
          </cell>
          <cell r="C27" t="str">
            <v>MIX FLOW RATE</v>
          </cell>
          <cell r="I27" t="str">
            <v>m³/h</v>
          </cell>
          <cell r="T27" t="str">
            <v>OTHER</v>
          </cell>
        </row>
        <row r="28">
          <cell r="A28">
            <v>25</v>
          </cell>
          <cell r="C28" t="str">
            <v>OPERATING PRESSURE</v>
          </cell>
          <cell r="I28" t="str">
            <v>kg/cm²g</v>
          </cell>
          <cell r="R28" t="str">
            <v>DESCRIBE SEPARATION PATH THROUGH ELEMENT(S)</v>
          </cell>
        </row>
        <row r="29">
          <cell r="A29">
            <v>26</v>
          </cell>
          <cell r="C29" t="str">
            <v>OPERATING TEMPERATURE</v>
          </cell>
          <cell r="I29" t="str">
            <v>°C</v>
          </cell>
        </row>
        <row r="30">
          <cell r="A30">
            <v>27</v>
          </cell>
          <cell r="C30" t="str">
            <v>MAX ALLOWABLE CLOGGED PRESSURE DROP *</v>
          </cell>
          <cell r="O30" t="str">
            <v>kg/cm²</v>
          </cell>
        </row>
        <row r="31">
          <cell r="A31">
            <v>28</v>
          </cell>
          <cell r="C31" t="str">
            <v>ENTRAINMENT RATE @ NORM FLOW RATE</v>
          </cell>
          <cell r="O31" t="str">
            <v>kg/h</v>
          </cell>
        </row>
        <row r="32">
          <cell r="A32">
            <v>29</v>
          </cell>
          <cell r="C32" t="str">
            <v>MEAN LIQUID PARTICLE SIZE</v>
          </cell>
          <cell r="O32" t="str">
            <v>mm</v>
          </cell>
        </row>
        <row r="33">
          <cell r="A33">
            <v>30</v>
          </cell>
          <cell r="C33" t="str">
            <v>LIQUID REMOVAL RATE</v>
          </cell>
          <cell r="O33" t="str">
            <v>m³/h</v>
          </cell>
          <cell r="R33" t="str">
            <v>ESTIMATED SERVICING INTERVAL:</v>
          </cell>
        </row>
        <row r="34">
          <cell r="A34">
            <v>31</v>
          </cell>
          <cell r="C34" t="str">
            <v>MIN LIQUID REMOVAL EFFICIENCY</v>
          </cell>
          <cell r="L34" t="str">
            <v>%@</v>
          </cell>
          <cell r="O34" t="str">
            <v>mm</v>
          </cell>
          <cell r="Q34" t="str">
            <v>STEAM JACKET</v>
          </cell>
        </row>
        <row r="35">
          <cell r="A35">
            <v>32</v>
          </cell>
          <cell r="B35" t="str">
            <v>LIQUID / VAPOR COMPOSITION</v>
          </cell>
          <cell r="R35" t="str">
            <v>TYPE</v>
          </cell>
        </row>
        <row r="36">
          <cell r="A36">
            <v>33</v>
          </cell>
          <cell r="B36" t="str">
            <v>COMPONENT</v>
          </cell>
          <cell r="K36" t="str">
            <v>VISC.</v>
          </cell>
          <cell r="M36" t="str">
            <v>DENSITY</v>
          </cell>
          <cell r="O36" t="str">
            <v>TEMP</v>
          </cell>
          <cell r="R36" t="str">
            <v>STEAM FLOW</v>
          </cell>
          <cell r="AB36" t="str">
            <v xml:space="preserve">kg/h </v>
          </cell>
        </row>
        <row r="37">
          <cell r="A37">
            <v>34</v>
          </cell>
          <cell r="I37" t="str">
            <v>WT %</v>
          </cell>
          <cell r="K37" t="str">
            <v>cP</v>
          </cell>
          <cell r="M37" t="str">
            <v>kg/m³</v>
          </cell>
          <cell r="O37" t="str">
            <v xml:space="preserve">°C </v>
          </cell>
          <cell r="R37" t="str">
            <v>OPERATING PRESSURE</v>
          </cell>
          <cell r="AB37" t="str">
            <v>kg/cm²g</v>
          </cell>
        </row>
        <row r="38">
          <cell r="A38">
            <v>35</v>
          </cell>
          <cell r="R38" t="str">
            <v>OPERATING TEMPERATURE</v>
          </cell>
          <cell r="AB38" t="str">
            <v xml:space="preserve">°C </v>
          </cell>
        </row>
        <row r="39">
          <cell r="A39">
            <v>36</v>
          </cell>
          <cell r="R39" t="str">
            <v>DESIGN PRESSURE</v>
          </cell>
          <cell r="AB39" t="str">
            <v>kg/cm²g</v>
          </cell>
        </row>
        <row r="40">
          <cell r="A40">
            <v>37</v>
          </cell>
          <cell r="R40" t="str">
            <v>DESIGN TEMPERATURE</v>
          </cell>
          <cell r="AB40" t="str">
            <v xml:space="preserve">°C </v>
          </cell>
        </row>
        <row r="41">
          <cell r="A41">
            <v>38</v>
          </cell>
          <cell r="Q41" t="str">
            <v>SEPARATOR PRESSURE DROP</v>
          </cell>
        </row>
        <row r="42">
          <cell r="A42">
            <v>39</v>
          </cell>
          <cell r="R42" t="str">
            <v>CLEAN</v>
          </cell>
          <cell r="AB42" t="str">
            <v>kg/cm²</v>
          </cell>
        </row>
        <row r="43">
          <cell r="A43">
            <v>40</v>
          </cell>
          <cell r="B43" t="str">
            <v>MECHANICAL DESIGN</v>
          </cell>
          <cell r="R43" t="str">
            <v>CLEANING REQ'D</v>
          </cell>
          <cell r="AB43" t="str">
            <v>kg/cm²</v>
          </cell>
        </row>
        <row r="44">
          <cell r="A44">
            <v>41</v>
          </cell>
          <cell r="C44" t="str">
            <v>DESIGN PRESSURE</v>
          </cell>
          <cell r="O44" t="str">
            <v>kg/cm²g</v>
          </cell>
          <cell r="R44" t="str">
            <v>COLLAPSE PRESS INSIDE-OUT</v>
          </cell>
          <cell r="AB44" t="str">
            <v>kg/cm²g</v>
          </cell>
        </row>
        <row r="45">
          <cell r="A45">
            <v>42</v>
          </cell>
          <cell r="C45" t="str">
            <v>DESIGN TEMPERATURE</v>
          </cell>
          <cell r="O45" t="str">
            <v xml:space="preserve">°C </v>
          </cell>
          <cell r="R45" t="str">
            <v>COLLAPSE PRESS OUTSIDE-IN</v>
          </cell>
          <cell r="AB45" t="str">
            <v>kg/cm²g</v>
          </cell>
        </row>
        <row r="46">
          <cell r="A46">
            <v>43</v>
          </cell>
          <cell r="C46" t="str">
            <v>MINIMUM DESIGN METAL TEMPERATURE</v>
          </cell>
          <cell r="O46" t="str">
            <v xml:space="preserve">°C </v>
          </cell>
          <cell r="R46" t="str">
            <v xml:space="preserve"> INTERNAL BYPASS VALVE INCL</v>
          </cell>
          <cell r="AA46" t="str">
            <v>YES</v>
          </cell>
          <cell r="AC46" t="str">
            <v>NO</v>
          </cell>
        </row>
        <row r="47">
          <cell r="A47">
            <v>44</v>
          </cell>
          <cell r="B47" t="str">
            <v>MATERIALS of CONSTRUCTION</v>
          </cell>
          <cell r="Q47" t="str">
            <v>TESTS, CODES, SPECIFICATIONS</v>
          </cell>
        </row>
        <row r="48">
          <cell r="A48">
            <v>45</v>
          </cell>
          <cell r="O48" t="str">
            <v>CORR.</v>
          </cell>
          <cell r="R48" t="str">
            <v xml:space="preserve">HYDRO TEST PER ASME SECT VIII </v>
          </cell>
          <cell r="AA48" t="str">
            <v>YES</v>
          </cell>
          <cell r="AC48" t="str">
            <v>NO</v>
          </cell>
        </row>
        <row r="49">
          <cell r="A49">
            <v>46</v>
          </cell>
          <cell r="J49" t="str">
            <v>MATERIAL</v>
          </cell>
          <cell r="O49" t="str">
            <v>ALLOW.</v>
          </cell>
          <cell r="R49" t="str">
            <v xml:space="preserve">MANUFACTURED PER ASME CODE </v>
          </cell>
          <cell r="AA49" t="str">
            <v>YES</v>
          </cell>
          <cell r="AC49" t="str">
            <v>NO</v>
          </cell>
        </row>
        <row r="50">
          <cell r="A50">
            <v>47</v>
          </cell>
          <cell r="O50" t="str">
            <v>mm</v>
          </cell>
          <cell r="R50" t="str">
            <v>ASME CODE STAMP REQ'D</v>
          </cell>
          <cell r="AA50" t="str">
            <v>YES</v>
          </cell>
          <cell r="AC50" t="str">
            <v>NO</v>
          </cell>
        </row>
        <row r="51">
          <cell r="A51">
            <v>48</v>
          </cell>
          <cell r="C51" t="str">
            <v>SHELL</v>
          </cell>
          <cell r="R51" t="str">
            <v>SHOP PAINTING</v>
          </cell>
        </row>
        <row r="52">
          <cell r="A52">
            <v>49</v>
          </cell>
          <cell r="C52" t="str">
            <v>HEAD</v>
          </cell>
          <cell r="R52" t="str">
            <v>VESSELS</v>
          </cell>
        </row>
        <row r="53">
          <cell r="A53">
            <v>50</v>
          </cell>
          <cell r="C53" t="str">
            <v>INTERNALS</v>
          </cell>
        </row>
        <row r="54">
          <cell r="A54">
            <v>51</v>
          </cell>
          <cell r="C54" t="str">
            <v>SEPARATION ELEMENT(S)</v>
          </cell>
        </row>
        <row r="55">
          <cell r="A55">
            <v>52</v>
          </cell>
        </row>
        <row r="56">
          <cell r="A56">
            <v>53</v>
          </cell>
          <cell r="C56" t="str">
            <v>BOLTING</v>
          </cell>
        </row>
        <row r="57">
          <cell r="A57">
            <v>54</v>
          </cell>
          <cell r="C57" t="str">
            <v>FLANGES</v>
          </cell>
        </row>
        <row r="58">
          <cell r="A58">
            <v>55</v>
          </cell>
          <cell r="C58" t="str">
            <v>GASKETS</v>
          </cell>
        </row>
        <row r="59">
          <cell r="A59">
            <v>56</v>
          </cell>
          <cell r="C59" t="str">
            <v>STEAM JACKET</v>
          </cell>
        </row>
        <row r="60">
          <cell r="A60">
            <v>57</v>
          </cell>
          <cell r="C60" t="str">
            <v>See sheet 3 for notes</v>
          </cell>
        </row>
        <row r="61">
          <cell r="A61">
            <v>58</v>
          </cell>
        </row>
        <row r="62">
          <cell r="A62">
            <v>59</v>
          </cell>
          <cell r="B62" t="str">
            <v xml:space="preserve">  *Process limitation for when cleaning is required</v>
          </cell>
        </row>
        <row r="63">
          <cell r="A63">
            <v>60</v>
          </cell>
          <cell r="B63" t="str">
            <v>SEE SHEET 1 OF THIS DOCUMENT FOR COPYRIGHT, CONFIDENTIALITY AND OTHER RESTRICTIONS</v>
          </cell>
        </row>
        <row r="64">
          <cell r="J64" t="str">
            <v xml:space="preserve"> ISSUE</v>
          </cell>
          <cell r="L64" t="str">
            <v xml:space="preserve"> DATE</v>
          </cell>
          <cell r="P64" t="str">
            <v>SHEET</v>
          </cell>
          <cell r="U64" t="str">
            <v>DOC NO.:</v>
          </cell>
        </row>
        <row r="65">
          <cell r="J65" t="str">
            <v>A</v>
          </cell>
          <cell r="L65">
            <v>0</v>
          </cell>
          <cell r="P65">
            <v>2</v>
          </cell>
          <cell r="R65" t="str">
            <v>OF</v>
          </cell>
          <cell r="S65">
            <v>4</v>
          </cell>
          <cell r="U65" t="str">
            <v>R0503-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M"/>
      <sheetName val="DRUM"/>
      <sheetName val="표지"/>
      <sheetName val="EQUIPMENT"/>
      <sheetName val="HO ENG MH CAL"/>
      <sheetName val="공문"/>
      <sheetName val="고압수량(철거)"/>
      <sheetName val="DATA"/>
      <sheetName val="7.2세부 부하계산서"/>
      <sheetName val="MAN-Sch"/>
      <sheetName val="h-013211-2"/>
      <sheetName val="INPUT DATA"/>
      <sheetName val="CAT_5"/>
      <sheetName val="Eq. Mobilization"/>
      <sheetName val="INSTR"/>
      <sheetName val="Factor"/>
      <sheetName val=" 갑지"/>
      <sheetName val="#REF"/>
      <sheetName val="산근"/>
      <sheetName val="PRC_BDWN-95"/>
      <sheetName val="DHEQSUPT"/>
      <sheetName val="HO_ENG_MH_CAL"/>
      <sheetName val="7_2세부_부하계산서"/>
      <sheetName val="INPUT_DATA"/>
      <sheetName val="Condition"/>
      <sheetName val="BQMPALOC"/>
      <sheetName val="Price Detail"/>
      <sheetName val="내역서"/>
      <sheetName val="대비표"/>
      <sheetName val="jobhist"/>
      <sheetName val="COVER-P"/>
      <sheetName val="TDIBM1"/>
      <sheetName val="집계표(OPTION)"/>
      <sheetName val="UG_BOM"/>
      <sheetName val="EQ Total"/>
      <sheetName val="기계내역서"/>
      <sheetName val="목표세부명세"/>
      <sheetName val="Base_Data"/>
      <sheetName val="CIVIL BOQ"/>
      <sheetName val="RAW COST SUMMARY"/>
      <sheetName val="BLDG BOQ"/>
      <sheetName val="rate analyses"/>
      <sheetName val="PBS"/>
      <sheetName val="PRC-SUM"/>
      <sheetName val="costing_CV"/>
      <sheetName val="eq_data"/>
      <sheetName val="PUMP_SHT"/>
      <sheetName val="costing_ESDV"/>
      <sheetName val="costing_FE"/>
      <sheetName val="General_Data"/>
      <sheetName val="costing_Misc"/>
      <sheetName val="costing_MOV"/>
      <sheetName val="costing_Press"/>
      <sheetName val="3004-2"/>
      <sheetName val="_갑지1"/>
      <sheetName val="CAL"/>
      <sheetName val="운반"/>
      <sheetName val="ITB COST"/>
      <sheetName val="TABLE"/>
      <sheetName val="Settings"/>
      <sheetName val="DS Oil System"/>
      <sheetName val="Sheet1"/>
      <sheetName val="AOP Summary-2"/>
      <sheetName val="CABLE"/>
      <sheetName val="Total"/>
      <sheetName val="KP1590_E"/>
      <sheetName val="Eq__Mobilization"/>
      <sheetName val="HO_ENG_MH_CAL1"/>
      <sheetName val="INPUT_DATA1"/>
      <sheetName val="Eq__Mobilization1"/>
      <sheetName val="노임 단가"/>
      <sheetName val="DB@Acess"/>
      <sheetName val="Civil"/>
      <sheetName val="Al-Suwaidi"/>
      <sheetName val="footing"/>
      <sheetName val="7_2세부_부하계산서1"/>
      <sheetName val="LABCOST"/>
      <sheetName val="단가(자재)"/>
      <sheetName val="단가(노임)"/>
      <sheetName val="기초목록"/>
      <sheetName val="CASH"/>
      <sheetName val="PRO_DCI"/>
      <sheetName val="INST_DCI"/>
      <sheetName val="HVAC_DCI"/>
      <sheetName val="PIPE_DCI"/>
      <sheetName val="BLDG_DCI"/>
      <sheetName val="BLDG_MCI"/>
      <sheetName val="일위대가"/>
      <sheetName val="갑지"/>
      <sheetName val="Pjt Data"/>
      <sheetName val="PROCURE"/>
      <sheetName val="Proposal"/>
      <sheetName val="_갑지"/>
      <sheetName val="ITB_COST"/>
      <sheetName val="CIVIL_BOQ"/>
      <sheetName val="RAW_COST_SUMMARY"/>
      <sheetName val="BLDG_BOQ"/>
      <sheetName val="rate_analyses"/>
      <sheetName val="sum"/>
      <sheetName val="lookup"/>
      <sheetName val="부표총괄"/>
      <sheetName val="calc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ode"/>
      <sheetName val="PIPE도장"/>
      <sheetName val="2.배관"/>
      <sheetName val="수량증감대비표"/>
      <sheetName val="공사비증감"/>
      <sheetName val="B"/>
      <sheetName val="M 11"/>
      <sheetName val="PIPING"/>
      <sheetName val="insulation"/>
      <sheetName val="Sheet4"/>
      <sheetName val="PIPE"/>
      <sheetName val="수량산출1"/>
      <sheetName val="수량산출2"/>
      <sheetName val="수량산출3"/>
      <sheetName val="수량산출4"/>
      <sheetName val="TYPE-B 평균H"/>
      <sheetName val="PIPE (SG)-발수"/>
      <sheetName val="E45(SG)-발수"/>
      <sheetName val="E90(SG)-발수"/>
      <sheetName val="도"/>
      <sheetName val="BID"/>
      <sheetName val="D-623D"/>
      <sheetName val="Macro"/>
      <sheetName val="Taux"/>
      <sheetName val="F4-F7"/>
      <sheetName val="월별"/>
      <sheetName val="ANA&amp;DESIGN&amp;REINF ."/>
      <sheetName val="PRIMARY LOAD"/>
      <sheetName val="DIMENSION"/>
      <sheetName val="EXT.CHECK"/>
      <sheetName val="SUMMARY"/>
      <sheetName val="공사비예산서(토목분)"/>
      <sheetName val="집계표"/>
      <sheetName val="할증 "/>
      <sheetName val="내역"/>
      <sheetName val="DATA1"/>
      <sheetName val="OIL SYST DATA SHTS"/>
      <sheetName val="Compressors"/>
      <sheetName val="TTL"/>
      <sheetName val="Default"/>
      <sheetName val="원본"/>
      <sheetName val="뜃맟뭁돽띿맟?-BLDG"/>
      <sheetName val="Cash2"/>
      <sheetName val="Z"/>
      <sheetName val="cable-data"/>
      <sheetName val="금융비용"/>
      <sheetName val="Prioriry"/>
      <sheetName val="피벗테이블"/>
      <sheetName val="95삼성급(본사)"/>
      <sheetName val="trf(36%)"/>
      <sheetName val="공사비 분석표"/>
      <sheetName val="MEXICO-C"/>
      <sheetName val="FitOutConfCentre"/>
      <sheetName val="기준"/>
      <sheetName val="연돌일위집계"/>
      <sheetName val="금액내역서"/>
      <sheetName val="전기공사"/>
      <sheetName val="Food court "/>
      <sheetName val="무시"/>
      <sheetName val="상반기손익차2총괄"/>
      <sheetName val="9-1차이내역"/>
      <sheetName val="97 사업추정(WEKI)"/>
      <sheetName val="손익차9월2"/>
      <sheetName val="회사99"/>
      <sheetName val="주관사업"/>
      <sheetName val="A"/>
      <sheetName val="노원열병합  건축공사기성내역서"/>
      <sheetName val="K"/>
      <sheetName val="BACK DATA"/>
      <sheetName val="영업소실적"/>
      <sheetName val="IT-BAT"/>
      <sheetName val="TOEC"/>
      <sheetName val="을지"/>
      <sheetName val="세금자료"/>
      <sheetName val="사업부배부A"/>
      <sheetName val="직원동원계획"/>
      <sheetName val="인원계획"/>
      <sheetName val="요약배부"/>
      <sheetName val="수입"/>
      <sheetName val="WBS"/>
      <sheetName val="Inst_Type"/>
      <sheetName val="Loop Type"/>
      <sheetName val="인사자료총집계"/>
      <sheetName val="MAN-STD"/>
      <sheetName val="간접비 총괄표"/>
      <sheetName val="parts-V2"/>
      <sheetName val="REINF."/>
      <sheetName val="SKETCH"/>
      <sheetName val="BOQ"/>
      <sheetName val="LENTH"/>
      <sheetName val="Resource table"/>
      <sheetName val="L V Separator"/>
      <sheetName val="Import"/>
      <sheetName val="Invoice (Summary)"/>
      <sheetName val="Invoice (IBL)"/>
      <sheetName val="Invoice (OBL)"/>
      <sheetName val="HO_ENG_MH_CAL2"/>
      <sheetName val="7_2세부_부하계산서2"/>
      <sheetName val="INPUT_DATA2"/>
      <sheetName val="_갑지2"/>
      <sheetName val="EQ_Total"/>
      <sheetName val="CIVIL_BOQ1"/>
      <sheetName val="RAW_COST_SUMMARY1"/>
      <sheetName val="BLDG_BOQ1"/>
      <sheetName val="rate_analyses1"/>
      <sheetName val="Price_Detail"/>
      <sheetName val="DS_Oil_System"/>
      <sheetName val="ITB_COST1"/>
      <sheetName val="노임_단가"/>
      <sheetName val="AOP_Summary-2"/>
      <sheetName val="Pjt_Data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2_배관"/>
      <sheetName val="SG"/>
      <sheetName val="[TDIBM1.X೺_x0000_ഈ_x0000__x0000__x0000__x0000__x0000_G_MH_CAL"/>
      <sheetName val="말뚝지지력산정"/>
      <sheetName val="실행(1)"/>
      <sheetName val="Overall Status"/>
      <sheetName val="wagerate"/>
      <sheetName val="ENG_prog"/>
      <sheetName val="Resource summary"/>
      <sheetName val="bdown"/>
      <sheetName val="CostDB"/>
      <sheetName val="실행자재"/>
      <sheetName val="Resource"/>
      <sheetName val="Break Down"/>
      <sheetName val="BQ"/>
      <sheetName val="3.Breakdown Direct Instrument"/>
      <sheetName val="Inside building Summary"/>
      <sheetName val="HO_ENG_MH_CAL3"/>
      <sheetName val="INPUT_DATA3"/>
      <sheetName val="7_2세부_부하계산서3"/>
      <sheetName val="Eq__Mobilization2"/>
      <sheetName val="_갑지3"/>
      <sheetName val="EQ_Total1"/>
      <sheetName val="CIVIL_BOQ2"/>
      <sheetName val="RAW_COST_SUMMARY2"/>
      <sheetName val="BLDG_BOQ2"/>
      <sheetName val="rate_analyses2"/>
      <sheetName val="Price_Detail1"/>
      <sheetName val="ITB_COST2"/>
      <sheetName val="DS_Oil_System1"/>
      <sheetName val="노임_단가1"/>
      <sheetName val="AOP_Summary-2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jt_Data1"/>
      <sheetName val="2_배관1"/>
      <sheetName val="M_11"/>
      <sheetName val="PIPE_(SG)-발수"/>
      <sheetName val="TYPE-B_평균H"/>
      <sheetName val="ANA&amp;DESIGN&amp;REINF__"/>
      <sheetName val="PRIMARY_LOAD"/>
      <sheetName val="EXT_CHECK"/>
      <sheetName val="할증_"/>
      <sheetName val="Invoice_(Summary)"/>
      <sheetName val="Invoice_(IBL)"/>
      <sheetName val="Invoice_(OBL)"/>
      <sheetName val="OIL_SYST_DATA_SHTS"/>
      <sheetName val="Loop_Type"/>
      <sheetName val="공사비_분석표"/>
      <sheetName val="Resource_table"/>
      <sheetName val="간접비_총괄표"/>
      <sheetName val="[TDIBM1_X೺ഈG_MH_CAL"/>
      <sheetName val="REINF_"/>
      <sheetName val="Food_court_"/>
      <sheetName val="97_사업추정(WEKI)"/>
      <sheetName val="노원열병합__건축공사기성내역서"/>
      <sheetName val="BACK_DATA"/>
      <sheetName val="Sheet6"/>
      <sheetName val="골조시행"/>
      <sheetName val="March"/>
      <sheetName val="LEGEND"/>
      <sheetName val="SYS_DB"/>
      <sheetName val="CB"/>
      <sheetName val="뜃맟뭁돽띿맟_-BLDG"/>
      <sheetName val="inter"/>
      <sheetName val="12CGOU"/>
      <sheetName val="Rate Analysis"/>
      <sheetName val="BQMP"/>
      <sheetName val="sheet"/>
      <sheetName val="DATE"/>
      <sheetName val="총괄내역서"/>
      <sheetName val="_TDIBM1.X೺"/>
      <sheetName val="Vertical FDN-12"/>
      <sheetName val="Pump FDN-1"/>
      <sheetName val="Horizontal Vessel FDN-1"/>
      <sheetName val="상세내역"/>
      <sheetName val="시간별적산"/>
      <sheetName val="NO.3.PTA PLANT SD COST"/>
      <sheetName val="비교원RD-S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STA &amp; SEC"/>
      <sheetName val="GRACE"/>
      <sheetName val="major"/>
      <sheetName val="창고"/>
      <sheetName val="intake"/>
      <sheetName val="_TDIBM1_X೺ഈG_MH_CAL"/>
      <sheetName val="Sheet2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단면가정"/>
      <sheetName val="설계조건"/>
      <sheetName val="_TDIBM1.X೺_x005f_x0000_ഈ_x005f_x0000__x0000"/>
      <sheetName val="DESIGN"/>
      <sheetName val="OCT.FDN"/>
      <sheetName val="Valve List (Priced)"/>
      <sheetName val="Tbl 1y 4"/>
      <sheetName val="BELİRLENECEKLER"/>
      <sheetName val="Database"/>
      <sheetName val="PROGRESS"/>
      <sheetName val="명판"/>
      <sheetName val="노임"/>
      <sheetName val="[TDIBM1.X೺"/>
      <sheetName val="CDU (성창) Master"/>
      <sheetName val="RFP002"/>
      <sheetName val=""/>
      <sheetName val="실행산출근거"/>
      <sheetName val="_TDIBM1.X೺_x0000_ഈ_x0000__x0000__x0000__x0000__x0000_G_MH_CAL"/>
      <sheetName val="Inert Balls"/>
      <sheetName val="Rates"/>
      <sheetName val="_TDIBM1.X೺_x005f_x005f_x005f_x0000_ഈ_x005f_x005f_"/>
      <sheetName val="토목주소"/>
      <sheetName val="프랜트면허"/>
      <sheetName val="투찰"/>
      <sheetName val="내"/>
      <sheetName val="[TDIBM1.X೺_x005f_x0000_ഈ_x005f_x0000__x0000"/>
      <sheetName val="activity"/>
      <sheetName val="Kredi Risk Alt_Grup"/>
      <sheetName val="Banka"/>
      <sheetName val="Tür"/>
      <sheetName val="Ana Gruplar"/>
      <sheetName val="ÖdemeTahsilat"/>
      <sheetName val="Kullanıcı"/>
      <sheetName val="Attachment 1"/>
      <sheetName val="Ex Rate"/>
      <sheetName val="B.5_Control Valve"/>
      <sheetName val="코드"/>
      <sheetName val="양수장(기계)"/>
      <sheetName val="자바라1"/>
      <sheetName val="해외 연수비용 계산-삭제"/>
      <sheetName val="해외 기술훈련비 (합계)"/>
      <sheetName val="cwork"/>
      <sheetName val="환율"/>
      <sheetName val="TC"/>
      <sheetName val="토목 Utility Schedule (2)"/>
      <sheetName val="A(Rev.3)"/>
      <sheetName val=" "/>
      <sheetName val="노임단가"/>
      <sheetName val="LOB"/>
      <sheetName val="단중"/>
      <sheetName val="품셈표"/>
      <sheetName val="주행"/>
      <sheetName val="choose"/>
      <sheetName val="Eng_Hrs (HO)"/>
      <sheetName val="노단"/>
      <sheetName val="36단가"/>
      <sheetName val="36수량"/>
      <sheetName val="HO_ENG_MH_CAL4"/>
      <sheetName val="7_2세부_부하계산서4"/>
      <sheetName val="INPUT_DATA4"/>
      <sheetName val="Eq__Mobilization3"/>
      <sheetName val="_갑지4"/>
      <sheetName val="EQ_Total2"/>
      <sheetName val="CIVIL_BOQ3"/>
      <sheetName val="RAW_COST_SUMMARY3"/>
      <sheetName val="BLDG_BOQ3"/>
      <sheetName val="rate_analyses3"/>
      <sheetName val="ITB_COST3"/>
      <sheetName val="DS_Oil_System2"/>
      <sheetName val="Price_Detail2"/>
      <sheetName val="노임_단가2"/>
      <sheetName val="Pjt_Data2"/>
      <sheetName val="M_111"/>
      <sheetName val="공사비_분석표1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2_배관2"/>
      <sheetName val="AOP_Summary-22"/>
      <sheetName val="PIPE_(SG)-발수1"/>
      <sheetName val="TYPE-B_평균H1"/>
      <sheetName val="ANA&amp;DESIGN&amp;REINF__1"/>
      <sheetName val="PRIMARY_LOAD1"/>
      <sheetName val="EXT_CHECK1"/>
      <sheetName val="OIL_SYST_DATA_SHTS1"/>
      <sheetName val="할증_1"/>
      <sheetName val="Loop_Type1"/>
      <sheetName val="Resource_table1"/>
      <sheetName val="Invoice_(Summary)1"/>
      <sheetName val="Invoice_(IBL)1"/>
      <sheetName val="Invoice_(OBL)1"/>
      <sheetName val="간접비_총괄표1"/>
      <sheetName val="REINF_1"/>
      <sheetName val="Food_court_1"/>
      <sheetName val="97_사업추정(WEKI)1"/>
      <sheetName val="노원열병합__건축공사기성내역서1"/>
      <sheetName val="BACK_DATA1"/>
      <sheetName val="Rate_Analysis"/>
      <sheetName val="3_Breakdown_Direct_Instrument"/>
      <sheetName val="Inside_building_Summary"/>
      <sheetName val="L_V_Separator"/>
      <sheetName val="_TDIBM1_X೺"/>
      <sheetName val="Vertical_FDN-12"/>
      <sheetName val="Pump_FDN-1"/>
      <sheetName val="Horizontal_Vessel_FDN-1"/>
      <sheetName val="NO_3_PTA_PLANT_SD_COST"/>
      <sheetName val="STA_&amp;_SEC"/>
      <sheetName val="_TDIBM1_X೺_x005f_x0000_ഈ_x005f_x0000__x0000"/>
      <sheetName val="OCT_FDN"/>
      <sheetName val="Valve_List_(Priced)"/>
      <sheetName val="Flaer_Area"/>
      <sheetName val="Tbl_1y_4"/>
      <sheetName val="[TDIBM1_X೺"/>
      <sheetName val="Resource_summary"/>
      <sheetName val="Break_Down"/>
      <sheetName val="Inert_Balls"/>
      <sheetName val="CDU_(성창)_Master"/>
      <sheetName val="Overall_Status"/>
      <sheetName val="[TDIBM1_X೺_x005f_x0000_ഈ_x005f_x0000__x0000"/>
      <sheetName val="_TDIBM1_X೺_x005f_x005f_x005f_x0000_ഈ_x005f_x005f_"/>
      <sheetName val="Kredi_Risk_Alt_Grup"/>
      <sheetName val="Ana_Gruplar"/>
      <sheetName val="Attachment_1"/>
      <sheetName val="Ex_Rate"/>
      <sheetName val="B_5_Control_Valve"/>
      <sheetName val="해외_연수비용_계산-삭제"/>
      <sheetName val="해외_기술훈련비_(합계)"/>
      <sheetName val="A(Rev_3)"/>
      <sheetName val="Currency &amp; Other Cost"/>
      <sheetName val=" Sum"/>
      <sheetName val="Sheeta"/>
      <sheetName val="Units+rev"/>
      <sheetName val="HO_ENG_MH_CAL5"/>
      <sheetName val="7_2세부_부하계산서5"/>
      <sheetName val="INPUT_DATA5"/>
      <sheetName val="Eq__Mobilization4"/>
      <sheetName val="_갑지5"/>
      <sheetName val="EQ_Total3"/>
      <sheetName val="CIVIL_BOQ4"/>
      <sheetName val="RAW_COST_SUMMARY4"/>
      <sheetName val="BLDG_BOQ4"/>
      <sheetName val="rate_analyses4"/>
      <sheetName val="ITB_COST4"/>
      <sheetName val="DS_Oil_System3"/>
      <sheetName val="Price_Detail3"/>
      <sheetName val="노임_단가3"/>
      <sheetName val="Pjt_Data3"/>
      <sheetName val="M_112"/>
      <sheetName val="공사비_분석표2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2_배관3"/>
      <sheetName val="AOP_Summary-23"/>
      <sheetName val="PIPE_(SG)-발수2"/>
      <sheetName val="TYPE-B_평균H2"/>
      <sheetName val="ANA&amp;DESIGN&amp;REINF__2"/>
      <sheetName val="PRIMARY_LOAD2"/>
      <sheetName val="EXT_CHECK2"/>
      <sheetName val="OIL_SYST_DATA_SHTS2"/>
      <sheetName val="할증_2"/>
      <sheetName val="Loop_Type2"/>
      <sheetName val="Resource_table2"/>
      <sheetName val="Invoice_(Summary)2"/>
      <sheetName val="Invoice_(IBL)2"/>
      <sheetName val="Invoice_(OBL)2"/>
      <sheetName val="간접비_총괄표2"/>
      <sheetName val="REINF_2"/>
      <sheetName val="Food_court_2"/>
      <sheetName val="97_사업추정(WEKI)2"/>
      <sheetName val="노원열병합__건축공사기성내역서2"/>
      <sheetName val="BACK_DATA2"/>
      <sheetName val="현장관리비 산출내역"/>
      <sheetName val="입찰안"/>
      <sheetName val="받은드럼"/>
      <sheetName val="드럼확인 배출"/>
      <sheetName val="pulling"/>
      <sheetName val="NGLE_PLANT"/>
      <sheetName val="Sheet3"/>
      <sheetName val="편집"/>
      <sheetName val="JB 명판인쇄"/>
      <sheetName val="IDB루트"/>
      <sheetName val="덕트뱅크 (2)"/>
      <sheetName val="플링 갑지"/>
      <sheetName val="JB 명판"/>
      <sheetName val="케이블마킹"/>
      <sheetName val="마킹표"/>
      <sheetName val="드럼 확인용"/>
      <sheetName val="철거산출근거"/>
      <sheetName val="자재단가"/>
      <sheetName val="48일위"/>
      <sheetName val="48수량"/>
      <sheetName val="22수량"/>
      <sheetName val="49일위"/>
      <sheetName val="22일위"/>
      <sheetName val="49수량"/>
      <sheetName val="spc 배관견적"/>
      <sheetName val="01 09 CODE"/>
      <sheetName val="_TDIBM1.X೺_x0000_ഈ_x0000__x0000"/>
      <sheetName val="_TDIBM1.X೺_x005f_x0000_ഈ_"/>
      <sheetName val="_TDIBM1.X೺_x005f_x005f_x0"/>
      <sheetName val="영업2"/>
      <sheetName val="영업3"/>
      <sheetName val="2-1-1) Zone &amp; Margin"/>
      <sheetName val="取费表"/>
      <sheetName val="合成単価作成表-BLDG"/>
      <sheetName val="BSPL"/>
      <sheetName val="[TDIBM1.X೺_x005f_x005f_x005f_x0000_ഈ_x005f_x005f_"/>
      <sheetName val="_TDIBM1.X೺_x005f_x005f_x005f_x005f_x005f_x005f_x0"/>
      <sheetName val="InstrumentType"/>
      <sheetName val="UnitNumber"/>
      <sheetName val="TypicalNo"/>
      <sheetName val="Misc"/>
      <sheetName val="SignalType"/>
      <sheetName val="IOType"/>
      <sheetName val="Qty"/>
      <sheetName val="Variable"/>
      <sheetName val="Status"/>
      <sheetName val="SystemType"/>
      <sheetName val="InstrumentLocation"/>
      <sheetName val="토공"/>
      <sheetName val="입찰내역 발주처 양식"/>
      <sheetName val="Instrument 구분 체계"/>
      <sheetName val="유림콘도"/>
      <sheetName val="CTEMCOST"/>
      <sheetName val="CAT.1"/>
      <sheetName val="Contents"/>
      <sheetName val="6PILE  (돌출)"/>
      <sheetName val="HX"/>
      <sheetName val="EE-PROP"/>
      <sheetName val="00-Summary Information-ABB"/>
      <sheetName val="списки"/>
      <sheetName val="Лист2"/>
      <sheetName val="Quotation"/>
      <sheetName val="TRNS-C1"/>
      <sheetName val="UNIT 3"/>
      <sheetName val="Plan Early Date"/>
      <sheetName val="견"/>
      <sheetName val="6"/>
      <sheetName val="X17-TOTAL"/>
      <sheetName val="LinerWt"/>
      <sheetName val="율적용"/>
      <sheetName val="SCH B"/>
      <sheetName val="RFP003A"/>
      <sheetName val="RFP003B"/>
      <sheetName val="RFP003C"/>
      <sheetName val="RFP003E"/>
      <sheetName val="RFP003F"/>
      <sheetName val="SW-TEO"/>
      <sheetName val="Table-Dont Delete"/>
      <sheetName val="SPT vs PHI"/>
      <sheetName val="J"/>
      <sheetName val="L"/>
      <sheetName val="_"/>
      <sheetName val="Currency_&amp;_Other_Cost"/>
      <sheetName val="_Sum"/>
      <sheetName val="PLAGCoct03"/>
      <sheetName val="表三甲"/>
      <sheetName val="토목_Utility_Schedule_(2)"/>
      <sheetName val="_TDIBM1.X೺_x0000_ഈ_"/>
      <sheetName val="_TDIBM1.X೺_x0"/>
      <sheetName val="[TDIBM1.X೺_x0000_ഈ_x0000__x0000"/>
      <sheetName val="HO_ENG_MH_CAL6"/>
      <sheetName val="7_2세부_부하계산서6"/>
      <sheetName val="INPUT_DATA6"/>
      <sheetName val="Eq__Mobilization5"/>
      <sheetName val="_갑지6"/>
      <sheetName val="EQ_Total4"/>
      <sheetName val="CIVIL_BOQ5"/>
      <sheetName val="RAW_COST_SUMMARY5"/>
      <sheetName val="BLDG_BOQ5"/>
      <sheetName val="rate_analyses5"/>
      <sheetName val="ITB_COST5"/>
      <sheetName val="Price_Detail4"/>
      <sheetName val="DS_Oil_System4"/>
      <sheetName val="노임_단가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2_배관4"/>
      <sheetName val="Pjt_Data4"/>
      <sheetName val="PIPE_(SG)-발수3"/>
      <sheetName val="AOP_Summary-24"/>
      <sheetName val="M_113"/>
      <sheetName val="TYPE-B_평균H3"/>
      <sheetName val="ANA&amp;DESIGN&amp;REINF__3"/>
      <sheetName val="PRIMARY_LOAD3"/>
      <sheetName val="EXT_CHECK3"/>
      <sheetName val="Invoice_(Summary)3"/>
      <sheetName val="Invoice_(IBL)3"/>
      <sheetName val="Invoice_(OBL)3"/>
      <sheetName val="할증_3"/>
      <sheetName val="OIL_SYST_DATA_SHTS3"/>
      <sheetName val="Loop_Type3"/>
      <sheetName val="공사비_분석표3"/>
      <sheetName val="Resource_table3"/>
      <sheetName val="간접비_총괄표3"/>
      <sheetName val="REINF_3"/>
      <sheetName val="Food_court_3"/>
      <sheetName val="97_사업추정(WEKI)3"/>
      <sheetName val="노원열병합__건축공사기성내역서3"/>
      <sheetName val="BACK_DATA3"/>
      <sheetName val="3_Breakdown_Direct_Instrument1"/>
      <sheetName val="Rate_Analysis1"/>
      <sheetName val="Inside_building_Summary1"/>
      <sheetName val="L_V_Separator1"/>
      <sheetName val="Vertical_FDN-121"/>
      <sheetName val="Pump_FDN-11"/>
      <sheetName val="Horizontal_Vessel_FDN-11"/>
      <sheetName val="Valve_List_(Priced)1"/>
      <sheetName val="_TDIBM1_X೺1"/>
      <sheetName val="NO_3_PTA_PLANT_SD_COST1"/>
      <sheetName val="STA_&amp;_SEC1"/>
      <sheetName val="_TDIBM1_X೺_x005f_x0000_ഈ_x005f_x0000__x0001"/>
      <sheetName val="OCT_FDN1"/>
      <sheetName val="Flaer_Area1"/>
      <sheetName val="Tbl_1y_41"/>
      <sheetName val="[TDIBM1_X೺1"/>
      <sheetName val="Resource_summary1"/>
      <sheetName val="Break_Down1"/>
      <sheetName val="Inert_Balls1"/>
      <sheetName val="CDU_(성창)_Master1"/>
      <sheetName val="Overall_Status1"/>
      <sheetName val="[TDIBM1_X೺_x005f_x0000_ഈ_x005f_x0000__x0001"/>
      <sheetName val="Kredi_Risk_Alt_Grup1"/>
      <sheetName val="Ana_Gruplar1"/>
      <sheetName val="Attachment_11"/>
      <sheetName val="Ex_Rate1"/>
      <sheetName val="B_5_Control_Valve1"/>
      <sheetName val="_TDIBM1_X೺_x005f_x005f_x005f_x0000_ഈ_x005f1"/>
      <sheetName val="해외_연수비용_계산-삭제1"/>
      <sheetName val="해외_기술훈련비_(합계)1"/>
      <sheetName val="spc_배관견적"/>
      <sheetName val="A(Rev_3)1"/>
      <sheetName val="Eng_Hrs_(HO)"/>
      <sheetName val="현장관리비_산출내역"/>
      <sheetName val="입찰내역_발주처_양식"/>
      <sheetName val="드럼확인_배출"/>
      <sheetName val="JB_명판인쇄"/>
      <sheetName val="덕트뱅크_(2)"/>
      <sheetName val="플링_갑지"/>
      <sheetName val="JB_명판"/>
      <sheetName val="드럼_확인용"/>
      <sheetName val="01_09_CODE"/>
      <sheetName val="BREAKDOWN(철거설치)"/>
      <sheetName val="DIAINCH"/>
      <sheetName val="Utility and Fire flange"/>
      <sheetName val="세부내역"/>
      <sheetName val="RFP003D"/>
      <sheetName val="Consumables"/>
      <sheetName val="Benchmark"/>
      <sheetName val="개시대사 (2)"/>
      <sheetName val="PRO_A"/>
      <sheetName val="ELEC_MCI"/>
      <sheetName val="Main"/>
      <sheetName val="INST_MCI"/>
      <sheetName val="MECH_MCI"/>
      <sheetName val="PRO"/>
      <sheetName val="DPT"/>
      <sheetName val="PERLITE"/>
      <sheetName val="MTO"/>
      <sheetName val="INNER TANK"/>
      <sheetName val="Codes,..."/>
      <sheetName val="DATA_DRAWING"/>
      <sheetName val="INNER TANK SEISMIC"/>
      <sheetName val="MATERIALS"/>
      <sheetName val="IPE"/>
      <sheetName val="GENERALITY"/>
      <sheetName val="Data_Sheet"/>
      <sheetName val="2"/>
      <sheetName val="표준작업"/>
      <sheetName val="직종"/>
      <sheetName val="sh4"/>
      <sheetName val="공사비SUM"/>
      <sheetName val="_TDIBM1_X೺_x0000_ഈ_x0000__x0000"/>
      <sheetName val="[TDIBM1_X೺_x0000_ഈ_x0000__x0000"/>
      <sheetName val="_TDIBM1_X೺_x005f_x0000_ഈ_"/>
      <sheetName val="_TDIBM1_X೺_x0000_ഈ_"/>
      <sheetName val="3.공통공사대비"/>
      <sheetName val="건축내역"/>
      <sheetName val="토목내역"/>
      <sheetName val="bldg list"/>
      <sheetName val="ESCON"/>
      <sheetName val="2. 전력간선공사"/>
      <sheetName val="data2"/>
      <sheetName val="실행"/>
      <sheetName val="IDC-Sum"/>
      <sheetName val=" WWT 설비 Remote IO 추가건 (2013.02."/>
      <sheetName val="Cost"/>
      <sheetName val="e-GAP Summary"/>
      <sheetName val="MTP"/>
      <sheetName val="MTP1"/>
      <sheetName val="당진1,2호기전선관설치및접지4차공사내역서-을지"/>
      <sheetName val="Chiet tinh dz35"/>
      <sheetName val="간접비내역-1"/>
      <sheetName val="Submission - Price Summary"/>
      <sheetName val="Subb-Manpower &amp; Equiptment Plan"/>
      <sheetName val="Price Summary REF"/>
      <sheetName val="Working"/>
      <sheetName val="Optional Working"/>
      <sheetName val="Indirect"/>
      <sheetName val="Equip Cost"/>
      <sheetName val="E &amp; I Rates"/>
      <sheetName val="E&amp;I CC"/>
      <sheetName val="PPT Input"/>
      <sheetName val="Org Chart"/>
      <sheetName val="Indirect MP"/>
      <sheetName val="Direct MP"/>
      <sheetName val="Manpower cost"/>
      <sheetName val="Schedule"/>
      <sheetName val="Scafolding"/>
      <sheetName val="차액보증"/>
      <sheetName val="GeneralFeedDevices_Labels"/>
      <sheetName val="CalmingSection_Labels"/>
      <sheetName val="Welcome"/>
      <sheetName val="C_d"/>
      <sheetName val="Addendum No.1 BILL 2"/>
      <sheetName val="CAL1"/>
      <sheetName val="XZLC003_PART1"/>
      <sheetName val="[TDIBM1.X೺?ഈ?????G_MH_CAL"/>
      <sheetName val="_TDIBM1.X೺?ഈ?????G_MH_CAL"/>
      <sheetName val="General"/>
      <sheetName val="Menus"/>
      <sheetName val="Sheet9"/>
      <sheetName val="발전기"/>
      <sheetName val="간선"/>
      <sheetName val="Sheet10"/>
      <sheetName val="전기자료"/>
      <sheetName val="Sheet14"/>
      <sheetName val="Sheet13"/>
      <sheetName val="WEMS export"/>
      <sheetName val="Currency Rate"/>
      <sheetName val="SILICATE"/>
      <sheetName val="입출재고현황 (2)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갑지 15회"/>
      <sheetName val="표지 15회"/>
      <sheetName val="19.09"/>
      <sheetName val="1206-GMP-Data"/>
      <sheetName val="생산현황"/>
      <sheetName val="F-TOTAL"/>
      <sheetName val="실행철강하도"/>
      <sheetName val="결과"/>
      <sheetName val="Capa Ref GMP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검사조서"/>
      <sheetName val="제경비비교"/>
      <sheetName val="공사대금지급요청서"/>
      <sheetName val="지분별 기성금"/>
      <sheetName val="개산급(서울)"/>
      <sheetName val="시기"/>
      <sheetName val="분석"/>
      <sheetName val="총내"/>
      <sheetName val="총원"/>
      <sheetName val="건원"/>
      <sheetName val="건집"/>
      <sheetName val="건내"/>
      <sheetName val="타설현황"/>
      <sheetName val="레미콘"/>
      <sheetName val="방수"/>
      <sheetName val="견출"/>
      <sheetName val="갱폼,AL폼"/>
      <sheetName val="단열재(골조)"/>
      <sheetName val="단열재(수장)"/>
      <sheetName val="경량벽체"/>
      <sheetName val="천정"/>
      <sheetName val="조적"/>
      <sheetName val="도배 및 수장"/>
      <sheetName val="미장"/>
      <sheetName val="타일"/>
      <sheetName val="도장"/>
      <sheetName val="유리"/>
      <sheetName val="PL창호"/>
      <sheetName val="지붕"/>
      <sheetName val="발코니난간대"/>
      <sheetName val="목창호"/>
      <sheetName val="석공사"/>
      <sheetName val="금속창호"/>
      <sheetName val="시스템가구"/>
      <sheetName val="일반가구"/>
      <sheetName val="엘리베이터"/>
      <sheetName val="토원"/>
      <sheetName val="토집"/>
      <sheetName val="토내"/>
      <sheetName val="개산급적용내역"/>
      <sheetName val="방침결정내역"/>
      <sheetName val="오수집계표"/>
      <sheetName val="우수집계표"/>
      <sheetName val="자재반입현황"/>
      <sheetName val="기원"/>
      <sheetName val="기집"/>
      <sheetName val="기내"/>
      <sheetName val="증빙서류"/>
      <sheetName val="타설현황 및 이중관(03월)"/>
      <sheetName val="급수급탕,난방 입상배관(03월)"/>
      <sheetName val="급수급탕,난방 입상배관 보온(03월)"/>
      <sheetName val="상트랩설치(03월)"/>
      <sheetName val="급수 입상배관 열선(03월)"/>
      <sheetName val="양변기설치(03월)"/>
      <sheetName val="세면기설치(03월)"/>
      <sheetName val="샤워수전설치(03월)"/>
      <sheetName val="싱크수전설치(03월)"/>
      <sheetName val="절수기설치(03월)"/>
      <sheetName val="슬라이딩형수납장(03월)"/>
      <sheetName val="슬라이딩형수납장 도어(03월)"/>
      <sheetName val="가스쿡탑(03월)"/>
      <sheetName val="레인지후드(03월)"/>
      <sheetName val="악세사리설치(03월)"/>
      <sheetName val="냉온수계량기,감압밸브설치(03월)"/>
      <sheetName val="열량계,유량제어밸브설치(03월)"/>
      <sheetName val="세대발코니 입상(03월)"/>
      <sheetName val="화장실 배기휀설치(03월)"/>
      <sheetName val="욕조설치(03월)"/>
      <sheetName val="건식AD(03월)"/>
      <sheetName val="후렉시블(03월)"/>
      <sheetName val="화장실 방화댐퍼(03월)"/>
      <sheetName val="주방 방화댐퍼(03월)"/>
      <sheetName val="오배수입상(03월)"/>
      <sheetName val="주방 정풍량 댐퍼 및 덕트 설치(03월)"/>
      <sheetName val="세대오배수배관(03월)"/>
      <sheetName val="난방분배기(03월)"/>
      <sheetName val=" 난방코일(03월)"/>
      <sheetName val="동지하주철(03월)"/>
      <sheetName val="동지하위생(03월)"/>
      <sheetName val="세대SP(03월)"/>
      <sheetName val="소방입상(03월)"/>
      <sheetName val="소방입상보온(03월)"/>
      <sheetName val="소방입상배관 열선(03월)"/>
      <sheetName val="폴리우레탄호스(03월)"/>
      <sheetName val="제연댐퍼(03월)"/>
      <sheetName val="세대환기(03월)"/>
      <sheetName val="세대환기디퓨져(03월)"/>
      <sheetName val="세대환기후렉시블(03월)"/>
      <sheetName val="세대환기장비(03월)"/>
      <sheetName val="상.하부후레임(03월)"/>
      <sheetName val="건식PD 전면판(03월)"/>
      <sheetName val="D 5243-ARAMCO"/>
      <sheetName val="D-4801 OXY"/>
      <sheetName val="October 2020"/>
      <sheetName val="Malaysia incl. RET"/>
      <sheetName val="품셈"/>
      <sheetName val="RefG"/>
      <sheetName val="IRR sponsor"/>
      <sheetName val="CIM"/>
      <sheetName val="0000"/>
      <sheetName val="EQ USED (CORRECTED)"/>
      <sheetName val="Curves"/>
      <sheetName val="Note"/>
      <sheetName val="Heads"/>
      <sheetName val="Dbase"/>
      <sheetName val="Tables"/>
      <sheetName val="Page 2"/>
      <sheetName val="BW"/>
      <sheetName val="#¡REF"/>
      <sheetName val="4. Fuel Gas Consumption(201029)"/>
      <sheetName val="Conduit_Size선정"/>
      <sheetName val="tifico"/>
      <sheetName val="PE-F-33 Rev 02 Basic Proj.Info"/>
      <sheetName val="PE-F-31 Rev 01 Coversheet"/>
      <sheetName val="Div2"/>
      <sheetName val="HO_ENG_MH_CAL7"/>
      <sheetName val="INPUT_DATA7"/>
      <sheetName val="Eq__Mobilization6"/>
      <sheetName val="7_2세부_부하계산서7"/>
      <sheetName val="_갑지7"/>
      <sheetName val="ITB_COST6"/>
      <sheetName val="EQ_Total5"/>
      <sheetName val="CIVIL_BOQ6"/>
      <sheetName val="RAW_COST_SUMMARY6"/>
      <sheetName val="BLDG_BOQ6"/>
      <sheetName val="rate_analyses6"/>
      <sheetName val="Price_Detail5"/>
      <sheetName val="DS_Oil_System5"/>
      <sheetName val="Pjt_Data5"/>
      <sheetName val="노임_단가5"/>
      <sheetName val="plan&amp;section_of_foundation5"/>
      <sheetName val="pile_bearing_capa_&amp;_arrenge5"/>
      <sheetName val="design_load5"/>
      <sheetName val="working_load_at_the_btm_ft_5"/>
      <sheetName val="stability_check5"/>
      <sheetName val="design_criteria5"/>
      <sheetName val="M_114"/>
      <sheetName val="AOP_Summary-25"/>
      <sheetName val="2_배관5"/>
      <sheetName val="TYPE-B_평균H4"/>
      <sheetName val="ANA&amp;DESIGN&amp;REINF__4"/>
      <sheetName val="PRIMARY_LOAD4"/>
      <sheetName val="EXT_CHECK4"/>
      <sheetName val="PIPE_(SG)-발수4"/>
      <sheetName val="OIL_SYST_DATA_SHTS4"/>
      <sheetName val="할증_4"/>
      <sheetName val="Loop_Type4"/>
      <sheetName val="공사비_분석표4"/>
      <sheetName val="간접비_총괄표4"/>
      <sheetName val="Resource_table4"/>
      <sheetName val="Invoice_(Summary)4"/>
      <sheetName val="Invoice_(IBL)4"/>
      <sheetName val="Invoice_(OBL)4"/>
      <sheetName val="REINF_4"/>
      <sheetName val="Food_court_4"/>
      <sheetName val="97_사업추정(WEKI)4"/>
      <sheetName val="노원열병합__건축공사기성내역서4"/>
      <sheetName val="BACK_DATA4"/>
      <sheetName val="3_Breakdown_Direct_Instrument2"/>
      <sheetName val="Inside_building_Summary2"/>
      <sheetName val="Rate_Analysis2"/>
      <sheetName val="L_V_Separator2"/>
      <sheetName val="Kredi_Risk_Alt_Grup2"/>
      <sheetName val="Ana_Gruplar2"/>
      <sheetName val="Attachment_12"/>
      <sheetName val="Ex_Rate2"/>
      <sheetName val="[TDIBM1_X೺_x005f_x0000_ഈ_x005f_x0000__x0002"/>
      <sheetName val="Vertical_FDN-122"/>
      <sheetName val="Pump_FDN-12"/>
      <sheetName val="Horizontal_Vessel_FDN-12"/>
      <sheetName val="B_5_Control_Valve2"/>
      <sheetName val="Overall_Status2"/>
      <sheetName val="Resource_summary2"/>
      <sheetName val="Break_Down2"/>
      <sheetName val="_TDIBM1_X೺2"/>
      <sheetName val="NO_3_PTA_PLANT_SD_COST2"/>
      <sheetName val="STA_&amp;_SEC2"/>
      <sheetName val="_TDIBM1_X೺_x005f_x0000_ഈ_x005f_x0000__x0002"/>
      <sheetName val="OCT_FDN2"/>
      <sheetName val="Flaer_Area2"/>
      <sheetName val="Valve_List_(Priced)2"/>
      <sheetName val="Tbl_1y_42"/>
      <sheetName val="Inert_Balls2"/>
      <sheetName val="[TDIBM1_X೺2"/>
      <sheetName val="CDU_(성창)_Master2"/>
      <sheetName val="_TDIBM1_X೺_x005f_x005f_x005f_x0000_ഈ_x005f2"/>
      <sheetName val="_1"/>
      <sheetName val="A(Rev_3)2"/>
      <sheetName val="해외_연수비용_계산-삭제2"/>
      <sheetName val="해외_기술훈련비_(합계)2"/>
      <sheetName val="토목_Utility_Schedule_(2)1"/>
      <sheetName val="Currency_&amp;_Other_Cost1"/>
      <sheetName val="_Sum1"/>
      <sheetName val="드럼확인_배출1"/>
      <sheetName val="JB_명판인쇄1"/>
      <sheetName val="덕트뱅크_(2)1"/>
      <sheetName val="플링_갑지1"/>
      <sheetName val="JB_명판1"/>
      <sheetName val="드럼_확인용1"/>
      <sheetName val="spc_배관견적1"/>
      <sheetName val="Eng_Hrs_(HO)1"/>
      <sheetName val="01_09_CODE1"/>
      <sheetName val="현장관리비_산출내역1"/>
      <sheetName val="[TDIBM1_X೺_x005f_x005f_x005f_x0000_ഈ_x005f_x005f_"/>
      <sheetName val="_TDIBM1_X೺_x005f_x005f_x005f_x005f_x005f_x005f_x0"/>
      <sheetName val="_TDIBM1_X೺ഈ_x00001"/>
      <sheetName val="_TDIBM1_X೺_x005f_x0000_ഈ_1"/>
      <sheetName val="_TDIBM1_X೺_x005f_x005f_x0"/>
      <sheetName val="6PILE__(돌출)"/>
      <sheetName val="00-Summary_Information-ABB"/>
      <sheetName val="Table-Dont_Delete"/>
      <sheetName val="Instrument_구분_체계"/>
      <sheetName val="CAT_1"/>
      <sheetName val="입찰내역_발주처_양식1"/>
      <sheetName val="SPT_vs_PHI"/>
      <sheetName val="SCH_B"/>
      <sheetName val="UNIT_3"/>
      <sheetName val="Plan_Early_Date"/>
      <sheetName val="2-1-1)_Zone_&amp;_Margin"/>
      <sheetName val="Utility_and_Fire_flange"/>
      <sheetName val="INNER_TANK"/>
      <sheetName val="Codes,___"/>
      <sheetName val="INNER_TANK_SEISMIC"/>
      <sheetName val="[TDIBM1_X೺ഈ_x00001"/>
      <sheetName val="_TDIBM1_X೺ഈ_1"/>
      <sheetName val="3_공통공사대비"/>
      <sheetName val="개시대사_(2)"/>
      <sheetName val="2__전력간선공사"/>
      <sheetName val="_WWT_설비_Remote_IO_추가건_(2013_02_"/>
      <sheetName val="bldg_list"/>
      <sheetName val="[TDIBM1_X೺?ഈ?????G_MH_CAL"/>
      <sheetName val="_TDIBM1_X೺?ഈ?????G_MH_CAL"/>
      <sheetName val="_TDIBM1_X೺_x0"/>
      <sheetName val="ACT_ALL IN"/>
      <sheetName val="PkRp"/>
      <sheetName val="Kuantitas &amp; Harga"/>
      <sheetName val="struktur tdk dipakai"/>
      <sheetName val="AC"/>
      <sheetName val="PAD TR보호대기초"/>
      <sheetName val="가로등기초"/>
      <sheetName val="HANDHOLE(2)"/>
      <sheetName val="공정집계_국별"/>
      <sheetName val="결과조달"/>
      <sheetName val="경상비"/>
      <sheetName val="WORK"/>
      <sheetName val="일반공사"/>
      <sheetName val="공사개요"/>
      <sheetName val="도급내역"/>
      <sheetName val="연결임시"/>
      <sheetName val="구조물공"/>
      <sheetName val="투찰추정"/>
      <sheetName val="부대공"/>
      <sheetName val="도급금액"/>
      <sheetName val="재노경"/>
      <sheetName val="배수공"/>
      <sheetName val="일위대가(1)"/>
      <sheetName val="원가계산서"/>
      <sheetName val="총공사내역서"/>
      <sheetName val="도급"/>
      <sheetName val="포장공"/>
      <sheetName val="CT Thang Mo"/>
      <sheetName val="CT  PL"/>
      <sheetName val="Equipment Cost"/>
      <sheetName val="VS P-Q"/>
      <sheetName val="EQUIP LIST"/>
      <sheetName val="VAT TU DIEN"/>
      <sheetName val="ANAL.BOW"/>
      <sheetName val="갑지(추정)"/>
      <sheetName val="progress(RM)"/>
      <sheetName val="manhour"/>
      <sheetName val="exp"/>
      <sheetName val="2.주요계수총괄"/>
      <sheetName val="CEQ_Master"/>
      <sheetName val="Man_Master"/>
      <sheetName val="GAEYO"/>
      <sheetName val="具志川H社"/>
      <sheetName val="Tag Equip Value"/>
      <sheetName val="기성내역"/>
      <sheetName val="TOWER 10TON"/>
      <sheetName val="TOWER 12TON"/>
      <sheetName val="Lookup Lists"/>
      <sheetName val="Lists"/>
      <sheetName val="9. 콘덴서"/>
      <sheetName val="Register"/>
      <sheetName val="Rekap"/>
      <sheetName val="Analisa"/>
      <sheetName val="Perm. Test"/>
      <sheetName val="Anal-SNI"/>
      <sheetName val="DAF.TUL"/>
      <sheetName val="Material"/>
      <sheetName val="daf-3(OK)"/>
      <sheetName val="daf-7(OK)"/>
      <sheetName val="21"/>
      <sheetName val="351BQMCN"/>
      <sheetName val="Bahan "/>
      <sheetName val="Upah"/>
      <sheetName val="Isolasi Luar Dalam"/>
      <sheetName val="Isolasi Luar"/>
      <sheetName val="Cash Flow bulanan"/>
      <sheetName val="rap rinci"/>
      <sheetName val="BQ-E20-02(Rp)"/>
      <sheetName val="HARGA ALAT"/>
      <sheetName val="DAF-4"/>
      <sheetName val="DAF-5"/>
      <sheetName val="iTEM hARSAT"/>
      <sheetName val="Bahan"/>
      <sheetName val="BUL"/>
      <sheetName val="H.Satuan"/>
      <sheetName val="PPC"/>
      <sheetName val="HB "/>
      <sheetName val="Galian 1"/>
      <sheetName val="Bill No 6 Koord &amp; Attendance"/>
      <sheetName val="DAF-1"/>
      <sheetName val="Public Area"/>
      <sheetName val="DAFTAR HARGA"/>
      <sheetName val="Informasi"/>
      <sheetName val="hsat-SD"/>
      <sheetName val="an-satuan"/>
      <sheetName val="Rekap-SD"/>
      <sheetName val="RAB"/>
      <sheetName val="AC포장수량"/>
      <sheetName val="_TDIBM1.X೺_ഈ_____G_MH_CAL"/>
      <sheetName val="[TDIBM1.X೺_x005f_x0000_ഈ_"/>
      <sheetName val="[TDIBM1.X೺_x0000_ഈ_"/>
      <sheetName val="Chiet_tinh_dz35"/>
      <sheetName val="e-GAP_Summary"/>
      <sheetName val="WEMS_export"/>
      <sheetName val="Currency_Rate"/>
      <sheetName val="Submission_-_Price_Summary"/>
      <sheetName val="Subb-Manpower_&amp;_Equiptment_Plan"/>
      <sheetName val="Price_Summary_REF"/>
      <sheetName val="Optional_Working"/>
      <sheetName val="Equip_Cost"/>
      <sheetName val="E_&amp;_I_Rates"/>
      <sheetName val="E&amp;I_CC"/>
      <sheetName val="PPT_Input"/>
      <sheetName val="Org_Chart"/>
      <sheetName val="Indirect_MP"/>
      <sheetName val="Direct_MP"/>
      <sheetName val="Manpower_cost"/>
      <sheetName val="입출재고현황_(2)"/>
      <sheetName val="Capa_Ref_GMP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갑지_15회"/>
      <sheetName val="표지_15회"/>
      <sheetName val="19_09"/>
      <sheetName val="FILTER"/>
      <sheetName val="Sheet 3"/>
      <sheetName val="LMB Forecast plan"/>
      <sheetName val="_TDIBM1_X೺_x005f_x005f_x01"/>
      <sheetName val="D_5243-ARAMCO"/>
      <sheetName val="D-4801_OXY"/>
      <sheetName val="Параметры_i"/>
      <sheetName val="2.4.3. Civil WP3"/>
      <sheetName val="2.4.8. Building WP2"/>
      <sheetName val="2.4.9. Building WP3"/>
      <sheetName val="PLSt 03  "/>
      <sheetName val="П 7 курс аванса"/>
      <sheetName val="project"/>
      <sheetName val="Insulation_Utl_Off"/>
      <sheetName val="Note_Piping"/>
      <sheetName val="BQMPALOC1000"/>
      <sheetName val="Land Dev't. Ph-1"/>
      <sheetName val="4-Lane bridge"/>
      <sheetName val="Hac.Lots"/>
      <sheetName val="Res.Lots"/>
      <sheetName val="Spine Road"/>
      <sheetName val="derive"/>
      <sheetName val="DESBASTE"/>
      <sheetName val="2.223M_due to adj profit"/>
      <sheetName val="GAE8'97"/>
      <sheetName val="MATERIAL'S PRICE"/>
      <sheetName val="Power &amp; control cables"/>
      <sheetName val="Earthing Cables "/>
      <sheetName val="Material Standards"/>
      <sheetName val="Material Cost Standards"/>
      <sheetName val="11 BQMPALOC"/>
      <sheetName val="전기공사 (삼전)"/>
      <sheetName val="점수표"/>
      <sheetName val="지출결의서_0701"/>
      <sheetName val="상세내역_0701"/>
      <sheetName val="목록"/>
      <sheetName val="PNTEXT"/>
      <sheetName val="잡철물"/>
      <sheetName val="단가표 "/>
      <sheetName val="가격조사서"/>
      <sheetName val="ABAD"/>
      <sheetName val="A1기성"/>
      <sheetName val="BGT"/>
      <sheetName val="CHAVOSH"/>
      <sheetName val="ZAR SAZ"/>
      <sheetName val="견적대비표"/>
      <sheetName val="전기"/>
      <sheetName val="약품공급2"/>
      <sheetName val="서∼군(2)"/>
      <sheetName val="조건표"/>
      <sheetName val="장비"/>
      <sheetName val="대비"/>
      <sheetName val="간선계산"/>
      <sheetName val="1단계"/>
      <sheetName val="수량집계표"/>
      <sheetName val="MOTOR"/>
      <sheetName val="노무"/>
      <sheetName val="자압"/>
      <sheetName val="5.전사투자계획종함안"/>
      <sheetName val="자재"/>
      <sheetName val="2000전체분"/>
      <sheetName val="실행대비"/>
      <sheetName val="청천내"/>
      <sheetName val="요율"/>
      <sheetName val="2000년1차"/>
      <sheetName val="노무비"/>
      <sheetName val="산근1"/>
      <sheetName val="★도급내역"/>
      <sheetName val="설계"/>
      <sheetName val="저"/>
      <sheetName val="45,46"/>
      <sheetName val="지급자재"/>
      <sheetName val="단가"/>
      <sheetName val="관리,공감"/>
      <sheetName val="입찰"/>
      <sheetName val="토목"/>
      <sheetName val="자재대"/>
      <sheetName val="200"/>
      <sheetName val="현경"/>
      <sheetName val="소야공정계획표"/>
      <sheetName val="REFER.SHEET"/>
      <sheetName val="공통비총괄표"/>
      <sheetName val="01"/>
      <sheetName val="HO_ENG_MH_CAL8"/>
      <sheetName val="7_2세부_부하계산서8"/>
      <sheetName val="INPUT_DATA8"/>
      <sheetName val="Eq__Mobilization7"/>
      <sheetName val="_갑지8"/>
      <sheetName val="EQ_Total6"/>
      <sheetName val="CIVIL_BOQ7"/>
      <sheetName val="RAW_COST_SUMMARY7"/>
      <sheetName val="BLDG_BOQ7"/>
      <sheetName val="rate_analyses7"/>
      <sheetName val="ITB_COST7"/>
      <sheetName val="Price_Detail6"/>
      <sheetName val="DS_Oil_System6"/>
      <sheetName val="노임_단가6"/>
      <sheetName val="plan&amp;section_of_foundation6"/>
      <sheetName val="pile_bearing_capa_&amp;_arrenge6"/>
      <sheetName val="design_load6"/>
      <sheetName val="working_load_at_the_btm_ft_6"/>
      <sheetName val="stability_check6"/>
      <sheetName val="design_criteria6"/>
      <sheetName val="2_배관6"/>
      <sheetName val="Pjt_Data6"/>
      <sheetName val="AOP_Summary-26"/>
      <sheetName val="M_115"/>
      <sheetName val="PIPE_(SG)-발수5"/>
      <sheetName val="TYPE-B_평균H5"/>
      <sheetName val="ANA&amp;DESIGN&amp;REINF__5"/>
      <sheetName val="PRIMARY_LOAD5"/>
      <sheetName val="EXT_CHECK5"/>
      <sheetName val="OIL_SYST_DATA_SHTS5"/>
      <sheetName val="할증_5"/>
      <sheetName val="Loop_Type5"/>
      <sheetName val="Resource_table5"/>
      <sheetName val="공사비_분석표5"/>
      <sheetName val="Invoice_(Summary)5"/>
      <sheetName val="Invoice_(IBL)5"/>
      <sheetName val="Invoice_(OBL)5"/>
      <sheetName val="간접비_총괄표5"/>
      <sheetName val="REINF_5"/>
      <sheetName val="Food_court_5"/>
      <sheetName val="97_사업추정(WEKI)5"/>
      <sheetName val="노원열병합__건축공사기성내역서5"/>
      <sheetName val="BACK_DATA5"/>
      <sheetName val="3_Breakdown_Direct_Instrument3"/>
      <sheetName val="Inside_building_Summary3"/>
      <sheetName val="_TDIBM1_X೺3"/>
      <sheetName val="Rate_Analysis3"/>
      <sheetName val="L_V_Separator3"/>
      <sheetName val="Vertical_FDN-123"/>
      <sheetName val="Pump_FDN-13"/>
      <sheetName val="Horizontal_Vessel_FDN-13"/>
      <sheetName val="NO_3_PTA_PLANT_SD_COST3"/>
      <sheetName val="STA_&amp;_SEC3"/>
      <sheetName val="Valve_List_(Priced)3"/>
      <sheetName val="_TDIBM1_X೺_x005f_x0000_ഈ_x005f_x0000__x0003"/>
      <sheetName val="OCT_FDN3"/>
      <sheetName val="Flaer_Area3"/>
      <sheetName val="Tbl_1y_43"/>
      <sheetName val="[TDIBM1_X೺3"/>
      <sheetName val="Resource_summary3"/>
      <sheetName val="Break_Down3"/>
      <sheetName val="Inert_Balls3"/>
      <sheetName val="CDU_(성창)_Master3"/>
      <sheetName val="Kredi_Risk_Alt_Grup3"/>
      <sheetName val="Ana_Gruplar3"/>
      <sheetName val="Attachment_13"/>
      <sheetName val="Ex_Rate3"/>
      <sheetName val="B_5_Control_Valve3"/>
      <sheetName val="Overall_Status3"/>
      <sheetName val="[TDIBM1_X೺_x005f_x0000_ഈ_x005f_x0000__x0003"/>
      <sheetName val="_TDIBM1_X೺_x005f_x005f_x005f_x0000_ഈ_x005f3"/>
      <sheetName val="해외_연수비용_계산-삭제3"/>
      <sheetName val="해외_기술훈련비_(합계)3"/>
      <sheetName val="A(Rev_3)3"/>
      <sheetName val="_2"/>
      <sheetName val="Eng_Hrs_(HO)2"/>
      <sheetName val="현장관리비_산출내역2"/>
      <sheetName val="토목_Utility_Schedule_(2)2"/>
      <sheetName val="Currency_&amp;_Other_Cost2"/>
      <sheetName val="_Sum2"/>
      <sheetName val="spc_배관견적2"/>
      <sheetName val="입찰내역_발주처_양식2"/>
      <sheetName val="드럼확인_배출2"/>
      <sheetName val="JB_명판인쇄2"/>
      <sheetName val="덕트뱅크_(2)2"/>
      <sheetName val="플링_갑지2"/>
      <sheetName val="JB_명판2"/>
      <sheetName val="드럼_확인용2"/>
      <sheetName val="01_09_CODE2"/>
      <sheetName val="6PILE__(돌출)1"/>
      <sheetName val="Table-Dont_Delete1"/>
      <sheetName val="_TDIBM1_X೺_x005f_x0000_ഈ_2"/>
      <sheetName val="00-Summary_Information-ABB1"/>
      <sheetName val="SPT_vs_PHI1"/>
      <sheetName val="Instrument_구분_체계1"/>
      <sheetName val="[TDIBM1_X೺_x005f_x005f_x005f_x0000_ഈ_x005f1"/>
      <sheetName val="_TDIBM1_X೺_x005f_x005f_x005f_x005f_x005f_x005f_x1"/>
      <sheetName val="SCH_B1"/>
      <sheetName val="CAT_11"/>
      <sheetName val="UNIT_31"/>
      <sheetName val="3_공통공사대비1"/>
      <sheetName val="개시대사_(2)1"/>
      <sheetName val="2-1-1)_Zone_&amp;_Margin1"/>
      <sheetName val="INNER_TANK1"/>
      <sheetName val="Codes,___1"/>
      <sheetName val="INNER_TANK_SEISMIC1"/>
      <sheetName val="Plan_Early_Date1"/>
      <sheetName val="Utility_and_Fire_flange1"/>
      <sheetName val="2__전력간선공사1"/>
      <sheetName val="_WWT_설비_Remote_IO_추가건_(2013_021"/>
      <sheetName val="e-GAP_Summary1"/>
      <sheetName val="bldg_list1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갑지_15회1"/>
      <sheetName val="표지_15회1"/>
      <sheetName val="19_091"/>
      <sheetName val="_TDIBM1_X೺_x01"/>
      <sheetName val="[TDIBM1_X೺?ഈ?????G_MH_CAL1"/>
      <sheetName val="_TDIBM1_X೺?ഈ?????G_MH_CAL1"/>
      <sheetName val="Chiet_tinh_dz351"/>
      <sheetName val="Submission_-_Price_Summary1"/>
      <sheetName val="Subb-Manpower_&amp;_Equiptment_Pla1"/>
      <sheetName val="Price_Summary_REF1"/>
      <sheetName val="Optional_Working1"/>
      <sheetName val="Equip_Cost1"/>
      <sheetName val="E_&amp;_I_Rates1"/>
      <sheetName val="E&amp;I_CC1"/>
      <sheetName val="PPT_Input1"/>
      <sheetName val="Org_Chart1"/>
      <sheetName val="Indirect_MP1"/>
      <sheetName val="Direct_MP1"/>
      <sheetName val="Manpower_cost1"/>
      <sheetName val="지분별_기성금1"/>
      <sheetName val="도배_및_수장1"/>
      <sheetName val="타설현황_및_이중관(03월)1"/>
      <sheetName val="급수급탕,난방_입상배관(03월)1"/>
      <sheetName val="급수급탕,난방_입상배관_보온(03월)1"/>
      <sheetName val="급수_입상배관_열선(03월)1"/>
      <sheetName val="슬라이딩형수납장_도어(03월)1"/>
      <sheetName val="세대발코니_입상(03월)1"/>
      <sheetName val="화장실_배기휀설치(03월)1"/>
      <sheetName val="화장실_방화댐퍼(03월)1"/>
      <sheetName val="주방_방화댐퍼(03월)1"/>
      <sheetName val="주방_정풍량_댐퍼_및_덕트_설치(03월)1"/>
      <sheetName val="_난방코일(03월)1"/>
      <sheetName val="소방입상배관_열선(03월)1"/>
      <sheetName val="상_하부후레임(03월)1"/>
      <sheetName val="건식PD_전면판(03월)1"/>
      <sheetName val="WEMS_export1"/>
      <sheetName val="Currency_Rate1"/>
      <sheetName val="Addendum_No_1_BILL_2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Capa_Ref_GMP1"/>
      <sheetName val="입출재고현황_(2)1"/>
      <sheetName val="D_5243-ARAMCO1"/>
      <sheetName val="D-4801_OXY1"/>
      <sheetName val="October_20201"/>
      <sheetName val="4__Fuel_Gas_Consumption(2010291"/>
      <sheetName val="PAD_TR보호대기초1"/>
      <sheetName val="ANAL_BOW1"/>
      <sheetName val="EQUIP_LIST1"/>
      <sheetName val="VAT_TU_DIEN1"/>
      <sheetName val="지분별_기성금"/>
      <sheetName val="도배_및_수장"/>
      <sheetName val="타설현황_및_이중관(03월)"/>
      <sheetName val="급수급탕,난방_입상배관(03월)"/>
      <sheetName val="급수급탕,난방_입상배관_보온(03월)"/>
      <sheetName val="급수_입상배관_열선(03월)"/>
      <sheetName val="슬라이딩형수납장_도어(03월)"/>
      <sheetName val="세대발코니_입상(03월)"/>
      <sheetName val="화장실_배기휀설치(03월)"/>
      <sheetName val="화장실_방화댐퍼(03월)"/>
      <sheetName val="주방_방화댐퍼(03월)"/>
      <sheetName val="주방_정풍량_댐퍼_및_덕트_설치(03월)"/>
      <sheetName val="_난방코일(03월)"/>
      <sheetName val="소방입상배관_열선(03월)"/>
      <sheetName val="상_하부후레임(03월)"/>
      <sheetName val="건식PD_전면판(03월)"/>
      <sheetName val="Addendum_No_1_BILL_2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October_2020"/>
      <sheetName val="4__Fuel_Gas_Consumption(201029)"/>
      <sheetName val="PAD_TR보호대기초"/>
      <sheetName val="ANAL_BOW"/>
      <sheetName val="EQUIP_LIST"/>
      <sheetName val="VAT_TU_DIEN"/>
      <sheetName val="SOS_PLC &amp; Panel"/>
      <sheetName val="ABBR"/>
      <sheetName val="PB10 REF 2009"/>
      <sheetName val="LIFTMETHOD"/>
      <sheetName val="WELLCOSTCATALOG"/>
      <sheetName val="BSD (2)"/>
      <sheetName val="para"/>
      <sheetName val="제출계산서"/>
      <sheetName val="Template for itemized price"/>
      <sheetName val="Annex-RC-V"/>
      <sheetName val="본지점중"/>
      <sheetName val="정산표2"/>
      <sheetName val="Form MF - 2"/>
      <sheetName val="INS"/>
      <sheetName val="Activity(new)"/>
      <sheetName val="Backup"/>
      <sheetName val="Sheet5"/>
      <sheetName val="现况"/>
      <sheetName val="정의"/>
      <sheetName val="______aproject_skec_TDI_BM_TD_2"/>
      <sheetName val="_갑_x0000__x0000_"/>
      <sheetName val="_갑Ć_x0000_"/>
      <sheetName val="검토용"/>
      <sheetName val="기본DATA"/>
      <sheetName val="EPC For Verification"/>
      <sheetName val="Export2"/>
      <sheetName val="SY"/>
      <sheetName val="용수원단위"/>
      <sheetName val="Regend"/>
      <sheetName val="[TDIBM1_X೺_x005f_x0000_ഈ_"/>
      <sheetName val="[TDIBM1_X೺ഈ_"/>
      <sheetName val="Precios"/>
      <sheetName val="GIAVLIEU"/>
      <sheetName val="Memb Schd"/>
      <sheetName val="schbhn"/>
      <sheetName val="SEX"/>
      <sheetName val="harsat"/>
      <sheetName val="_TDIBM1.X೺_x005f_x005f_x005f_x0000_ഈ_"/>
      <sheetName val="Daf 1"/>
      <sheetName val="S"/>
      <sheetName val="찍기"/>
      <sheetName val="F1.4"/>
      <sheetName val="UMUM"/>
      <sheetName val="DAF-2"/>
      <sheetName val="Koordinat"/>
      <sheetName val="Cashflow Analysis"/>
      <sheetName val="D-3109"/>
      <sheetName val="7. Comparison of Asphalt etc"/>
      <sheetName val="AnalisaSIPIL RIIL"/>
      <sheetName val="ocean voyage"/>
      <sheetName val="CH"/>
      <sheetName val="DHSD"/>
      <sheetName val="div 8"/>
      <sheetName val="div 9"/>
      <sheetName val="Div 10"/>
      <sheetName val="Volume"/>
      <sheetName val="PCV"/>
      <sheetName val="harga lama"/>
      <sheetName val="FA-LISTING"/>
      <sheetName val="정부노임단가"/>
      <sheetName val="공사비 내역 (가)"/>
      <sheetName val="계정과목 예시"/>
      <sheetName val="PID DATA"/>
      <sheetName val="뜃맟뭁돽띿맟-BLDG"/>
      <sheetName val="TDIBM1.X೺_x0000_ഈ_x0000__x0000__x0000__x0000__x0000_G_MH_CAL"/>
      <sheetName val="TDIBM1_X೺ഈG_MH_CAL"/>
      <sheetName val="TDIBM1.X೺_x005f_x0000_ഈ_x005f_x0000__x0000"/>
      <sheetName val="TDIBM1.X೺"/>
      <sheetName val="TDIBM1_X೺"/>
      <sheetName val="TDIBM1_X೺_x005f_x0000_ഈ_x005f_x0000__x0000"/>
      <sheetName val="TDIBM1.X೺_x005f_x005f_x005f_x0000_ഈ_x005f_x005f_"/>
      <sheetName val="TDIBM1_X೺1"/>
      <sheetName val="TDIBM1_X೺_x005f_x0000_ഈ_x005f_x0000__x0001"/>
      <sheetName val="TDIBM1.X೺_x0000_ഈ_x0000__x0000"/>
      <sheetName val="TDIBM1_X೺_x0000_ഈ_x0000__x0000"/>
      <sheetName val="갑지1"/>
      <sheetName val="INPUT__x0000__x0000__x0005__x0000_壀"/>
      <sheetName val="Sheet_3"/>
      <sheetName val="steel-gr"/>
      <sheetName val="valve data"/>
      <sheetName val="부산제일극장"/>
      <sheetName val="ENE-CAL"/>
      <sheetName val="설계내역서"/>
      <sheetName val="SAN"/>
      <sheetName val="TDIBM1.X೺_x005f_x0000_ഈ_"/>
      <sheetName val="TDIBM1.X೺_x0000_ഈ_"/>
      <sheetName val="TDIBM1_X೺2"/>
      <sheetName val="TDIBM1_X೺_x005f_x0000_ഈ_x005f_x0000__x0002"/>
      <sheetName val="TDIBM1_X೺_x005f_x005f_x005f_x0000_ഈ_x005f_x005f_"/>
      <sheetName val="TDIBM1_X೺ഈ_x00001"/>
      <sheetName val="TDIBM1_X೺_x005f_x0000_ഈ_"/>
      <sheetName val="TDIBM1_X೺ഈ_"/>
      <sheetName val="INPUT_"/>
      <sheetName val="cable data1"/>
      <sheetName val="budget summary"/>
      <sheetName val="1910"/>
      <sheetName val="CCTR wise cost BDGT VS ACT"/>
      <sheetName val="MACHIN HR"/>
      <sheetName val="DMPOWER"/>
      <sheetName val="Lvl1 V1"/>
      <sheetName val="RING WALL"/>
      <sheetName val="HO_ENG_MH_CAL9"/>
      <sheetName val="INPUT_DATA9"/>
      <sheetName val="7_2세부_부하계산서9"/>
      <sheetName val="Eq__Mobilization8"/>
      <sheetName val="_갑지9"/>
      <sheetName val="EQ_Total7"/>
      <sheetName val="CIVIL_BOQ8"/>
      <sheetName val="RAW_COST_SUMMARY8"/>
      <sheetName val="BLDG_BOQ8"/>
      <sheetName val="rate_analyses8"/>
      <sheetName val="DS_Oil_System7"/>
      <sheetName val="ITB_COST8"/>
      <sheetName val="Price_Detail7"/>
      <sheetName val="노임_단가7"/>
      <sheetName val="Pjt_Data7"/>
      <sheetName val="plan&amp;section_of_foundation7"/>
      <sheetName val="pile_bearing_capa_&amp;_arrenge7"/>
      <sheetName val="design_load7"/>
      <sheetName val="working_load_at_the_btm_ft_7"/>
      <sheetName val="stability_check7"/>
      <sheetName val="design_criteria7"/>
      <sheetName val="AOP_Summary-27"/>
      <sheetName val="2_배관7"/>
      <sheetName val="M_116"/>
      <sheetName val="PIPE_(SG)-발수6"/>
      <sheetName val="TYPE-B_평균H6"/>
      <sheetName val="ANA&amp;DESIGN&amp;REINF__6"/>
      <sheetName val="PRIMARY_LOAD6"/>
      <sheetName val="EXT_CHECK6"/>
      <sheetName val="할증_6"/>
      <sheetName val="Invoice_(Summary)6"/>
      <sheetName val="Invoice_(IBL)6"/>
      <sheetName val="Invoice_(OBL)6"/>
      <sheetName val="OIL_SYST_DATA_SHTS6"/>
      <sheetName val="Loop_Type6"/>
      <sheetName val="Resource_table6"/>
      <sheetName val="공사비_분석표6"/>
      <sheetName val="간접비_총괄표6"/>
      <sheetName val="REINF_6"/>
      <sheetName val="Food_court_6"/>
      <sheetName val="97_사업추정(WEKI)6"/>
      <sheetName val="노원열병합__건축공사기성내역서6"/>
      <sheetName val="BACK_DATA6"/>
      <sheetName val="3_Breakdown_Direct_Instrument4"/>
      <sheetName val="Inside_building_Summary4"/>
      <sheetName val="Rate_Analysis4"/>
      <sheetName val="L_V_Separator4"/>
      <sheetName val="_TDIBM1_X೺4"/>
      <sheetName val="Vertical_FDN-124"/>
      <sheetName val="Pump_FDN-14"/>
      <sheetName val="Horizontal_Vessel_FDN-14"/>
      <sheetName val="NO_3_PTA_PLANT_SD_COST4"/>
      <sheetName val="STA_&amp;_SEC4"/>
      <sheetName val="_TDIBM1_X೺_x005f_x0000_ഈ_x005f_x0000__x0004"/>
      <sheetName val="OCT_FDN4"/>
      <sheetName val="Valve_List_(Priced)4"/>
      <sheetName val="Resource_summary4"/>
      <sheetName val="Break_Down4"/>
      <sheetName val="Tbl_1y_44"/>
      <sheetName val="Flaer_Area4"/>
      <sheetName val="[TDIBM1_X೺4"/>
      <sheetName val="Inert_Balls4"/>
      <sheetName val="CDU_(성창)_Master4"/>
      <sheetName val="Overall_Status4"/>
      <sheetName val="[TDIBM1_X೺_x005f_x0000_ഈ_x005f_x0000__x0004"/>
      <sheetName val="Kredi_Risk_Alt_Grup4"/>
      <sheetName val="Ana_Gruplar4"/>
      <sheetName val="Attachment_14"/>
      <sheetName val="Ex_Rate4"/>
      <sheetName val="B_5_Control_Valve4"/>
      <sheetName val="_TDIBM1_X೺_x005f_x005f_x005f_x0000_ഈ_x005f4"/>
      <sheetName val="해외_연수비용_계산-삭제4"/>
      <sheetName val="해외_기술훈련비_(합계)4"/>
      <sheetName val="A(Rev_3)4"/>
      <sheetName val="_3"/>
      <sheetName val="Currency_&amp;_Other_Cost3"/>
      <sheetName val="_Sum3"/>
      <sheetName val="Eng_Hrs_(HO)3"/>
      <sheetName val="현장관리비_산출내역3"/>
      <sheetName val="토목_Utility_Schedule_(2)3"/>
      <sheetName val="spc_배관견적3"/>
      <sheetName val="입찰내역_발주처_양식3"/>
      <sheetName val="드럼확인_배출3"/>
      <sheetName val="JB_명판인쇄3"/>
      <sheetName val="덕트뱅크_(2)3"/>
      <sheetName val="플링_갑지3"/>
      <sheetName val="JB_명판3"/>
      <sheetName val="드럼_확인용3"/>
      <sheetName val="01_09_CODE3"/>
      <sheetName val="SCH_B2"/>
      <sheetName val="Instrument_구분_체계2"/>
      <sheetName val="CAT_12"/>
      <sheetName val="6PILE__(돌출)2"/>
      <sheetName val="[TDIBM1_X೺_x005f_x005f_x005f_x0000_ഈ_x005f2"/>
      <sheetName val="_TDIBM1_X೺_x005f_x005f_x005f_x005f_x005f_x005f_x2"/>
      <sheetName val="UNIT_32"/>
      <sheetName val="_TDIBM1_X೺_x005f_x0000_ഈ_3"/>
      <sheetName val="Table-Dont_Delete2"/>
      <sheetName val="_TDIBM1_X೺_x005f_x005f_x02"/>
      <sheetName val="00-Summary_Information-ABB2"/>
      <sheetName val="SPT_vs_PHI2"/>
      <sheetName val="3_공통공사대비2"/>
      <sheetName val="개시대사_(2)2"/>
      <sheetName val="2-1-1)_Zone_&amp;_Margin2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갑지_15회2"/>
      <sheetName val="표지_15회2"/>
      <sheetName val="19_092"/>
      <sheetName val="INNER_TANK2"/>
      <sheetName val="Codes,___2"/>
      <sheetName val="INNER_TANK_SEISMIC2"/>
      <sheetName val="Plan_Early_Date2"/>
      <sheetName val="Utility_and_Fire_flange2"/>
      <sheetName val="2__전력간선공사2"/>
      <sheetName val="_TDIBM1_X೺_x02"/>
      <sheetName val="bldg_list2"/>
      <sheetName val="[TDIBM1_X೺?ഈ?????G_MH_CAL2"/>
      <sheetName val="_TDIBM1_X೺?ഈ?????G_MH_CAL2"/>
      <sheetName val="_WWT_설비_Remote_IO_추가건_(2013_022"/>
      <sheetName val="e-GAP_Summary2"/>
      <sheetName val="Chiet_tinh_dz352"/>
      <sheetName val="Submission_-_Price_Summary2"/>
      <sheetName val="Subb-Manpower_&amp;_Equiptment_Pla2"/>
      <sheetName val="Price_Summary_REF2"/>
      <sheetName val="Optional_Working2"/>
      <sheetName val="Equip_Cost2"/>
      <sheetName val="E_&amp;_I_Rates2"/>
      <sheetName val="E&amp;I_CC2"/>
      <sheetName val="PPT_Input2"/>
      <sheetName val="Org_Chart2"/>
      <sheetName val="Indirect_MP2"/>
      <sheetName val="Direct_MP2"/>
      <sheetName val="Manpower_cost2"/>
      <sheetName val="지분별_기성금2"/>
      <sheetName val="도배_및_수장2"/>
      <sheetName val="타설현황_및_이중관(03월)2"/>
      <sheetName val="급수급탕,난방_입상배관(03월)2"/>
      <sheetName val="급수급탕,난방_입상배관_보온(03월)2"/>
      <sheetName val="급수_입상배관_열선(03월)2"/>
      <sheetName val="슬라이딩형수납장_도어(03월)2"/>
      <sheetName val="세대발코니_입상(03월)2"/>
      <sheetName val="화장실_배기휀설치(03월)2"/>
      <sheetName val="화장실_방화댐퍼(03월)2"/>
      <sheetName val="주방_방화댐퍼(03월)2"/>
      <sheetName val="주방_정풍량_댐퍼_및_덕트_설치(03월)2"/>
      <sheetName val="_난방코일(03월)2"/>
      <sheetName val="소방입상배관_열선(03월)2"/>
      <sheetName val="상_하부후레임(03월)2"/>
      <sheetName val="건식PD_전면판(03월)2"/>
      <sheetName val="WEMS_export2"/>
      <sheetName val="Currency_Rate2"/>
      <sheetName val="Addendum_No_1_BILL_2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입출재고현황_(2)2"/>
      <sheetName val="Capa_Ref_GMP2"/>
      <sheetName val="D_5243-ARAMCO2"/>
      <sheetName val="D-4801_OXY2"/>
      <sheetName val="EQUIP_LIST2"/>
      <sheetName val="VAT_TU_DIEN2"/>
      <sheetName val="PAD_TR보호대기초2"/>
      <sheetName val="October_20202"/>
      <sheetName val="4__Fuel_Gas_Consumption(2010292"/>
      <sheetName val="Perm__Test"/>
      <sheetName val="DAF_TUL"/>
      <sheetName val="Bahan_"/>
      <sheetName val="Isolasi_Luar_Dalam"/>
      <sheetName val="Isolasi_Luar"/>
      <sheetName val="Cash_Flow_bulanan"/>
      <sheetName val="rap_rinci"/>
      <sheetName val="HARGA_ALAT"/>
      <sheetName val="iTEM_hARSAT"/>
      <sheetName val="H_Satuan"/>
      <sheetName val="HB_"/>
      <sheetName val="Galian_1"/>
      <sheetName val="Bill_No_6_Koord_&amp;_Attendance"/>
      <sheetName val="Public_Area"/>
      <sheetName val="DAFTAR_HARGA"/>
      <sheetName val="IRR_sponsor"/>
      <sheetName val="EQ_USED_(CORRECTED)"/>
      <sheetName val="Page_2"/>
      <sheetName val="Malaysia_incl__RET"/>
      <sheetName val="Tag_Equip_Value"/>
      <sheetName val="ANAL_BOW2"/>
      <sheetName val="CT_Thang_Mo"/>
      <sheetName val="CT__PL"/>
      <sheetName val="Equipment_Cost"/>
      <sheetName val="VS_P-Q"/>
      <sheetName val="PE-F-33_Rev_02_Basic_Proj_Info"/>
      <sheetName val="PE-F-31_Rev_01_Coversheet"/>
      <sheetName val="TOWER_10TON"/>
      <sheetName val="TOWER_12TON"/>
      <sheetName val="ACT_ALL_IN"/>
      <sheetName val="Kuantitas_&amp;_Harga"/>
      <sheetName val="struktur_tdk_dipakai"/>
      <sheetName val="2_주요계수총괄"/>
      <sheetName val="Lookup_Lists"/>
      <sheetName val="9__콘덴서"/>
      <sheetName val="2_4_3__Civil_WP3"/>
      <sheetName val="2_4_8__Building_WP2"/>
      <sheetName val="2_4_9__Building_WP3"/>
      <sheetName val="PLSt_03__"/>
      <sheetName val="П_7_курс_аванса"/>
      <sheetName val="REFER_SHEET"/>
      <sheetName val="Land_Dev't__Ph-1"/>
      <sheetName val="4-Lane_bridge"/>
      <sheetName val="Hac_Lots"/>
      <sheetName val="Res_Lots"/>
      <sheetName val="Spine_Road"/>
      <sheetName val="2_223M_due_to_adj_profit"/>
      <sheetName val="MATERIAL'S_PRICE"/>
      <sheetName val="Power_&amp;_control_cables"/>
      <sheetName val="Earthing_Cables_"/>
      <sheetName val="단가표_"/>
      <sheetName val="ZAR_SAZ"/>
      <sheetName val="5_전사투자계획종함안"/>
      <sheetName val="11_BQMPALOC"/>
      <sheetName val="Material_Standards"/>
      <sheetName val="Material_Cost_Standards"/>
      <sheetName val="전기공사_(삼전)"/>
      <sheetName val="PB10_REF_2009"/>
      <sheetName val="BSD_(2)"/>
      <sheetName val="Template_for_itemized_price"/>
      <sheetName val="Form_MF_-_2"/>
      <sheetName val="_TDIBM1_X೺_ഈ_____G_MH_CAL"/>
      <sheetName val="Sheet_31"/>
      <sheetName val="SOS_PLC_&amp;_Panel"/>
      <sheetName val="계정과목_예시"/>
      <sheetName val="LMB_Forecast_plan"/>
      <sheetName val="valve_data"/>
      <sheetName val="EPC_For_Verification"/>
      <sheetName val="INPUT_壀"/>
      <sheetName val="PID_DATA"/>
      <sheetName val="F1_4"/>
      <sheetName val="Cashflow_Analysis"/>
      <sheetName val="div_8"/>
      <sheetName val="div_9"/>
      <sheetName val="Div_10"/>
      <sheetName val="Memb_Schd"/>
      <sheetName val="_TDIBM1_X೺_x005f_x005f_x005f_x0000_ഈ_"/>
      <sheetName val="Daf_1"/>
      <sheetName val="harga_lama"/>
      <sheetName val="공사비_내역_(가)"/>
      <sheetName val="TDIBM1_X೺_x005f_x0000_ഈ_x005f_x0000__x00001"/>
      <sheetName val="cable_data1"/>
      <sheetName val="매립"/>
      <sheetName val="특수선일위대가"/>
      <sheetName val="Key Table"/>
      <sheetName val="5-Peralatan"/>
      <sheetName val="slab"/>
      <sheetName val="Pengalaman Per"/>
      <sheetName val="손익차총괄2"/>
      <sheetName val="Takeoff"/>
      <sheetName val="MP Sep-Restime"/>
      <sheetName val="Sch.1"/>
      <sheetName val="_TDIBM1_X೺_x005f_x005f_x03"/>
      <sheetName val="VS_P-Q1"/>
      <sheetName val="IRR_sponsor1"/>
      <sheetName val="EQ_USED_(CORRECTED)1"/>
      <sheetName val="Page_21"/>
      <sheetName val="CT_Thang_Mo1"/>
      <sheetName val="CT__PL1"/>
      <sheetName val="Equipment_Cost1"/>
      <sheetName val="Malaysia_incl__RET1"/>
      <sheetName val="Tag_Equip_Value1"/>
      <sheetName val="9__콘덴서1"/>
      <sheetName val="HO_ENG_MH_CAL10"/>
      <sheetName val="INPUT_DATA10"/>
      <sheetName val="7_2세부_부하계산서10"/>
      <sheetName val="Eq__Mobilization9"/>
      <sheetName val="_갑지10"/>
      <sheetName val="EQ_Total8"/>
      <sheetName val="CIVIL_BOQ9"/>
      <sheetName val="RAW_COST_SUMMARY9"/>
      <sheetName val="BLDG_BOQ9"/>
      <sheetName val="rate_analyses9"/>
      <sheetName val="ITB_COST9"/>
      <sheetName val="Price_Detail8"/>
      <sheetName val="DS_Oil_System8"/>
      <sheetName val="노임_단가8"/>
      <sheetName val="plan&amp;section_of_foundation8"/>
      <sheetName val="pile_bearing_capa_&amp;_arrenge8"/>
      <sheetName val="design_load8"/>
      <sheetName val="working_load_at_the_btm_ft_8"/>
      <sheetName val="stability_check8"/>
      <sheetName val="design_criteria8"/>
      <sheetName val="2_배관8"/>
      <sheetName val="Pjt_Data8"/>
      <sheetName val="AOP_Summary-28"/>
      <sheetName val="M_117"/>
      <sheetName val="TYPE-B_평균H7"/>
      <sheetName val="PIPE_(SG)-발수7"/>
      <sheetName val="ANA&amp;DESIGN&amp;REINF__7"/>
      <sheetName val="PRIMARY_LOAD7"/>
      <sheetName val="EXT_CHECK7"/>
      <sheetName val="OIL_SYST_DATA_SHTS7"/>
      <sheetName val="할증_7"/>
      <sheetName val="Loop_Type7"/>
      <sheetName val="Resource_table7"/>
      <sheetName val="공사비_분석표7"/>
      <sheetName val="간접비_총괄표7"/>
      <sheetName val="REINF_7"/>
      <sheetName val="Invoice_(Summary)7"/>
      <sheetName val="Invoice_(IBL)7"/>
      <sheetName val="Invoice_(OBL)7"/>
      <sheetName val="Food_court_7"/>
      <sheetName val="97_사업추정(WEKI)7"/>
      <sheetName val="노원열병합__건축공사기성내역서7"/>
      <sheetName val="BACK_DATA7"/>
      <sheetName val="Rate_Analysis5"/>
      <sheetName val="3_Breakdown_Direct_Instrument5"/>
      <sheetName val="Inside_building_Summary5"/>
      <sheetName val="L_V_Separator5"/>
      <sheetName val="_TDIBM1_X೺5"/>
      <sheetName val="Vertical_FDN-125"/>
      <sheetName val="Pump_FDN-15"/>
      <sheetName val="Horizontal_Vessel_FDN-15"/>
      <sheetName val="NO_3_PTA_PLANT_SD_COST5"/>
      <sheetName val="STA_&amp;_SEC5"/>
      <sheetName val="_TDIBM1_X೺_x005f_x0000_ഈ_x005f_x0000__x0005"/>
      <sheetName val="OCT_FDN5"/>
      <sheetName val="Valve_List_(Priced)5"/>
      <sheetName val="Tbl_1y_45"/>
      <sheetName val="Flaer_Area5"/>
      <sheetName val="[TDIBM1_X೺5"/>
      <sheetName val="Resource_summary5"/>
      <sheetName val="Break_Down5"/>
      <sheetName val="Overall_Status5"/>
      <sheetName val="Inert_Balls5"/>
      <sheetName val="Kredi_Risk_Alt_Grup5"/>
      <sheetName val="Ana_Gruplar5"/>
      <sheetName val="Attachment_15"/>
      <sheetName val="Ex_Rate5"/>
      <sheetName val="[TDIBM1_X೺_x005f_x0000_ഈ_x005f_x0000__x0005"/>
      <sheetName val="B_5_Control_Valve5"/>
      <sheetName val="CDU_(성창)_Master5"/>
      <sheetName val="_TDIBM1_X೺_x005f_x005f_x005f_x0000_ഈ_x005f5"/>
      <sheetName val="A(Rev_3)5"/>
      <sheetName val="_4"/>
      <sheetName val="해외_연수비용_계산-삭제5"/>
      <sheetName val="해외_기술훈련비_(합계)5"/>
      <sheetName val="토목_Utility_Schedule_(2)4"/>
      <sheetName val="Eng_Hrs_(HO)4"/>
      <sheetName val="현장관리비_산출내역4"/>
      <sheetName val="Currency_&amp;_Other_Cost4"/>
      <sheetName val="_Sum4"/>
      <sheetName val="spc_배관견적4"/>
      <sheetName val="드럼확인_배출4"/>
      <sheetName val="JB_명판인쇄4"/>
      <sheetName val="덕트뱅크_(2)4"/>
      <sheetName val="플링_갑지4"/>
      <sheetName val="JB_명판4"/>
      <sheetName val="드럼_확인용4"/>
      <sheetName val="01_09_CODE4"/>
      <sheetName val="00-Summary_Information-ABB3"/>
      <sheetName val="_TDIBM1_X೺_x005f_x0000_ഈ_4"/>
      <sheetName val="_TDIBM1_X೺_x005f_x005f_x04"/>
      <sheetName val="2-1-1)_Zone_&amp;_Margin3"/>
      <sheetName val="[TDIBM1_X೺_x005f_x005f_x005f_x0000_ഈ_x005f3"/>
      <sheetName val="_TDIBM1_X೺_x005f_x005f_x005f_x005f_x005f_x005f_x3"/>
      <sheetName val="6PILE__(돌출)3"/>
      <sheetName val="Instrument_구분_체계3"/>
      <sheetName val="CAT_13"/>
      <sheetName val="Table-Dont_Delete3"/>
      <sheetName val="SPT_vs_PHI3"/>
      <sheetName val="개시대사_(2)3"/>
      <sheetName val="입찰내역_발주처_양식4"/>
      <sheetName val="SCH_B3"/>
      <sheetName val="UNIT_33"/>
      <sheetName val="Plan_Early_Date3"/>
      <sheetName val="_WWT_설비_Remote_IO_추가건_(2013_023"/>
      <sheetName val="e-GAP_Summary3"/>
      <sheetName val="_TDIBM1_X೺_x03"/>
      <sheetName val="INNER_TANK3"/>
      <sheetName val="Codes,___3"/>
      <sheetName val="INNER_TANK_SEISMIC3"/>
      <sheetName val="Utility_and_Fire_flange3"/>
      <sheetName val="bldg_list3"/>
      <sheetName val="Chiet_tinh_dz353"/>
      <sheetName val="3_공통공사대비3"/>
      <sheetName val="Submission_-_Price_Summary3"/>
      <sheetName val="Subb-Manpower_&amp;_Equiptment_Pla3"/>
      <sheetName val="Price_Summary_REF3"/>
      <sheetName val="Optional_Working3"/>
      <sheetName val="Equip_Cost3"/>
      <sheetName val="E_&amp;_I_Rates3"/>
      <sheetName val="E&amp;I_CC3"/>
      <sheetName val="PPT_Input3"/>
      <sheetName val="Org_Chart3"/>
      <sheetName val="Indirect_MP3"/>
      <sheetName val="Direct_MP3"/>
      <sheetName val="Manpower_cost3"/>
      <sheetName val="2__전력간선공사3"/>
      <sheetName val="Addendum_No_1_BILL_23"/>
      <sheetName val="[TDIBM1_X೺?ഈ?????G_MH_CAL3"/>
      <sheetName val="_TDIBM1_X೺?ഈ?????G_MH_CAL3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갑지_15회3"/>
      <sheetName val="표지_15회3"/>
      <sheetName val="19_093"/>
      <sheetName val="D_5243-ARAMCO3"/>
      <sheetName val="D-4801_OXY3"/>
      <sheetName val="VS_P-Q2"/>
      <sheetName val="IRR_sponsor2"/>
      <sheetName val="EQ_USED_(CORRECTED)2"/>
      <sheetName val="Page_22"/>
      <sheetName val="CT_Thang_Mo2"/>
      <sheetName val="CT__PL2"/>
      <sheetName val="Equipment_Cost2"/>
      <sheetName val="Malaysia_incl__RET2"/>
      <sheetName val="Tag_Equip_Value2"/>
      <sheetName val="9__콘덴서2"/>
      <sheetName val="CONSTANTS"/>
      <sheetName val="PROJECT INFO."/>
      <sheetName val="음료실행"/>
      <sheetName val="총괄표"/>
      <sheetName val="Material Cost(as per Nation)"/>
      <sheetName val="단가산출"/>
      <sheetName val="CONTROL PIPING"/>
      <sheetName val="COVERSHEET PAGE"/>
      <sheetName val="MAIN GATE HOUSE"/>
      <sheetName val="MTO REV.2(ARMOR)"/>
      <sheetName val="물가정보"/>
      <sheetName val="정부노임"/>
      <sheetName val="Ⅴ-2.공종별내역"/>
      <sheetName val="견적의뢰"/>
      <sheetName val="0226"/>
      <sheetName val="1"/>
      <sheetName val="Daily"/>
      <sheetName val="M501G 2on1"/>
      <sheetName val="dc1"/>
      <sheetName val="Absorber Packing Log"/>
      <sheetName val="HRG BHN"/>
      <sheetName val="Quantity"/>
      <sheetName val="01A- RAB"/>
      <sheetName val="총괄"/>
      <sheetName val="PW3"/>
      <sheetName val="DNW"/>
      <sheetName val="D-3503"/>
      <sheetName val="장비명"/>
      <sheetName val="NM2"/>
      <sheetName val="NW1"/>
      <sheetName val="Units"/>
      <sheetName val="금병로2공구(변경)"/>
      <sheetName val="일위대가(가설)"/>
      <sheetName val="BLOWDOWN"/>
      <sheetName val="PSV2701F"/>
      <sheetName val="64DPRO"/>
      <sheetName val="조도"/>
      <sheetName val="analiz"/>
      <sheetName val="TTS- fixed allw-17.7.2007"/>
      <sheetName val="TITLES"/>
      <sheetName val="TRANSPORT FACTORS"/>
      <sheetName val="EQT ALLOWANCE"/>
      <sheetName val="NFSPropalEL"/>
      <sheetName val="BILL"/>
      <sheetName val="MAJ"/>
      <sheetName val="BILAN PROJET ECO"/>
      <sheetName val="Accounts"/>
      <sheetName val="LDPE-1 LP Main Equi List"/>
      <sheetName val="LDPE-1 HP Main Equi List"/>
      <sheetName val="H&amp;MP GSD-12-Rev02,INSP"/>
      <sheetName val="H&amp;MP GSD-12-Rev02,PR"/>
      <sheetName val="LDPE1 HP &amp; PSE, PR"/>
      <sheetName val="LDPE-1 HP PIPING  List"/>
      <sheetName val="Low Pressure GSD-12-Rev02,INSP"/>
      <sheetName val="Low Pressure GSD-12-Rev02,PR"/>
      <sheetName val="LDPE-1 LP PSE List"/>
      <sheetName val="input"/>
      <sheetName val="WORKING SHEET SS#35"/>
      <sheetName val="Foglio_Lavoro"/>
      <sheetName val="예정(3)"/>
      <sheetName val="TRUCK HAUL CYCLE-waste"/>
      <sheetName val="비품"/>
      <sheetName val="실행내역"/>
      <sheetName val="Price Summary (1)"/>
      <sheetName val="Price Summary (2)"/>
      <sheetName val="SHL"/>
      <sheetName val="당초"/>
      <sheetName val="schalt"/>
      <sheetName val="schtng"/>
      <sheetName val="SMEC_Macro_01csv"/>
      <sheetName val="Breakdown"/>
      <sheetName val="MATL"/>
      <sheetName val="Bin"/>
      <sheetName val="LOADS"/>
      <sheetName val="Bid Evaluation"/>
      <sheetName val="masonry works"/>
      <sheetName val="DB CIS_v2.1"/>
      <sheetName val="Library"/>
      <sheetName val="VC2 10.99"/>
      <sheetName val="4차원가계산서"/>
      <sheetName val="식재인부"/>
      <sheetName val="Résultats"/>
      <sheetName val="정보"/>
      <sheetName val="MOS"/>
      <sheetName val="Hot"/>
      <sheetName val="PP"/>
      <sheetName val="Price_Summary_(1)"/>
      <sheetName val="Price_Summary_(2)"/>
      <sheetName val="ABSTRACT"/>
      <sheetName val="SUM(D2)"/>
      <sheetName val="GC-2"/>
      <sheetName val="PRECAST lightconc-II"/>
      <sheetName val="Summary Sheets"/>
      <sheetName val="electrical"/>
      <sheetName val="Assumption"/>
      <sheetName val="PM"/>
      <sheetName val="R.A.B."/>
      <sheetName val="경산"/>
      <sheetName val="girder"/>
      <sheetName val="Eng_Hrs"/>
      <sheetName val="内外控制表"/>
      <sheetName val="海盐加工装置"/>
      <sheetName val="ZEZSH2007"/>
      <sheetName val="非标价格库"/>
      <sheetName val="HO_ENG_MH_CAL11"/>
      <sheetName val="INPUT_DATA11"/>
      <sheetName val="7_2세부_부하계산서11"/>
      <sheetName val="Eq__Mobilization10"/>
      <sheetName val="_갑지11"/>
      <sheetName val="EQ_Total9"/>
      <sheetName val="CIVIL_BOQ10"/>
      <sheetName val="RAW_COST_SUMMARY10"/>
      <sheetName val="BLDG_BOQ10"/>
      <sheetName val="rate_analyses10"/>
      <sheetName val="ITB_COST10"/>
      <sheetName val="Price_Detail9"/>
      <sheetName val="DS_Oil_System9"/>
      <sheetName val="노임_단가9"/>
      <sheetName val="plan&amp;section_of_foundation9"/>
      <sheetName val="pile_bearing_capa_&amp;_arrenge9"/>
      <sheetName val="design_load9"/>
      <sheetName val="working_load_at_the_btm_ft_9"/>
      <sheetName val="stability_check9"/>
      <sheetName val="design_criteria9"/>
      <sheetName val="2_배관9"/>
      <sheetName val="Pjt_Data9"/>
      <sheetName val="AOP_Summary-29"/>
      <sheetName val="M_118"/>
      <sheetName val="TYPE-B_평균H8"/>
      <sheetName val="PIPE_(SG)-발수8"/>
      <sheetName val="ANA&amp;DESIGN&amp;REINF__8"/>
      <sheetName val="PRIMARY_LOAD8"/>
      <sheetName val="EXT_CHECK8"/>
      <sheetName val="OIL_SYST_DATA_SHTS8"/>
      <sheetName val="할증_8"/>
      <sheetName val="Loop_Type8"/>
      <sheetName val="Resource_table8"/>
      <sheetName val="공사비_분석표8"/>
      <sheetName val="간접비_총괄표8"/>
      <sheetName val="REINF_8"/>
      <sheetName val="Invoice_(Summary)8"/>
      <sheetName val="Invoice_(IBL)8"/>
      <sheetName val="Invoice_(OBL)8"/>
      <sheetName val="Food_court_8"/>
      <sheetName val="97_사업추정(WEKI)8"/>
      <sheetName val="노원열병합__건축공사기성내역서8"/>
      <sheetName val="BACK_DATA8"/>
      <sheetName val="Rate_Analysis6"/>
      <sheetName val="3_Breakdown_Direct_Instrument6"/>
      <sheetName val="Inside_building_Summary6"/>
      <sheetName val="L_V_Separator6"/>
      <sheetName val="_TDIBM1_X೺6"/>
      <sheetName val="Vertical_FDN-126"/>
      <sheetName val="Pump_FDN-16"/>
      <sheetName val="Horizontal_Vessel_FDN-16"/>
      <sheetName val="NO_3_PTA_PLANT_SD_COST6"/>
      <sheetName val="STA_&amp;_SEC6"/>
      <sheetName val="_TDIBM1_X೺_x005f_x0000_ഈ_x005f_x0000__x0006"/>
      <sheetName val="OCT_FDN6"/>
      <sheetName val="Valve_List_(Priced)6"/>
      <sheetName val="Tbl_1y_46"/>
      <sheetName val="Flaer_Area6"/>
      <sheetName val="[TDIBM1_X೺6"/>
      <sheetName val="Resource_summary6"/>
      <sheetName val="Break_Down6"/>
      <sheetName val="Overall_Status6"/>
      <sheetName val="Inert_Balls6"/>
      <sheetName val="Kredi_Risk_Alt_Grup6"/>
      <sheetName val="Ana_Gruplar6"/>
      <sheetName val="Attachment_16"/>
      <sheetName val="Ex_Rate6"/>
      <sheetName val="[TDIBM1_X೺_x005f_x0000_ഈ_x005f_x0000__x0006"/>
      <sheetName val="B_5_Control_Valve6"/>
      <sheetName val="CDU_(성창)_Master6"/>
      <sheetName val="_TDIBM1_X೺_x005f_x005f_x005f_x0000_ഈ_x005f6"/>
      <sheetName val="A(Rev_3)6"/>
      <sheetName val="_5"/>
      <sheetName val="해외_연수비용_계산-삭제6"/>
      <sheetName val="해외_기술훈련비_(합계)6"/>
      <sheetName val="토목_Utility_Schedule_(2)5"/>
      <sheetName val="Eng_Hrs_(HO)5"/>
      <sheetName val="현장관리비_산출내역5"/>
      <sheetName val="Currency_&amp;_Other_Cost5"/>
      <sheetName val="_Sum5"/>
      <sheetName val="spc_배관견적5"/>
      <sheetName val="드럼확인_배출5"/>
      <sheetName val="JB_명판인쇄5"/>
      <sheetName val="덕트뱅크_(2)5"/>
      <sheetName val="플링_갑지5"/>
      <sheetName val="JB_명판5"/>
      <sheetName val="드럼_확인용5"/>
      <sheetName val="01_09_CODE5"/>
      <sheetName val="00-Summary_Information-ABB4"/>
      <sheetName val="_TDIBM1_X೺_x005f_x0000_ഈ_5"/>
      <sheetName val="_TDIBM1_X೺_x005f_x005f_x05"/>
      <sheetName val="2-1-1)_Zone_&amp;_Margin4"/>
      <sheetName val="[TDIBM1_X೺_x005f_x005f_x005f_x0000_ഈ_x005f4"/>
      <sheetName val="_TDIBM1_X೺_x005f_x005f_x005f_x005f_x005f_x005f_x4"/>
      <sheetName val="6PILE__(돌출)4"/>
      <sheetName val="Instrument_구분_체계4"/>
      <sheetName val="CAT_14"/>
      <sheetName val="Table-Dont_Delete4"/>
      <sheetName val="SPT_vs_PHI4"/>
      <sheetName val="개시대사_(2)4"/>
      <sheetName val="입찰내역_발주처_양식5"/>
      <sheetName val="SCH_B4"/>
      <sheetName val="UNIT_34"/>
      <sheetName val="Plan_Early_Date4"/>
      <sheetName val="_WWT_설비_Remote_IO_추가건_(2013_024"/>
      <sheetName val="e-GAP_Summary4"/>
      <sheetName val="Submission_-_Price_Summary4"/>
      <sheetName val="Subb-Manpower_&amp;_Equiptment_Pla4"/>
      <sheetName val="Price_Summary_REF4"/>
      <sheetName val="Optional_Working4"/>
      <sheetName val="Equip_Cost4"/>
      <sheetName val="E_&amp;_I_Rates4"/>
      <sheetName val="E&amp;I_CC4"/>
      <sheetName val="PPT_Input4"/>
      <sheetName val="Org_Chart4"/>
      <sheetName val="Indirect_MP4"/>
      <sheetName val="Direct_MP4"/>
      <sheetName val="Manpower_cost4"/>
      <sheetName val="INNER_TANK4"/>
      <sheetName val="Codes,___4"/>
      <sheetName val="INNER_TANK_SEISMIC4"/>
      <sheetName val="Utility_and_Fire_flange4"/>
      <sheetName val="bldg_list4"/>
      <sheetName val="Chiet_tinh_dz354"/>
      <sheetName val="3_공통공사대비4"/>
      <sheetName val="_TDIBM1_X೺_x04"/>
      <sheetName val="2__전력간선공사4"/>
      <sheetName val="Addendum_No_1_BILL_24"/>
      <sheetName val="[TDIBM1_X೺?ഈ?????G_MH_CAL4"/>
      <sheetName val="_TDIBM1_X೺?ഈ?????G_MH_CAL4"/>
      <sheetName val="갑지_1회4"/>
      <sheetName val="18_074"/>
      <sheetName val="갑지_2회4"/>
      <sheetName val="18_084"/>
      <sheetName val="갑지_3회4"/>
      <sheetName val="18_094"/>
      <sheetName val="갑지_4회4"/>
      <sheetName val="18_104"/>
      <sheetName val="갑지_5회4"/>
      <sheetName val="18_114"/>
      <sheetName val="갑지_6회4"/>
      <sheetName val="18_124"/>
      <sheetName val="갑지_7회4"/>
      <sheetName val="19_014"/>
      <sheetName val="갑지_8회4"/>
      <sheetName val="19_024"/>
      <sheetName val="갑지_9회4"/>
      <sheetName val="표지_9회4"/>
      <sheetName val="19_034"/>
      <sheetName val="갑지_10회4"/>
      <sheetName val="표지_10회4"/>
      <sheetName val="19_044"/>
      <sheetName val="갑지_11회4"/>
      <sheetName val="표지_11회4"/>
      <sheetName val="19_054"/>
      <sheetName val="갑지_12회4"/>
      <sheetName val="표지_12회4"/>
      <sheetName val="19_064"/>
      <sheetName val="갑지_13회4"/>
      <sheetName val="표지_13회4"/>
      <sheetName val="19_074"/>
      <sheetName val="갑지_14회4"/>
      <sheetName val="표지_14회4"/>
      <sheetName val="19_084"/>
      <sheetName val="갑지_15회4"/>
      <sheetName val="표지_15회4"/>
      <sheetName val="19_094"/>
      <sheetName val="D_5243-ARAMCO4"/>
      <sheetName val="D-4801_OXY4"/>
      <sheetName val="Capa_Ref_GMP3"/>
      <sheetName val="WEMS_export3"/>
      <sheetName val="입출재고현황_(2)3"/>
      <sheetName val="VS_P-Q3"/>
      <sheetName val="지분별_기성금3"/>
      <sheetName val="도배_및_수장3"/>
      <sheetName val="타설현황_및_이중관(03월)3"/>
      <sheetName val="급수급탕,난방_입상배관(03월)3"/>
      <sheetName val="급수급탕,난방_입상배관_보온(03월)3"/>
      <sheetName val="급수_입상배관_열선(03월)3"/>
      <sheetName val="슬라이딩형수납장_도어(03월)3"/>
      <sheetName val="세대발코니_입상(03월)3"/>
      <sheetName val="화장실_배기휀설치(03월)3"/>
      <sheetName val="화장실_방화댐퍼(03월)3"/>
      <sheetName val="주방_방화댐퍼(03월)3"/>
      <sheetName val="주방_정풍량_댐퍼_및_덕트_설치(03월)3"/>
      <sheetName val="_난방코일(03월)3"/>
      <sheetName val="소방입상배관_열선(03월)3"/>
      <sheetName val="상_하부후레임(03월)3"/>
      <sheetName val="건식PD_전면판(03월)3"/>
      <sheetName val="Currency_Rate3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October_20203"/>
      <sheetName val="IRR_sponsor3"/>
      <sheetName val="EQ_USED_(CORRECTED)3"/>
      <sheetName val="Page_23"/>
      <sheetName val="4__Fuel_Gas_Consumption(2010293"/>
      <sheetName val="CT_Thang_Mo3"/>
      <sheetName val="CT__PL3"/>
      <sheetName val="Equipment_Cost3"/>
      <sheetName val="PAD_TR보호대기초3"/>
      <sheetName val="EQUIP_LIST3"/>
      <sheetName val="VAT_TU_DIEN3"/>
      <sheetName val="ANAL_BOW3"/>
      <sheetName val="Malaysia_incl__RET3"/>
      <sheetName val="Tag_Equip_Value3"/>
      <sheetName val="9__콘덴서3"/>
      <sheetName val="Hauptdaten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график финансирования"/>
      <sheetName val="4-3 보온 기본물량집계"/>
      <sheetName val="물량"/>
      <sheetName val="WEIGHT LIST"/>
      <sheetName val="POL6차-PIPING"/>
      <sheetName val="산#2-1 (2)"/>
      <sheetName val="산#3-1"/>
      <sheetName val="98수문일위"/>
      <sheetName val="CPMS"/>
      <sheetName val="ASCEandUBC"/>
      <sheetName val="6호기"/>
      <sheetName val="계약변경요청서"/>
      <sheetName val="1062-X방향 "/>
      <sheetName val="FAB별"/>
      <sheetName val="rencst0599"/>
      <sheetName val="E&amp;D"/>
      <sheetName val="UR"/>
      <sheetName val="Unit Rate"/>
      <sheetName val="401_1"/>
      <sheetName val="401_2"/>
      <sheetName val="401_3"/>
      <sheetName val="401_4"/>
      <sheetName val="401_5"/>
      <sheetName val="401_7"/>
      <sheetName val="Cover Sheet"/>
      <sheetName val="Notes"/>
      <sheetName val="Rebar"/>
      <sheetName val="co-no.2"/>
      <sheetName val="DPKlah"/>
      <sheetName val="Position (to hide)"/>
      <sheetName val="wall"/>
      <sheetName val="Front"/>
      <sheetName val="7_2세부_부하계_x0000__x0000__x0005_"/>
      <sheetName val="_TDIBM1_X೺_x0000_ഈ_x0000__x0001"/>
      <sheetName val="[TDIBM1_X೺_x0000_ഈ_x0000__x0001"/>
      <sheetName val="_TDIBM1_X೺_x005f_x0000_ഈ_x005f1"/>
      <sheetName val="[TDIBM1_X೺_x0000_ഈ_x0000__x0002"/>
      <sheetName val="_TDIBM1_X೺_x0000_ഈ_x0000__x0002"/>
      <sheetName val="_TDIBM1_X೺_x005f_x0000_ഈ_x005f2"/>
      <sheetName val="_TDIBM1_X೺_x0000_ഈ_x0000__x0003"/>
      <sheetName val="[TDIBM1_X೺_x0000_ഈ_x0000__x0003"/>
      <sheetName val="_TDIBM1_X೺_x005f_x0000_ഈ_x005f3"/>
      <sheetName val="_TDIBM1_X೺_x0000_ഈ_2"/>
      <sheetName val="[TDIBM1_X೺_x005f_x0000_ഈ_x005f1"/>
      <sheetName val="_TDIBM1_X೺_x005f_x005f_x1"/>
      <sheetName val="[TDIBM1_X೺_x005f_x0000_ഈ_1"/>
      <sheetName val="분전반 견적서"/>
      <sheetName val="분전반 품셈"/>
      <sheetName val="조명시설"/>
      <sheetName val="부하계산서"/>
      <sheetName val="5.공종별예산내역서"/>
      <sheetName val="Graph"/>
      <sheetName val="Basis"/>
      <sheetName val="Z- GENERAL PRICE SUMMARY"/>
      <sheetName val="WITHOUT C&amp;I PROFIT (3)"/>
      <sheetName val="GRSummary"/>
      <sheetName val="alat"/>
      <sheetName val="점검구"/>
      <sheetName val="서랍"/>
      <sheetName val="수납장"/>
      <sheetName val="산출근거"/>
      <sheetName val="Arch"/>
      <sheetName val="Eq__Mobil_x0000__x0000__x0000__x0000__x0000__x0000_Ā_x0000_"/>
      <sheetName val="WMhrs"/>
      <sheetName val="Dsgn Reinforced Conc"/>
      <sheetName val="SOL区分"/>
      <sheetName val="MWBSpread"/>
      <sheetName val="INST"/>
      <sheetName val="Index"/>
      <sheetName val="C3.1"/>
      <sheetName val=" eng job"/>
      <sheetName val="CPX D(Q)1"/>
      <sheetName val="Page 1"/>
      <sheetName val="Active+Inactive"/>
      <sheetName val="Parameter"/>
      <sheetName val="TimeCalculator-NightShift"/>
      <sheetName val="PHASE I"/>
      <sheetName val="S-Curve (Hull)"/>
      <sheetName val="S-Curve (Topside)"/>
      <sheetName val="UP_an"/>
      <sheetName val="Embank"/>
      <sheetName val="BAG-III"/>
      <sheetName val="Analisa Harga Satuan"/>
      <sheetName val="Hit Vol Str Jambi"/>
      <sheetName val="Rekapitulasi"/>
      <sheetName val="Perhit.Alat"/>
      <sheetName val="PEF25_0I_mnhr"/>
      <sheetName val="Sat Bah &amp; Up"/>
      <sheetName val="4-Basic Price"/>
      <sheetName val="Rek.An"/>
      <sheetName val="5-ALAT(1)"/>
      <sheetName val="BoQ(APBN)"/>
      <sheetName val="Basic Price"/>
      <sheetName val="DKH"/>
      <sheetName val="Hrg.Sat"/>
      <sheetName val="Earthwork"/>
      <sheetName val="USGC"/>
      <sheetName val="_TDIBM1_X೺_x0000_ഈ_x005f1"/>
      <sheetName val="電源計画"/>
      <sheetName val="䐀꽗"/>
      <sheetName val="5"/>
      <sheetName val="30"/>
      <sheetName val="13"/>
      <sheetName val="28"/>
      <sheetName val="18"/>
      <sheetName val="16сд"/>
      <sheetName val="14"/>
      <sheetName val="㐀"/>
      <sheetName val="전긱"/>
      <sheetName val="Am. II OH&amp;P ICC"/>
      <sheetName val="Am III. Unit Prices Civil"/>
      <sheetName val="Am III.C Hourly Rates"/>
      <sheetName val="Datos"/>
      <sheetName val="OBRA_CIVIL"/>
      <sheetName val="Sheet376"/>
      <sheetName val="7_2세부_부하계"/>
      <sheetName val="Eq__Mobil"/>
      <sheetName val="공사원가"/>
    </sheetNames>
    <sheetDataSet>
      <sheetData sheetId="0"/>
      <sheetData sheetId="1"/>
      <sheetData sheetId="2"/>
      <sheetData sheetId="3">
        <row r="8">
          <cell r="E8">
            <v>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>
        <row r="8">
          <cell r="E8">
            <v>100</v>
          </cell>
        </row>
      </sheetData>
      <sheetData sheetId="245">
        <row r="8">
          <cell r="E8">
            <v>100</v>
          </cell>
        </row>
      </sheetData>
      <sheetData sheetId="246">
        <row r="8">
          <cell r="E8">
            <v>100</v>
          </cell>
        </row>
      </sheetData>
      <sheetData sheetId="247">
        <row r="8">
          <cell r="E8">
            <v>100</v>
          </cell>
        </row>
      </sheetData>
      <sheetData sheetId="248">
        <row r="8">
          <cell r="E8">
            <v>100</v>
          </cell>
        </row>
      </sheetData>
      <sheetData sheetId="249">
        <row r="8">
          <cell r="E8">
            <v>100</v>
          </cell>
        </row>
      </sheetData>
      <sheetData sheetId="250">
        <row r="8">
          <cell r="E8">
            <v>100</v>
          </cell>
        </row>
      </sheetData>
      <sheetData sheetId="251">
        <row r="8">
          <cell r="E8">
            <v>100</v>
          </cell>
        </row>
      </sheetData>
      <sheetData sheetId="252">
        <row r="8">
          <cell r="E8">
            <v>100</v>
          </cell>
        </row>
      </sheetData>
      <sheetData sheetId="253">
        <row r="8">
          <cell r="E8">
            <v>100</v>
          </cell>
        </row>
      </sheetData>
      <sheetData sheetId="254">
        <row r="8">
          <cell r="E8">
            <v>100</v>
          </cell>
        </row>
      </sheetData>
      <sheetData sheetId="255">
        <row r="8">
          <cell r="E8">
            <v>100</v>
          </cell>
        </row>
      </sheetData>
      <sheetData sheetId="256">
        <row r="8">
          <cell r="E8">
            <v>100</v>
          </cell>
        </row>
      </sheetData>
      <sheetData sheetId="257">
        <row r="8">
          <cell r="E8">
            <v>100</v>
          </cell>
        </row>
      </sheetData>
      <sheetData sheetId="258">
        <row r="8">
          <cell r="E8">
            <v>100</v>
          </cell>
        </row>
      </sheetData>
      <sheetData sheetId="259">
        <row r="8">
          <cell r="E8">
            <v>100</v>
          </cell>
        </row>
      </sheetData>
      <sheetData sheetId="260">
        <row r="8">
          <cell r="E8">
            <v>100</v>
          </cell>
        </row>
      </sheetData>
      <sheetData sheetId="261">
        <row r="8">
          <cell r="E8">
            <v>100</v>
          </cell>
        </row>
      </sheetData>
      <sheetData sheetId="262">
        <row r="8">
          <cell r="E8">
            <v>100</v>
          </cell>
        </row>
      </sheetData>
      <sheetData sheetId="263">
        <row r="8">
          <cell r="E8">
            <v>100</v>
          </cell>
        </row>
      </sheetData>
      <sheetData sheetId="264">
        <row r="8">
          <cell r="E8">
            <v>100</v>
          </cell>
        </row>
      </sheetData>
      <sheetData sheetId="265">
        <row r="8">
          <cell r="E8">
            <v>100</v>
          </cell>
        </row>
      </sheetData>
      <sheetData sheetId="266">
        <row r="8">
          <cell r="E8">
            <v>100</v>
          </cell>
        </row>
      </sheetData>
      <sheetData sheetId="267">
        <row r="8">
          <cell r="E8">
            <v>100</v>
          </cell>
        </row>
      </sheetData>
      <sheetData sheetId="268">
        <row r="8">
          <cell r="E8">
            <v>100</v>
          </cell>
        </row>
      </sheetData>
      <sheetData sheetId="269">
        <row r="8">
          <cell r="E8">
            <v>100</v>
          </cell>
        </row>
      </sheetData>
      <sheetData sheetId="270">
        <row r="8">
          <cell r="E8">
            <v>100</v>
          </cell>
        </row>
      </sheetData>
      <sheetData sheetId="271">
        <row r="8">
          <cell r="E8">
            <v>100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8">
          <cell r="E8">
            <v>100</v>
          </cell>
        </row>
      </sheetData>
      <sheetData sheetId="282"/>
      <sheetData sheetId="283">
        <row r="8">
          <cell r="E8">
            <v>100</v>
          </cell>
        </row>
      </sheetData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8">
          <cell r="E8">
            <v>100</v>
          </cell>
        </row>
      </sheetData>
      <sheetData sheetId="308">
        <row r="8">
          <cell r="E8">
            <v>100</v>
          </cell>
        </row>
      </sheetData>
      <sheetData sheetId="309">
        <row r="8">
          <cell r="E8">
            <v>100</v>
          </cell>
        </row>
      </sheetData>
      <sheetData sheetId="310">
        <row r="8">
          <cell r="E8">
            <v>100</v>
          </cell>
        </row>
      </sheetData>
      <sheetData sheetId="311">
        <row r="8">
          <cell r="E8">
            <v>100</v>
          </cell>
        </row>
      </sheetData>
      <sheetData sheetId="312">
        <row r="8">
          <cell r="E8">
            <v>100</v>
          </cell>
        </row>
      </sheetData>
      <sheetData sheetId="313">
        <row r="8">
          <cell r="E8">
            <v>100</v>
          </cell>
        </row>
      </sheetData>
      <sheetData sheetId="314">
        <row r="8">
          <cell r="E8">
            <v>100</v>
          </cell>
        </row>
      </sheetData>
      <sheetData sheetId="315">
        <row r="8">
          <cell r="E8">
            <v>100</v>
          </cell>
        </row>
      </sheetData>
      <sheetData sheetId="316">
        <row r="8">
          <cell r="E8">
            <v>100</v>
          </cell>
        </row>
      </sheetData>
      <sheetData sheetId="317">
        <row r="8">
          <cell r="E8">
            <v>100</v>
          </cell>
        </row>
      </sheetData>
      <sheetData sheetId="318">
        <row r="8">
          <cell r="E8">
            <v>100</v>
          </cell>
        </row>
      </sheetData>
      <sheetData sheetId="319">
        <row r="8">
          <cell r="E8">
            <v>100</v>
          </cell>
        </row>
      </sheetData>
      <sheetData sheetId="320">
        <row r="8">
          <cell r="E8">
            <v>100</v>
          </cell>
        </row>
      </sheetData>
      <sheetData sheetId="321">
        <row r="8">
          <cell r="E8">
            <v>100</v>
          </cell>
        </row>
      </sheetData>
      <sheetData sheetId="322">
        <row r="8">
          <cell r="E8">
            <v>100</v>
          </cell>
        </row>
      </sheetData>
      <sheetData sheetId="323">
        <row r="8">
          <cell r="E8">
            <v>100</v>
          </cell>
        </row>
      </sheetData>
      <sheetData sheetId="324">
        <row r="8">
          <cell r="E8">
            <v>100</v>
          </cell>
        </row>
      </sheetData>
      <sheetData sheetId="325" refreshError="1"/>
      <sheetData sheetId="326" refreshError="1"/>
      <sheetData sheetId="327">
        <row r="8">
          <cell r="E8">
            <v>100</v>
          </cell>
        </row>
      </sheetData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8">
          <cell r="E8">
            <v>100</v>
          </cell>
        </row>
      </sheetData>
      <sheetData sheetId="364">
        <row r="8">
          <cell r="E8">
            <v>100</v>
          </cell>
        </row>
      </sheetData>
      <sheetData sheetId="365" refreshError="1"/>
      <sheetData sheetId="366" refreshError="1"/>
      <sheetData sheetId="367">
        <row r="8">
          <cell r="E8">
            <v>100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>
        <row r="8">
          <cell r="E8">
            <v>100</v>
          </cell>
        </row>
      </sheetData>
      <sheetData sheetId="413">
        <row r="8">
          <cell r="E8">
            <v>100</v>
          </cell>
        </row>
      </sheetData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8">
          <cell r="E8">
            <v>100</v>
          </cell>
        </row>
      </sheetData>
      <sheetData sheetId="421">
        <row r="8">
          <cell r="E8">
            <v>100</v>
          </cell>
        </row>
      </sheetData>
      <sheetData sheetId="422">
        <row r="8">
          <cell r="E8">
            <v>100</v>
          </cell>
        </row>
      </sheetData>
      <sheetData sheetId="423">
        <row r="8">
          <cell r="E8">
            <v>100</v>
          </cell>
        </row>
      </sheetData>
      <sheetData sheetId="424">
        <row r="8">
          <cell r="E8">
            <v>100</v>
          </cell>
        </row>
      </sheetData>
      <sheetData sheetId="425">
        <row r="8">
          <cell r="E8">
            <v>100</v>
          </cell>
        </row>
      </sheetData>
      <sheetData sheetId="426">
        <row r="8">
          <cell r="E8">
            <v>100</v>
          </cell>
        </row>
      </sheetData>
      <sheetData sheetId="427">
        <row r="8">
          <cell r="E8">
            <v>100</v>
          </cell>
        </row>
      </sheetData>
      <sheetData sheetId="428">
        <row r="8">
          <cell r="E8">
            <v>100</v>
          </cell>
        </row>
      </sheetData>
      <sheetData sheetId="429">
        <row r="8">
          <cell r="E8">
            <v>100</v>
          </cell>
        </row>
      </sheetData>
      <sheetData sheetId="430">
        <row r="8">
          <cell r="E8">
            <v>100</v>
          </cell>
        </row>
      </sheetData>
      <sheetData sheetId="431">
        <row r="8">
          <cell r="E8">
            <v>100</v>
          </cell>
        </row>
      </sheetData>
      <sheetData sheetId="432">
        <row r="8">
          <cell r="E8">
            <v>100</v>
          </cell>
        </row>
      </sheetData>
      <sheetData sheetId="433">
        <row r="8">
          <cell r="E8">
            <v>100</v>
          </cell>
        </row>
      </sheetData>
      <sheetData sheetId="434">
        <row r="8">
          <cell r="E8">
            <v>100</v>
          </cell>
        </row>
      </sheetData>
      <sheetData sheetId="435">
        <row r="8">
          <cell r="E8">
            <v>100</v>
          </cell>
        </row>
      </sheetData>
      <sheetData sheetId="436">
        <row r="8">
          <cell r="E8">
            <v>100</v>
          </cell>
        </row>
      </sheetData>
      <sheetData sheetId="437">
        <row r="8">
          <cell r="E8">
            <v>100</v>
          </cell>
        </row>
      </sheetData>
      <sheetData sheetId="438">
        <row r="8">
          <cell r="E8">
            <v>100</v>
          </cell>
        </row>
      </sheetData>
      <sheetData sheetId="439">
        <row r="8">
          <cell r="E8">
            <v>100</v>
          </cell>
        </row>
      </sheetData>
      <sheetData sheetId="440">
        <row r="8">
          <cell r="E8">
            <v>100</v>
          </cell>
        </row>
      </sheetData>
      <sheetData sheetId="441">
        <row r="8">
          <cell r="E8">
            <v>100</v>
          </cell>
        </row>
      </sheetData>
      <sheetData sheetId="442">
        <row r="8">
          <cell r="E8">
            <v>100</v>
          </cell>
        </row>
      </sheetData>
      <sheetData sheetId="443">
        <row r="8">
          <cell r="E8">
            <v>100</v>
          </cell>
        </row>
      </sheetData>
      <sheetData sheetId="444">
        <row r="8">
          <cell r="E8">
            <v>100</v>
          </cell>
        </row>
      </sheetData>
      <sheetData sheetId="445">
        <row r="8">
          <cell r="E8">
            <v>100</v>
          </cell>
        </row>
      </sheetData>
      <sheetData sheetId="446">
        <row r="8">
          <cell r="E8">
            <v>100</v>
          </cell>
        </row>
      </sheetData>
      <sheetData sheetId="447">
        <row r="8">
          <cell r="E8">
            <v>100</v>
          </cell>
        </row>
      </sheetData>
      <sheetData sheetId="448">
        <row r="8">
          <cell r="E8">
            <v>100</v>
          </cell>
        </row>
      </sheetData>
      <sheetData sheetId="449">
        <row r="8">
          <cell r="E8">
            <v>100</v>
          </cell>
        </row>
      </sheetData>
      <sheetData sheetId="450">
        <row r="8">
          <cell r="E8">
            <v>100</v>
          </cell>
        </row>
      </sheetData>
      <sheetData sheetId="451">
        <row r="8">
          <cell r="E8">
            <v>100</v>
          </cell>
        </row>
      </sheetData>
      <sheetData sheetId="452">
        <row r="8">
          <cell r="E8">
            <v>100</v>
          </cell>
        </row>
      </sheetData>
      <sheetData sheetId="453">
        <row r="8">
          <cell r="E8">
            <v>100</v>
          </cell>
        </row>
      </sheetData>
      <sheetData sheetId="454">
        <row r="8">
          <cell r="E8">
            <v>100</v>
          </cell>
        </row>
      </sheetData>
      <sheetData sheetId="455">
        <row r="8">
          <cell r="E8">
            <v>100</v>
          </cell>
        </row>
      </sheetData>
      <sheetData sheetId="456">
        <row r="8">
          <cell r="E8">
            <v>100</v>
          </cell>
        </row>
      </sheetData>
      <sheetData sheetId="457">
        <row r="8">
          <cell r="E8">
            <v>100</v>
          </cell>
        </row>
      </sheetData>
      <sheetData sheetId="458">
        <row r="8">
          <cell r="E8">
            <v>100</v>
          </cell>
        </row>
      </sheetData>
      <sheetData sheetId="459">
        <row r="8">
          <cell r="E8">
            <v>100</v>
          </cell>
        </row>
      </sheetData>
      <sheetData sheetId="460">
        <row r="8">
          <cell r="E8">
            <v>100</v>
          </cell>
        </row>
      </sheetData>
      <sheetData sheetId="461">
        <row r="8">
          <cell r="E8">
            <v>100</v>
          </cell>
        </row>
      </sheetData>
      <sheetData sheetId="462">
        <row r="8">
          <cell r="E8">
            <v>100</v>
          </cell>
        </row>
      </sheetData>
      <sheetData sheetId="463">
        <row r="8">
          <cell r="E8">
            <v>100</v>
          </cell>
        </row>
      </sheetData>
      <sheetData sheetId="464">
        <row r="8">
          <cell r="E8">
            <v>100</v>
          </cell>
        </row>
      </sheetData>
      <sheetData sheetId="465">
        <row r="8">
          <cell r="E8">
            <v>100</v>
          </cell>
        </row>
      </sheetData>
      <sheetData sheetId="466">
        <row r="8">
          <cell r="E8">
            <v>100</v>
          </cell>
        </row>
      </sheetData>
      <sheetData sheetId="467">
        <row r="8">
          <cell r="E8">
            <v>100</v>
          </cell>
        </row>
      </sheetData>
      <sheetData sheetId="468">
        <row r="8">
          <cell r="E8">
            <v>100</v>
          </cell>
        </row>
      </sheetData>
      <sheetData sheetId="469">
        <row r="8">
          <cell r="E8">
            <v>100</v>
          </cell>
        </row>
      </sheetData>
      <sheetData sheetId="470">
        <row r="8">
          <cell r="E8">
            <v>100</v>
          </cell>
        </row>
      </sheetData>
      <sheetData sheetId="471">
        <row r="8">
          <cell r="E8">
            <v>100</v>
          </cell>
        </row>
      </sheetData>
      <sheetData sheetId="472">
        <row r="8">
          <cell r="E8">
            <v>100</v>
          </cell>
        </row>
      </sheetData>
      <sheetData sheetId="473">
        <row r="8">
          <cell r="E8">
            <v>100</v>
          </cell>
        </row>
      </sheetData>
      <sheetData sheetId="474">
        <row r="8">
          <cell r="E8">
            <v>100</v>
          </cell>
        </row>
      </sheetData>
      <sheetData sheetId="475">
        <row r="8">
          <cell r="E8">
            <v>100</v>
          </cell>
        </row>
      </sheetData>
      <sheetData sheetId="476">
        <row r="8">
          <cell r="E8">
            <v>100</v>
          </cell>
        </row>
      </sheetData>
      <sheetData sheetId="477">
        <row r="8">
          <cell r="E8">
            <v>100</v>
          </cell>
        </row>
      </sheetData>
      <sheetData sheetId="478">
        <row r="8">
          <cell r="E8">
            <v>100</v>
          </cell>
        </row>
      </sheetData>
      <sheetData sheetId="479">
        <row r="8">
          <cell r="E8">
            <v>100</v>
          </cell>
        </row>
      </sheetData>
      <sheetData sheetId="480">
        <row r="8">
          <cell r="E8">
            <v>100</v>
          </cell>
        </row>
      </sheetData>
      <sheetData sheetId="481">
        <row r="8">
          <cell r="E8">
            <v>100</v>
          </cell>
        </row>
      </sheetData>
      <sheetData sheetId="482">
        <row r="8">
          <cell r="E8">
            <v>100</v>
          </cell>
        </row>
      </sheetData>
      <sheetData sheetId="483">
        <row r="8">
          <cell r="E8">
            <v>100</v>
          </cell>
        </row>
      </sheetData>
      <sheetData sheetId="484">
        <row r="8">
          <cell r="E8">
            <v>100</v>
          </cell>
        </row>
      </sheetData>
      <sheetData sheetId="485">
        <row r="8">
          <cell r="E8">
            <v>100</v>
          </cell>
        </row>
      </sheetData>
      <sheetData sheetId="486">
        <row r="8">
          <cell r="E8">
            <v>100</v>
          </cell>
        </row>
      </sheetData>
      <sheetData sheetId="487">
        <row r="8">
          <cell r="E8">
            <v>100</v>
          </cell>
        </row>
      </sheetData>
      <sheetData sheetId="488">
        <row r="8">
          <cell r="E8">
            <v>100</v>
          </cell>
        </row>
      </sheetData>
      <sheetData sheetId="489">
        <row r="8">
          <cell r="E8">
            <v>100</v>
          </cell>
        </row>
      </sheetData>
      <sheetData sheetId="490">
        <row r="8">
          <cell r="E8">
            <v>100</v>
          </cell>
        </row>
      </sheetData>
      <sheetData sheetId="491">
        <row r="8">
          <cell r="E8">
            <v>100</v>
          </cell>
        </row>
      </sheetData>
      <sheetData sheetId="492">
        <row r="8">
          <cell r="E8">
            <v>100</v>
          </cell>
        </row>
      </sheetData>
      <sheetData sheetId="493">
        <row r="8">
          <cell r="E8">
            <v>100</v>
          </cell>
        </row>
      </sheetData>
      <sheetData sheetId="494" refreshError="1"/>
      <sheetData sheetId="495" refreshError="1"/>
      <sheetData sheetId="496">
        <row r="8">
          <cell r="E8">
            <v>100</v>
          </cell>
        </row>
      </sheetData>
      <sheetData sheetId="497">
        <row r="8">
          <cell r="E8">
            <v>100</v>
          </cell>
        </row>
      </sheetData>
      <sheetData sheetId="498">
        <row r="8">
          <cell r="E8">
            <v>100</v>
          </cell>
        </row>
      </sheetData>
      <sheetData sheetId="499">
        <row r="8">
          <cell r="E8">
            <v>100</v>
          </cell>
        </row>
      </sheetData>
      <sheetData sheetId="500">
        <row r="8">
          <cell r="E8">
            <v>100</v>
          </cell>
        </row>
      </sheetData>
      <sheetData sheetId="501">
        <row r="8">
          <cell r="E8">
            <v>100</v>
          </cell>
        </row>
      </sheetData>
      <sheetData sheetId="502">
        <row r="8">
          <cell r="E8">
            <v>100</v>
          </cell>
        </row>
      </sheetData>
      <sheetData sheetId="503">
        <row r="8">
          <cell r="E8">
            <v>100</v>
          </cell>
        </row>
      </sheetData>
      <sheetData sheetId="504">
        <row r="8">
          <cell r="E8">
            <v>100</v>
          </cell>
        </row>
      </sheetData>
      <sheetData sheetId="505">
        <row r="8">
          <cell r="E8">
            <v>100</v>
          </cell>
        </row>
      </sheetData>
      <sheetData sheetId="506">
        <row r="8">
          <cell r="E8">
            <v>100</v>
          </cell>
        </row>
      </sheetData>
      <sheetData sheetId="507">
        <row r="8">
          <cell r="E8">
            <v>100</v>
          </cell>
        </row>
      </sheetData>
      <sheetData sheetId="508">
        <row r="8">
          <cell r="E8">
            <v>100</v>
          </cell>
        </row>
      </sheetData>
      <sheetData sheetId="509">
        <row r="8">
          <cell r="E8">
            <v>100</v>
          </cell>
        </row>
      </sheetData>
      <sheetData sheetId="510">
        <row r="8">
          <cell r="E8">
            <v>100</v>
          </cell>
        </row>
      </sheetData>
      <sheetData sheetId="511">
        <row r="8">
          <cell r="E8">
            <v>100</v>
          </cell>
        </row>
      </sheetData>
      <sheetData sheetId="512">
        <row r="8">
          <cell r="E8">
            <v>100</v>
          </cell>
        </row>
      </sheetData>
      <sheetData sheetId="513">
        <row r="8">
          <cell r="E8">
            <v>100</v>
          </cell>
        </row>
      </sheetData>
      <sheetData sheetId="514">
        <row r="8">
          <cell r="E8">
            <v>100</v>
          </cell>
        </row>
      </sheetData>
      <sheetData sheetId="515">
        <row r="8">
          <cell r="E8">
            <v>100</v>
          </cell>
        </row>
      </sheetData>
      <sheetData sheetId="516">
        <row r="8">
          <cell r="E8">
            <v>100</v>
          </cell>
        </row>
      </sheetData>
      <sheetData sheetId="517">
        <row r="8">
          <cell r="E8">
            <v>100</v>
          </cell>
        </row>
      </sheetData>
      <sheetData sheetId="518">
        <row r="8">
          <cell r="E8">
            <v>100</v>
          </cell>
        </row>
      </sheetData>
      <sheetData sheetId="519">
        <row r="8">
          <cell r="E8">
            <v>100</v>
          </cell>
        </row>
      </sheetData>
      <sheetData sheetId="520">
        <row r="8">
          <cell r="E8">
            <v>100</v>
          </cell>
        </row>
      </sheetData>
      <sheetData sheetId="521">
        <row r="8">
          <cell r="E8">
            <v>100</v>
          </cell>
        </row>
      </sheetData>
      <sheetData sheetId="522">
        <row r="8">
          <cell r="E8">
            <v>100</v>
          </cell>
        </row>
      </sheetData>
      <sheetData sheetId="523">
        <row r="8">
          <cell r="E8">
            <v>100</v>
          </cell>
        </row>
      </sheetData>
      <sheetData sheetId="524">
        <row r="8">
          <cell r="E8">
            <v>100</v>
          </cell>
        </row>
      </sheetData>
      <sheetData sheetId="525">
        <row r="8">
          <cell r="E8">
            <v>100</v>
          </cell>
        </row>
      </sheetData>
      <sheetData sheetId="526">
        <row r="8">
          <cell r="E8">
            <v>100</v>
          </cell>
        </row>
      </sheetData>
      <sheetData sheetId="527">
        <row r="8">
          <cell r="E8">
            <v>100</v>
          </cell>
        </row>
      </sheetData>
      <sheetData sheetId="528">
        <row r="8">
          <cell r="E8">
            <v>100</v>
          </cell>
        </row>
      </sheetData>
      <sheetData sheetId="529">
        <row r="8">
          <cell r="E8">
            <v>100</v>
          </cell>
        </row>
      </sheetData>
      <sheetData sheetId="530">
        <row r="8">
          <cell r="E8">
            <v>100</v>
          </cell>
        </row>
      </sheetData>
      <sheetData sheetId="531">
        <row r="8">
          <cell r="E8">
            <v>100</v>
          </cell>
        </row>
      </sheetData>
      <sheetData sheetId="532">
        <row r="8">
          <cell r="E8">
            <v>100</v>
          </cell>
        </row>
      </sheetData>
      <sheetData sheetId="533">
        <row r="8">
          <cell r="E8">
            <v>100</v>
          </cell>
        </row>
      </sheetData>
      <sheetData sheetId="534">
        <row r="8">
          <cell r="E8">
            <v>100</v>
          </cell>
        </row>
      </sheetData>
      <sheetData sheetId="535">
        <row r="8">
          <cell r="E8">
            <v>100</v>
          </cell>
        </row>
      </sheetData>
      <sheetData sheetId="536">
        <row r="8">
          <cell r="E8">
            <v>100</v>
          </cell>
        </row>
      </sheetData>
      <sheetData sheetId="537">
        <row r="8">
          <cell r="E8">
            <v>100</v>
          </cell>
        </row>
      </sheetData>
      <sheetData sheetId="538">
        <row r="8">
          <cell r="E8">
            <v>100</v>
          </cell>
        </row>
      </sheetData>
      <sheetData sheetId="539">
        <row r="8">
          <cell r="E8">
            <v>100</v>
          </cell>
        </row>
      </sheetData>
      <sheetData sheetId="540" refreshError="1"/>
      <sheetData sheetId="541">
        <row r="8">
          <cell r="E8">
            <v>100</v>
          </cell>
        </row>
      </sheetData>
      <sheetData sheetId="542" refreshError="1"/>
      <sheetData sheetId="543">
        <row r="8">
          <cell r="E8">
            <v>100</v>
          </cell>
        </row>
      </sheetData>
      <sheetData sheetId="544">
        <row r="8">
          <cell r="E8">
            <v>100</v>
          </cell>
        </row>
      </sheetData>
      <sheetData sheetId="545">
        <row r="8">
          <cell r="E8">
            <v>100</v>
          </cell>
        </row>
      </sheetData>
      <sheetData sheetId="546">
        <row r="8">
          <cell r="E8">
            <v>100</v>
          </cell>
        </row>
      </sheetData>
      <sheetData sheetId="547">
        <row r="8">
          <cell r="E8">
            <v>100</v>
          </cell>
        </row>
      </sheetData>
      <sheetData sheetId="548">
        <row r="8">
          <cell r="E8">
            <v>100</v>
          </cell>
        </row>
      </sheetData>
      <sheetData sheetId="549">
        <row r="8">
          <cell r="E8">
            <v>100</v>
          </cell>
        </row>
      </sheetData>
      <sheetData sheetId="550">
        <row r="8">
          <cell r="E8">
            <v>100</v>
          </cell>
        </row>
      </sheetData>
      <sheetData sheetId="551">
        <row r="8">
          <cell r="E8">
            <v>100</v>
          </cell>
        </row>
      </sheetData>
      <sheetData sheetId="552">
        <row r="8">
          <cell r="E8">
            <v>100</v>
          </cell>
        </row>
      </sheetData>
      <sheetData sheetId="553">
        <row r="8">
          <cell r="E8">
            <v>100</v>
          </cell>
        </row>
      </sheetData>
      <sheetData sheetId="554">
        <row r="8">
          <cell r="E8">
            <v>100</v>
          </cell>
        </row>
      </sheetData>
      <sheetData sheetId="555">
        <row r="8">
          <cell r="E8">
            <v>100</v>
          </cell>
        </row>
      </sheetData>
      <sheetData sheetId="556">
        <row r="8">
          <cell r="E8">
            <v>100</v>
          </cell>
        </row>
      </sheetData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>
        <row r="8">
          <cell r="E8">
            <v>100</v>
          </cell>
        </row>
      </sheetData>
      <sheetData sheetId="571">
        <row r="8">
          <cell r="E8">
            <v>100</v>
          </cell>
        </row>
      </sheetData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>
        <row r="8">
          <cell r="E8">
            <v>100</v>
          </cell>
        </row>
      </sheetData>
      <sheetData sheetId="607">
        <row r="8">
          <cell r="E8">
            <v>100</v>
          </cell>
        </row>
      </sheetData>
      <sheetData sheetId="608">
        <row r="8">
          <cell r="E8">
            <v>100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8">
          <cell r="E8">
            <v>100</v>
          </cell>
        </row>
      </sheetData>
      <sheetData sheetId="623" refreshError="1"/>
      <sheetData sheetId="624">
        <row r="8">
          <cell r="E8">
            <v>100</v>
          </cell>
        </row>
      </sheetData>
      <sheetData sheetId="625" refreshError="1"/>
      <sheetData sheetId="626" refreshError="1"/>
      <sheetData sheetId="627">
        <row r="8">
          <cell r="E8">
            <v>100</v>
          </cell>
        </row>
      </sheetData>
      <sheetData sheetId="628" refreshError="1"/>
      <sheetData sheetId="629" refreshError="1"/>
      <sheetData sheetId="630" refreshError="1"/>
      <sheetData sheetId="631">
        <row r="8">
          <cell r="E8">
            <v>100</v>
          </cell>
        </row>
      </sheetData>
      <sheetData sheetId="632">
        <row r="8">
          <cell r="E8">
            <v>100</v>
          </cell>
        </row>
      </sheetData>
      <sheetData sheetId="633">
        <row r="8">
          <cell r="E8">
            <v>100</v>
          </cell>
        </row>
      </sheetData>
      <sheetData sheetId="634">
        <row r="8">
          <cell r="E8">
            <v>100</v>
          </cell>
        </row>
      </sheetData>
      <sheetData sheetId="635">
        <row r="8">
          <cell r="E8">
            <v>100</v>
          </cell>
        </row>
      </sheetData>
      <sheetData sheetId="636">
        <row r="8">
          <cell r="E8">
            <v>100</v>
          </cell>
        </row>
      </sheetData>
      <sheetData sheetId="637">
        <row r="8">
          <cell r="E8">
            <v>100</v>
          </cell>
        </row>
      </sheetData>
      <sheetData sheetId="638">
        <row r="8">
          <cell r="E8">
            <v>100</v>
          </cell>
        </row>
      </sheetData>
      <sheetData sheetId="639">
        <row r="8">
          <cell r="E8">
            <v>100</v>
          </cell>
        </row>
      </sheetData>
      <sheetData sheetId="640">
        <row r="8">
          <cell r="E8">
            <v>100</v>
          </cell>
        </row>
      </sheetData>
      <sheetData sheetId="641">
        <row r="8">
          <cell r="E8">
            <v>100</v>
          </cell>
        </row>
      </sheetData>
      <sheetData sheetId="642">
        <row r="8">
          <cell r="E8">
            <v>100</v>
          </cell>
        </row>
      </sheetData>
      <sheetData sheetId="643">
        <row r="8">
          <cell r="E8">
            <v>100</v>
          </cell>
        </row>
      </sheetData>
      <sheetData sheetId="644">
        <row r="8">
          <cell r="E8">
            <v>100</v>
          </cell>
        </row>
      </sheetData>
      <sheetData sheetId="645">
        <row r="8">
          <cell r="E8">
            <v>100</v>
          </cell>
        </row>
      </sheetData>
      <sheetData sheetId="646">
        <row r="8">
          <cell r="E8">
            <v>100</v>
          </cell>
        </row>
      </sheetData>
      <sheetData sheetId="647">
        <row r="8">
          <cell r="E8">
            <v>100</v>
          </cell>
        </row>
      </sheetData>
      <sheetData sheetId="648">
        <row r="8">
          <cell r="E8">
            <v>100</v>
          </cell>
        </row>
      </sheetData>
      <sheetData sheetId="649">
        <row r="8">
          <cell r="E8">
            <v>100</v>
          </cell>
        </row>
      </sheetData>
      <sheetData sheetId="650">
        <row r="8">
          <cell r="E8">
            <v>100</v>
          </cell>
        </row>
      </sheetData>
      <sheetData sheetId="651">
        <row r="8">
          <cell r="E8">
            <v>100</v>
          </cell>
        </row>
      </sheetData>
      <sheetData sheetId="652">
        <row r="8">
          <cell r="E8">
            <v>100</v>
          </cell>
        </row>
      </sheetData>
      <sheetData sheetId="653">
        <row r="8">
          <cell r="E8">
            <v>100</v>
          </cell>
        </row>
      </sheetData>
      <sheetData sheetId="654">
        <row r="8">
          <cell r="E8">
            <v>100</v>
          </cell>
        </row>
      </sheetData>
      <sheetData sheetId="655">
        <row r="8">
          <cell r="E8">
            <v>100</v>
          </cell>
        </row>
      </sheetData>
      <sheetData sheetId="656">
        <row r="8">
          <cell r="E8">
            <v>100</v>
          </cell>
        </row>
      </sheetData>
      <sheetData sheetId="657">
        <row r="8">
          <cell r="E8">
            <v>100</v>
          </cell>
        </row>
      </sheetData>
      <sheetData sheetId="658">
        <row r="8">
          <cell r="E8">
            <v>100</v>
          </cell>
        </row>
      </sheetData>
      <sheetData sheetId="659">
        <row r="8">
          <cell r="E8">
            <v>100</v>
          </cell>
        </row>
      </sheetData>
      <sheetData sheetId="660">
        <row r="8">
          <cell r="E8">
            <v>100</v>
          </cell>
        </row>
      </sheetData>
      <sheetData sheetId="661">
        <row r="8">
          <cell r="E8">
            <v>100</v>
          </cell>
        </row>
      </sheetData>
      <sheetData sheetId="662">
        <row r="8">
          <cell r="E8">
            <v>100</v>
          </cell>
        </row>
      </sheetData>
      <sheetData sheetId="663">
        <row r="8">
          <cell r="E8">
            <v>100</v>
          </cell>
        </row>
      </sheetData>
      <sheetData sheetId="664">
        <row r="8">
          <cell r="E8">
            <v>100</v>
          </cell>
        </row>
      </sheetData>
      <sheetData sheetId="665">
        <row r="8">
          <cell r="E8">
            <v>100</v>
          </cell>
        </row>
      </sheetData>
      <sheetData sheetId="666">
        <row r="8">
          <cell r="E8">
            <v>100</v>
          </cell>
        </row>
      </sheetData>
      <sheetData sheetId="667">
        <row r="8">
          <cell r="E8">
            <v>100</v>
          </cell>
        </row>
      </sheetData>
      <sheetData sheetId="668">
        <row r="8">
          <cell r="E8">
            <v>100</v>
          </cell>
        </row>
      </sheetData>
      <sheetData sheetId="669">
        <row r="8">
          <cell r="E8">
            <v>100</v>
          </cell>
        </row>
      </sheetData>
      <sheetData sheetId="670">
        <row r="8">
          <cell r="E8">
            <v>100</v>
          </cell>
        </row>
      </sheetData>
      <sheetData sheetId="671">
        <row r="8">
          <cell r="E8">
            <v>100</v>
          </cell>
        </row>
      </sheetData>
      <sheetData sheetId="672">
        <row r="8">
          <cell r="E8">
            <v>100</v>
          </cell>
        </row>
      </sheetData>
      <sheetData sheetId="673">
        <row r="8">
          <cell r="E8">
            <v>100</v>
          </cell>
        </row>
      </sheetData>
      <sheetData sheetId="674">
        <row r="8">
          <cell r="E8">
            <v>100</v>
          </cell>
        </row>
      </sheetData>
      <sheetData sheetId="675">
        <row r="8">
          <cell r="E8">
            <v>100</v>
          </cell>
        </row>
      </sheetData>
      <sheetData sheetId="676">
        <row r="8">
          <cell r="E8">
            <v>100</v>
          </cell>
        </row>
      </sheetData>
      <sheetData sheetId="677">
        <row r="8">
          <cell r="E8">
            <v>100</v>
          </cell>
        </row>
      </sheetData>
      <sheetData sheetId="678">
        <row r="8">
          <cell r="E8">
            <v>100</v>
          </cell>
        </row>
      </sheetData>
      <sheetData sheetId="679">
        <row r="8">
          <cell r="E8">
            <v>100</v>
          </cell>
        </row>
      </sheetData>
      <sheetData sheetId="680">
        <row r="8">
          <cell r="E8">
            <v>100</v>
          </cell>
        </row>
      </sheetData>
      <sheetData sheetId="681">
        <row r="8">
          <cell r="E8">
            <v>100</v>
          </cell>
        </row>
      </sheetData>
      <sheetData sheetId="682">
        <row r="8">
          <cell r="E8">
            <v>100</v>
          </cell>
        </row>
      </sheetData>
      <sheetData sheetId="683">
        <row r="8">
          <cell r="E8">
            <v>100</v>
          </cell>
        </row>
      </sheetData>
      <sheetData sheetId="684">
        <row r="8">
          <cell r="E8">
            <v>100</v>
          </cell>
        </row>
      </sheetData>
      <sheetData sheetId="685">
        <row r="8">
          <cell r="E8">
            <v>100</v>
          </cell>
        </row>
      </sheetData>
      <sheetData sheetId="686">
        <row r="8">
          <cell r="E8">
            <v>100</v>
          </cell>
        </row>
      </sheetData>
      <sheetData sheetId="687">
        <row r="8">
          <cell r="E8">
            <v>100</v>
          </cell>
        </row>
      </sheetData>
      <sheetData sheetId="688">
        <row r="8">
          <cell r="E8">
            <v>100</v>
          </cell>
        </row>
      </sheetData>
      <sheetData sheetId="689">
        <row r="8">
          <cell r="E8">
            <v>100</v>
          </cell>
        </row>
      </sheetData>
      <sheetData sheetId="690">
        <row r="8">
          <cell r="E8">
            <v>100</v>
          </cell>
        </row>
      </sheetData>
      <sheetData sheetId="691">
        <row r="8">
          <cell r="E8">
            <v>100</v>
          </cell>
        </row>
      </sheetData>
      <sheetData sheetId="692">
        <row r="8">
          <cell r="E8">
            <v>100</v>
          </cell>
        </row>
      </sheetData>
      <sheetData sheetId="693">
        <row r="8">
          <cell r="E8">
            <v>100</v>
          </cell>
        </row>
      </sheetData>
      <sheetData sheetId="694">
        <row r="8">
          <cell r="E8">
            <v>100</v>
          </cell>
        </row>
      </sheetData>
      <sheetData sheetId="695">
        <row r="8">
          <cell r="E8">
            <v>100</v>
          </cell>
        </row>
      </sheetData>
      <sheetData sheetId="696">
        <row r="8">
          <cell r="E8">
            <v>100</v>
          </cell>
        </row>
      </sheetData>
      <sheetData sheetId="697">
        <row r="8">
          <cell r="E8">
            <v>100</v>
          </cell>
        </row>
      </sheetData>
      <sheetData sheetId="698">
        <row r="8">
          <cell r="E8">
            <v>100</v>
          </cell>
        </row>
      </sheetData>
      <sheetData sheetId="699">
        <row r="8">
          <cell r="E8">
            <v>100</v>
          </cell>
        </row>
      </sheetData>
      <sheetData sheetId="700">
        <row r="8">
          <cell r="E8">
            <v>100</v>
          </cell>
        </row>
      </sheetData>
      <sheetData sheetId="701">
        <row r="8">
          <cell r="E8">
            <v>100</v>
          </cell>
        </row>
      </sheetData>
      <sheetData sheetId="702">
        <row r="8">
          <cell r="E8">
            <v>100</v>
          </cell>
        </row>
      </sheetData>
      <sheetData sheetId="703">
        <row r="8">
          <cell r="E8">
            <v>100</v>
          </cell>
        </row>
      </sheetData>
      <sheetData sheetId="704">
        <row r="8">
          <cell r="E8">
            <v>100</v>
          </cell>
        </row>
      </sheetData>
      <sheetData sheetId="705">
        <row r="8">
          <cell r="E8">
            <v>100</v>
          </cell>
        </row>
      </sheetData>
      <sheetData sheetId="706">
        <row r="8">
          <cell r="E8">
            <v>100</v>
          </cell>
        </row>
      </sheetData>
      <sheetData sheetId="707">
        <row r="8">
          <cell r="E8">
            <v>100</v>
          </cell>
        </row>
      </sheetData>
      <sheetData sheetId="708">
        <row r="8">
          <cell r="E8">
            <v>100</v>
          </cell>
        </row>
      </sheetData>
      <sheetData sheetId="709">
        <row r="8">
          <cell r="E8">
            <v>100</v>
          </cell>
        </row>
      </sheetData>
      <sheetData sheetId="710">
        <row r="8">
          <cell r="E8">
            <v>100</v>
          </cell>
        </row>
      </sheetData>
      <sheetData sheetId="711">
        <row r="8">
          <cell r="E8">
            <v>100</v>
          </cell>
        </row>
      </sheetData>
      <sheetData sheetId="712">
        <row r="8">
          <cell r="E8">
            <v>100</v>
          </cell>
        </row>
      </sheetData>
      <sheetData sheetId="713">
        <row r="8">
          <cell r="E8">
            <v>100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8">
          <cell r="E8">
            <v>100</v>
          </cell>
        </row>
      </sheetData>
      <sheetData sheetId="747">
        <row r="8">
          <cell r="E8">
            <v>100</v>
          </cell>
        </row>
      </sheetData>
      <sheetData sheetId="748">
        <row r="8">
          <cell r="E8">
            <v>100</v>
          </cell>
        </row>
      </sheetData>
      <sheetData sheetId="749">
        <row r="8">
          <cell r="E8">
            <v>100</v>
          </cell>
        </row>
      </sheetData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8">
          <cell r="E8">
            <v>100</v>
          </cell>
        </row>
      </sheetData>
      <sheetData sheetId="768">
        <row r="8">
          <cell r="E8">
            <v>100</v>
          </cell>
        </row>
      </sheetData>
      <sheetData sheetId="769">
        <row r="8">
          <cell r="E8">
            <v>100</v>
          </cell>
        </row>
      </sheetData>
      <sheetData sheetId="770">
        <row r="8">
          <cell r="E8">
            <v>100</v>
          </cell>
        </row>
      </sheetData>
      <sheetData sheetId="771">
        <row r="8">
          <cell r="E8">
            <v>100</v>
          </cell>
        </row>
      </sheetData>
      <sheetData sheetId="772">
        <row r="8">
          <cell r="E8">
            <v>100</v>
          </cell>
        </row>
      </sheetData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8">
          <cell r="E8">
            <v>100</v>
          </cell>
        </row>
      </sheetData>
      <sheetData sheetId="807">
        <row r="8">
          <cell r="E8">
            <v>100</v>
          </cell>
        </row>
      </sheetData>
      <sheetData sheetId="808">
        <row r="8">
          <cell r="E8">
            <v>100</v>
          </cell>
        </row>
      </sheetData>
      <sheetData sheetId="809">
        <row r="8">
          <cell r="E8">
            <v>100</v>
          </cell>
        </row>
      </sheetData>
      <sheetData sheetId="810">
        <row r="8">
          <cell r="E8">
            <v>100</v>
          </cell>
        </row>
      </sheetData>
      <sheetData sheetId="811">
        <row r="8">
          <cell r="E8">
            <v>100</v>
          </cell>
        </row>
      </sheetData>
      <sheetData sheetId="812">
        <row r="8">
          <cell r="E8">
            <v>100</v>
          </cell>
        </row>
      </sheetData>
      <sheetData sheetId="813">
        <row r="8">
          <cell r="E8">
            <v>100</v>
          </cell>
        </row>
      </sheetData>
      <sheetData sheetId="814">
        <row r="8">
          <cell r="E8">
            <v>100</v>
          </cell>
        </row>
      </sheetData>
      <sheetData sheetId="815">
        <row r="8">
          <cell r="E8">
            <v>100</v>
          </cell>
        </row>
      </sheetData>
      <sheetData sheetId="816">
        <row r="8">
          <cell r="E8">
            <v>100</v>
          </cell>
        </row>
      </sheetData>
      <sheetData sheetId="817">
        <row r="8">
          <cell r="E8">
            <v>100</v>
          </cell>
        </row>
      </sheetData>
      <sheetData sheetId="818">
        <row r="8">
          <cell r="E8">
            <v>100</v>
          </cell>
        </row>
      </sheetData>
      <sheetData sheetId="819">
        <row r="8">
          <cell r="E8">
            <v>100</v>
          </cell>
        </row>
      </sheetData>
      <sheetData sheetId="820">
        <row r="8">
          <cell r="E8">
            <v>100</v>
          </cell>
        </row>
      </sheetData>
      <sheetData sheetId="821">
        <row r="8">
          <cell r="E8">
            <v>100</v>
          </cell>
        </row>
      </sheetData>
      <sheetData sheetId="822">
        <row r="8">
          <cell r="E8">
            <v>100</v>
          </cell>
        </row>
      </sheetData>
      <sheetData sheetId="823">
        <row r="8">
          <cell r="E8">
            <v>100</v>
          </cell>
        </row>
      </sheetData>
      <sheetData sheetId="824">
        <row r="8">
          <cell r="E8">
            <v>100</v>
          </cell>
        </row>
      </sheetData>
      <sheetData sheetId="825">
        <row r="8">
          <cell r="E8">
            <v>100</v>
          </cell>
        </row>
      </sheetData>
      <sheetData sheetId="826">
        <row r="8">
          <cell r="E8">
            <v>100</v>
          </cell>
        </row>
      </sheetData>
      <sheetData sheetId="827">
        <row r="8">
          <cell r="E8">
            <v>100</v>
          </cell>
        </row>
      </sheetData>
      <sheetData sheetId="828">
        <row r="8">
          <cell r="E8">
            <v>100</v>
          </cell>
        </row>
      </sheetData>
      <sheetData sheetId="829">
        <row r="8">
          <cell r="E8">
            <v>100</v>
          </cell>
        </row>
      </sheetData>
      <sheetData sheetId="830">
        <row r="8">
          <cell r="E8">
            <v>100</v>
          </cell>
        </row>
      </sheetData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>
        <row r="8">
          <cell r="E8">
            <v>100</v>
          </cell>
        </row>
      </sheetData>
      <sheetData sheetId="842">
        <row r="8">
          <cell r="E8">
            <v>100</v>
          </cell>
        </row>
      </sheetData>
      <sheetData sheetId="843">
        <row r="8">
          <cell r="E8">
            <v>100</v>
          </cell>
        </row>
      </sheetData>
      <sheetData sheetId="844">
        <row r="8">
          <cell r="E8">
            <v>100</v>
          </cell>
        </row>
      </sheetData>
      <sheetData sheetId="845">
        <row r="8">
          <cell r="E8">
            <v>100</v>
          </cell>
        </row>
      </sheetData>
      <sheetData sheetId="846">
        <row r="8">
          <cell r="E8">
            <v>100</v>
          </cell>
        </row>
      </sheetData>
      <sheetData sheetId="847">
        <row r="8">
          <cell r="E8">
            <v>100</v>
          </cell>
        </row>
      </sheetData>
      <sheetData sheetId="848">
        <row r="8">
          <cell r="E8">
            <v>100</v>
          </cell>
        </row>
      </sheetData>
      <sheetData sheetId="849">
        <row r="8">
          <cell r="E8">
            <v>100</v>
          </cell>
        </row>
      </sheetData>
      <sheetData sheetId="850">
        <row r="8">
          <cell r="E8">
            <v>100</v>
          </cell>
        </row>
      </sheetData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>
        <row r="8">
          <cell r="E8">
            <v>100</v>
          </cell>
        </row>
      </sheetData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>
        <row r="8">
          <cell r="E8">
            <v>100</v>
          </cell>
        </row>
      </sheetData>
      <sheetData sheetId="885">
        <row r="8">
          <cell r="E8">
            <v>100</v>
          </cell>
        </row>
      </sheetData>
      <sheetData sheetId="886">
        <row r="8">
          <cell r="E8">
            <v>100</v>
          </cell>
        </row>
      </sheetData>
      <sheetData sheetId="887">
        <row r="8">
          <cell r="E8">
            <v>100</v>
          </cell>
        </row>
      </sheetData>
      <sheetData sheetId="888">
        <row r="8">
          <cell r="E8">
            <v>100</v>
          </cell>
        </row>
      </sheetData>
      <sheetData sheetId="889">
        <row r="8">
          <cell r="E8">
            <v>100</v>
          </cell>
        </row>
      </sheetData>
      <sheetData sheetId="890">
        <row r="8">
          <cell r="E8">
            <v>100</v>
          </cell>
        </row>
      </sheetData>
      <sheetData sheetId="891">
        <row r="8">
          <cell r="E8">
            <v>100</v>
          </cell>
        </row>
      </sheetData>
      <sheetData sheetId="892">
        <row r="8">
          <cell r="E8">
            <v>100</v>
          </cell>
        </row>
      </sheetData>
      <sheetData sheetId="893">
        <row r="8">
          <cell r="E8">
            <v>100</v>
          </cell>
        </row>
      </sheetData>
      <sheetData sheetId="894">
        <row r="8">
          <cell r="E8">
            <v>100</v>
          </cell>
        </row>
      </sheetData>
      <sheetData sheetId="895">
        <row r="8">
          <cell r="E8">
            <v>100</v>
          </cell>
        </row>
      </sheetData>
      <sheetData sheetId="896">
        <row r="8">
          <cell r="E8">
            <v>100</v>
          </cell>
        </row>
      </sheetData>
      <sheetData sheetId="897">
        <row r="8">
          <cell r="E8">
            <v>100</v>
          </cell>
        </row>
      </sheetData>
      <sheetData sheetId="898">
        <row r="8">
          <cell r="E8">
            <v>100</v>
          </cell>
        </row>
      </sheetData>
      <sheetData sheetId="899">
        <row r="8">
          <cell r="E8">
            <v>100</v>
          </cell>
        </row>
      </sheetData>
      <sheetData sheetId="900">
        <row r="8">
          <cell r="E8">
            <v>100</v>
          </cell>
        </row>
      </sheetData>
      <sheetData sheetId="901">
        <row r="8">
          <cell r="E8">
            <v>100</v>
          </cell>
        </row>
      </sheetData>
      <sheetData sheetId="902">
        <row r="8">
          <cell r="E8">
            <v>100</v>
          </cell>
        </row>
      </sheetData>
      <sheetData sheetId="903">
        <row r="8">
          <cell r="E8">
            <v>100</v>
          </cell>
        </row>
      </sheetData>
      <sheetData sheetId="904">
        <row r="8">
          <cell r="E8">
            <v>100</v>
          </cell>
        </row>
      </sheetData>
      <sheetData sheetId="905">
        <row r="8">
          <cell r="E8">
            <v>100</v>
          </cell>
        </row>
      </sheetData>
      <sheetData sheetId="906">
        <row r="8">
          <cell r="E8">
            <v>100</v>
          </cell>
        </row>
      </sheetData>
      <sheetData sheetId="907">
        <row r="8">
          <cell r="E8">
            <v>100</v>
          </cell>
        </row>
      </sheetData>
      <sheetData sheetId="908">
        <row r="8">
          <cell r="E8">
            <v>100</v>
          </cell>
        </row>
      </sheetData>
      <sheetData sheetId="909">
        <row r="8">
          <cell r="E8">
            <v>100</v>
          </cell>
        </row>
      </sheetData>
      <sheetData sheetId="910">
        <row r="8">
          <cell r="E8">
            <v>100</v>
          </cell>
        </row>
      </sheetData>
      <sheetData sheetId="911">
        <row r="8">
          <cell r="E8">
            <v>100</v>
          </cell>
        </row>
      </sheetData>
      <sheetData sheetId="912">
        <row r="8">
          <cell r="E8">
            <v>100</v>
          </cell>
        </row>
      </sheetData>
      <sheetData sheetId="913">
        <row r="8">
          <cell r="E8">
            <v>100</v>
          </cell>
        </row>
      </sheetData>
      <sheetData sheetId="914">
        <row r="8">
          <cell r="E8">
            <v>100</v>
          </cell>
        </row>
      </sheetData>
      <sheetData sheetId="915">
        <row r="8">
          <cell r="E8">
            <v>100</v>
          </cell>
        </row>
      </sheetData>
      <sheetData sheetId="916">
        <row r="8">
          <cell r="E8">
            <v>100</v>
          </cell>
        </row>
      </sheetData>
      <sheetData sheetId="917">
        <row r="8">
          <cell r="E8">
            <v>100</v>
          </cell>
        </row>
      </sheetData>
      <sheetData sheetId="918">
        <row r="8">
          <cell r="E8">
            <v>100</v>
          </cell>
        </row>
      </sheetData>
      <sheetData sheetId="919">
        <row r="8">
          <cell r="E8">
            <v>100</v>
          </cell>
        </row>
      </sheetData>
      <sheetData sheetId="920">
        <row r="8">
          <cell r="E8">
            <v>100</v>
          </cell>
        </row>
      </sheetData>
      <sheetData sheetId="921">
        <row r="8">
          <cell r="E8">
            <v>100</v>
          </cell>
        </row>
      </sheetData>
      <sheetData sheetId="922">
        <row r="8">
          <cell r="E8">
            <v>100</v>
          </cell>
        </row>
      </sheetData>
      <sheetData sheetId="923">
        <row r="8">
          <cell r="E8">
            <v>100</v>
          </cell>
        </row>
      </sheetData>
      <sheetData sheetId="924">
        <row r="8">
          <cell r="E8">
            <v>100</v>
          </cell>
        </row>
      </sheetData>
      <sheetData sheetId="925">
        <row r="8">
          <cell r="E8">
            <v>100</v>
          </cell>
        </row>
      </sheetData>
      <sheetData sheetId="926">
        <row r="8">
          <cell r="E8">
            <v>100</v>
          </cell>
        </row>
      </sheetData>
      <sheetData sheetId="927">
        <row r="8">
          <cell r="E8">
            <v>100</v>
          </cell>
        </row>
      </sheetData>
      <sheetData sheetId="928">
        <row r="8">
          <cell r="E8">
            <v>100</v>
          </cell>
        </row>
      </sheetData>
      <sheetData sheetId="929">
        <row r="8">
          <cell r="E8">
            <v>100</v>
          </cell>
        </row>
      </sheetData>
      <sheetData sheetId="930">
        <row r="8">
          <cell r="E8">
            <v>100</v>
          </cell>
        </row>
      </sheetData>
      <sheetData sheetId="931">
        <row r="8">
          <cell r="E8">
            <v>100</v>
          </cell>
        </row>
      </sheetData>
      <sheetData sheetId="932">
        <row r="8">
          <cell r="E8">
            <v>100</v>
          </cell>
        </row>
      </sheetData>
      <sheetData sheetId="933">
        <row r="8">
          <cell r="E8">
            <v>100</v>
          </cell>
        </row>
      </sheetData>
      <sheetData sheetId="934">
        <row r="8">
          <cell r="E8">
            <v>100</v>
          </cell>
        </row>
      </sheetData>
      <sheetData sheetId="935">
        <row r="8">
          <cell r="E8">
            <v>100</v>
          </cell>
        </row>
      </sheetData>
      <sheetData sheetId="936">
        <row r="8">
          <cell r="E8">
            <v>100</v>
          </cell>
        </row>
      </sheetData>
      <sheetData sheetId="937">
        <row r="8">
          <cell r="E8">
            <v>100</v>
          </cell>
        </row>
      </sheetData>
      <sheetData sheetId="938">
        <row r="8">
          <cell r="E8">
            <v>100</v>
          </cell>
        </row>
      </sheetData>
      <sheetData sheetId="939">
        <row r="8">
          <cell r="E8">
            <v>100</v>
          </cell>
        </row>
      </sheetData>
      <sheetData sheetId="940">
        <row r="8">
          <cell r="E8">
            <v>100</v>
          </cell>
        </row>
      </sheetData>
      <sheetData sheetId="941">
        <row r="8">
          <cell r="E8">
            <v>100</v>
          </cell>
        </row>
      </sheetData>
      <sheetData sheetId="942">
        <row r="8">
          <cell r="E8">
            <v>100</v>
          </cell>
        </row>
      </sheetData>
      <sheetData sheetId="943">
        <row r="8">
          <cell r="E8">
            <v>100</v>
          </cell>
        </row>
      </sheetData>
      <sheetData sheetId="944">
        <row r="8">
          <cell r="E8">
            <v>100</v>
          </cell>
        </row>
      </sheetData>
      <sheetData sheetId="945">
        <row r="8">
          <cell r="E8">
            <v>100</v>
          </cell>
        </row>
      </sheetData>
      <sheetData sheetId="946">
        <row r="8">
          <cell r="E8">
            <v>100</v>
          </cell>
        </row>
      </sheetData>
      <sheetData sheetId="947">
        <row r="8">
          <cell r="E8">
            <v>100</v>
          </cell>
        </row>
      </sheetData>
      <sheetData sheetId="948">
        <row r="8">
          <cell r="E8">
            <v>100</v>
          </cell>
        </row>
      </sheetData>
      <sheetData sheetId="949">
        <row r="8">
          <cell r="E8">
            <v>100</v>
          </cell>
        </row>
      </sheetData>
      <sheetData sheetId="950">
        <row r="8">
          <cell r="E8">
            <v>100</v>
          </cell>
        </row>
      </sheetData>
      <sheetData sheetId="951">
        <row r="8">
          <cell r="E8">
            <v>100</v>
          </cell>
        </row>
      </sheetData>
      <sheetData sheetId="952">
        <row r="8">
          <cell r="E8">
            <v>100</v>
          </cell>
        </row>
      </sheetData>
      <sheetData sheetId="953">
        <row r="8">
          <cell r="E8">
            <v>100</v>
          </cell>
        </row>
      </sheetData>
      <sheetData sheetId="954">
        <row r="8">
          <cell r="E8">
            <v>100</v>
          </cell>
        </row>
      </sheetData>
      <sheetData sheetId="955">
        <row r="8">
          <cell r="E8">
            <v>100</v>
          </cell>
        </row>
      </sheetData>
      <sheetData sheetId="956">
        <row r="8">
          <cell r="E8">
            <v>100</v>
          </cell>
        </row>
      </sheetData>
      <sheetData sheetId="957">
        <row r="8">
          <cell r="E8">
            <v>100</v>
          </cell>
        </row>
      </sheetData>
      <sheetData sheetId="958">
        <row r="8">
          <cell r="E8">
            <v>100</v>
          </cell>
        </row>
      </sheetData>
      <sheetData sheetId="959">
        <row r="8">
          <cell r="E8">
            <v>100</v>
          </cell>
        </row>
      </sheetData>
      <sheetData sheetId="960">
        <row r="8">
          <cell r="E8">
            <v>100</v>
          </cell>
        </row>
      </sheetData>
      <sheetData sheetId="961">
        <row r="8">
          <cell r="E8">
            <v>100</v>
          </cell>
        </row>
      </sheetData>
      <sheetData sheetId="962">
        <row r="8">
          <cell r="E8">
            <v>100</v>
          </cell>
        </row>
      </sheetData>
      <sheetData sheetId="963">
        <row r="8">
          <cell r="E8">
            <v>100</v>
          </cell>
        </row>
      </sheetData>
      <sheetData sheetId="964">
        <row r="8">
          <cell r="E8">
            <v>100</v>
          </cell>
        </row>
      </sheetData>
      <sheetData sheetId="965">
        <row r="8">
          <cell r="E8">
            <v>100</v>
          </cell>
        </row>
      </sheetData>
      <sheetData sheetId="966">
        <row r="8">
          <cell r="E8">
            <v>100</v>
          </cell>
        </row>
      </sheetData>
      <sheetData sheetId="967">
        <row r="8">
          <cell r="E8">
            <v>100</v>
          </cell>
        </row>
      </sheetData>
      <sheetData sheetId="968">
        <row r="8">
          <cell r="E8">
            <v>100</v>
          </cell>
        </row>
      </sheetData>
      <sheetData sheetId="969">
        <row r="8">
          <cell r="E8">
            <v>100</v>
          </cell>
        </row>
      </sheetData>
      <sheetData sheetId="970">
        <row r="8">
          <cell r="E8">
            <v>100</v>
          </cell>
        </row>
      </sheetData>
      <sheetData sheetId="971">
        <row r="8">
          <cell r="E8">
            <v>100</v>
          </cell>
        </row>
      </sheetData>
      <sheetData sheetId="972">
        <row r="8">
          <cell r="E8">
            <v>100</v>
          </cell>
        </row>
      </sheetData>
      <sheetData sheetId="973">
        <row r="8">
          <cell r="E8">
            <v>100</v>
          </cell>
        </row>
      </sheetData>
      <sheetData sheetId="974">
        <row r="8">
          <cell r="E8">
            <v>100</v>
          </cell>
        </row>
      </sheetData>
      <sheetData sheetId="975">
        <row r="8">
          <cell r="E8">
            <v>100</v>
          </cell>
        </row>
      </sheetData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>
        <row r="8">
          <cell r="E8">
            <v>100</v>
          </cell>
        </row>
      </sheetData>
      <sheetData sheetId="1001">
        <row r="8">
          <cell r="E8">
            <v>100</v>
          </cell>
        </row>
      </sheetData>
      <sheetData sheetId="1002">
        <row r="8">
          <cell r="E8">
            <v>100</v>
          </cell>
        </row>
      </sheetData>
      <sheetData sheetId="1003">
        <row r="8">
          <cell r="E8">
            <v>100</v>
          </cell>
        </row>
      </sheetData>
      <sheetData sheetId="1004">
        <row r="8">
          <cell r="E8">
            <v>100</v>
          </cell>
        </row>
      </sheetData>
      <sheetData sheetId="1005">
        <row r="8">
          <cell r="E8">
            <v>100</v>
          </cell>
        </row>
      </sheetData>
      <sheetData sheetId="1006">
        <row r="8">
          <cell r="E8">
            <v>100</v>
          </cell>
        </row>
      </sheetData>
      <sheetData sheetId="1007">
        <row r="8">
          <cell r="E8">
            <v>100</v>
          </cell>
        </row>
      </sheetData>
      <sheetData sheetId="1008">
        <row r="8">
          <cell r="E8">
            <v>100</v>
          </cell>
        </row>
      </sheetData>
      <sheetData sheetId="1009">
        <row r="8">
          <cell r="E8">
            <v>100</v>
          </cell>
        </row>
      </sheetData>
      <sheetData sheetId="1010">
        <row r="8">
          <cell r="E8">
            <v>100</v>
          </cell>
        </row>
      </sheetData>
      <sheetData sheetId="1011">
        <row r="8">
          <cell r="E8">
            <v>100</v>
          </cell>
        </row>
      </sheetData>
      <sheetData sheetId="1012">
        <row r="8">
          <cell r="E8">
            <v>100</v>
          </cell>
        </row>
      </sheetData>
      <sheetData sheetId="1013">
        <row r="8">
          <cell r="E8">
            <v>100</v>
          </cell>
        </row>
      </sheetData>
      <sheetData sheetId="1014">
        <row r="8">
          <cell r="E8">
            <v>100</v>
          </cell>
        </row>
      </sheetData>
      <sheetData sheetId="1015">
        <row r="8">
          <cell r="E8">
            <v>100</v>
          </cell>
        </row>
      </sheetData>
      <sheetData sheetId="1016">
        <row r="8">
          <cell r="E8">
            <v>100</v>
          </cell>
        </row>
      </sheetData>
      <sheetData sheetId="1017">
        <row r="8">
          <cell r="E8">
            <v>100</v>
          </cell>
        </row>
      </sheetData>
      <sheetData sheetId="1018">
        <row r="8">
          <cell r="E8">
            <v>100</v>
          </cell>
        </row>
      </sheetData>
      <sheetData sheetId="1019">
        <row r="8">
          <cell r="E8">
            <v>100</v>
          </cell>
        </row>
      </sheetData>
      <sheetData sheetId="1020">
        <row r="8">
          <cell r="E8">
            <v>100</v>
          </cell>
        </row>
      </sheetData>
      <sheetData sheetId="1021">
        <row r="8">
          <cell r="E8">
            <v>100</v>
          </cell>
        </row>
      </sheetData>
      <sheetData sheetId="1022">
        <row r="8">
          <cell r="E8">
            <v>100</v>
          </cell>
        </row>
      </sheetData>
      <sheetData sheetId="1023">
        <row r="8">
          <cell r="E8">
            <v>100</v>
          </cell>
        </row>
      </sheetData>
      <sheetData sheetId="1024">
        <row r="8">
          <cell r="E8">
            <v>100</v>
          </cell>
        </row>
      </sheetData>
      <sheetData sheetId="1025">
        <row r="8">
          <cell r="E8">
            <v>100</v>
          </cell>
        </row>
      </sheetData>
      <sheetData sheetId="1026">
        <row r="8">
          <cell r="E8">
            <v>100</v>
          </cell>
        </row>
      </sheetData>
      <sheetData sheetId="1027">
        <row r="8">
          <cell r="E8">
            <v>100</v>
          </cell>
        </row>
      </sheetData>
      <sheetData sheetId="1028">
        <row r="8">
          <cell r="E8">
            <v>100</v>
          </cell>
        </row>
      </sheetData>
      <sheetData sheetId="1029">
        <row r="8">
          <cell r="E8">
            <v>100</v>
          </cell>
        </row>
      </sheetData>
      <sheetData sheetId="1030">
        <row r="8">
          <cell r="E8">
            <v>100</v>
          </cell>
        </row>
      </sheetData>
      <sheetData sheetId="1031">
        <row r="8">
          <cell r="E8">
            <v>100</v>
          </cell>
        </row>
      </sheetData>
      <sheetData sheetId="1032">
        <row r="8">
          <cell r="E8">
            <v>100</v>
          </cell>
        </row>
      </sheetData>
      <sheetData sheetId="1033">
        <row r="8">
          <cell r="E8">
            <v>100</v>
          </cell>
        </row>
      </sheetData>
      <sheetData sheetId="1034">
        <row r="8">
          <cell r="E8">
            <v>100</v>
          </cell>
        </row>
      </sheetData>
      <sheetData sheetId="1035">
        <row r="8">
          <cell r="E8">
            <v>100</v>
          </cell>
        </row>
      </sheetData>
      <sheetData sheetId="1036">
        <row r="8">
          <cell r="E8">
            <v>100</v>
          </cell>
        </row>
      </sheetData>
      <sheetData sheetId="1037">
        <row r="8">
          <cell r="E8">
            <v>100</v>
          </cell>
        </row>
      </sheetData>
      <sheetData sheetId="1038">
        <row r="8">
          <cell r="E8">
            <v>100</v>
          </cell>
        </row>
      </sheetData>
      <sheetData sheetId="1039">
        <row r="8">
          <cell r="E8">
            <v>100</v>
          </cell>
        </row>
      </sheetData>
      <sheetData sheetId="1040">
        <row r="8">
          <cell r="E8">
            <v>100</v>
          </cell>
        </row>
      </sheetData>
      <sheetData sheetId="1041">
        <row r="8">
          <cell r="E8">
            <v>100</v>
          </cell>
        </row>
      </sheetData>
      <sheetData sheetId="1042">
        <row r="8">
          <cell r="E8">
            <v>100</v>
          </cell>
        </row>
      </sheetData>
      <sheetData sheetId="1043">
        <row r="8">
          <cell r="E8">
            <v>100</v>
          </cell>
        </row>
      </sheetData>
      <sheetData sheetId="1044">
        <row r="8">
          <cell r="E8">
            <v>100</v>
          </cell>
        </row>
      </sheetData>
      <sheetData sheetId="1045">
        <row r="8">
          <cell r="E8">
            <v>100</v>
          </cell>
        </row>
      </sheetData>
      <sheetData sheetId="1046">
        <row r="8">
          <cell r="E8">
            <v>100</v>
          </cell>
        </row>
      </sheetData>
      <sheetData sheetId="1047">
        <row r="8">
          <cell r="E8">
            <v>100</v>
          </cell>
        </row>
      </sheetData>
      <sheetData sheetId="1048">
        <row r="8">
          <cell r="E8">
            <v>100</v>
          </cell>
        </row>
      </sheetData>
      <sheetData sheetId="1049">
        <row r="8">
          <cell r="E8">
            <v>100</v>
          </cell>
        </row>
      </sheetData>
      <sheetData sheetId="1050">
        <row r="8">
          <cell r="E8">
            <v>100</v>
          </cell>
        </row>
      </sheetData>
      <sheetData sheetId="1051">
        <row r="8">
          <cell r="E8">
            <v>100</v>
          </cell>
        </row>
      </sheetData>
      <sheetData sheetId="1052">
        <row r="8">
          <cell r="E8">
            <v>100</v>
          </cell>
        </row>
      </sheetData>
      <sheetData sheetId="1053">
        <row r="8">
          <cell r="E8">
            <v>100</v>
          </cell>
        </row>
      </sheetData>
      <sheetData sheetId="1054">
        <row r="8">
          <cell r="E8">
            <v>100</v>
          </cell>
        </row>
      </sheetData>
      <sheetData sheetId="1055">
        <row r="8">
          <cell r="E8">
            <v>100</v>
          </cell>
        </row>
      </sheetData>
      <sheetData sheetId="1056">
        <row r="8">
          <cell r="E8">
            <v>100</v>
          </cell>
        </row>
      </sheetData>
      <sheetData sheetId="1057">
        <row r="8">
          <cell r="E8">
            <v>100</v>
          </cell>
        </row>
      </sheetData>
      <sheetData sheetId="1058">
        <row r="8">
          <cell r="E8">
            <v>100</v>
          </cell>
        </row>
      </sheetData>
      <sheetData sheetId="1059">
        <row r="8">
          <cell r="E8">
            <v>100</v>
          </cell>
        </row>
      </sheetData>
      <sheetData sheetId="1060">
        <row r="8">
          <cell r="E8">
            <v>100</v>
          </cell>
        </row>
      </sheetData>
      <sheetData sheetId="1061">
        <row r="8">
          <cell r="E8">
            <v>100</v>
          </cell>
        </row>
      </sheetData>
      <sheetData sheetId="1062">
        <row r="8">
          <cell r="E8">
            <v>100</v>
          </cell>
        </row>
      </sheetData>
      <sheetData sheetId="1063">
        <row r="8">
          <cell r="E8">
            <v>100</v>
          </cell>
        </row>
      </sheetData>
      <sheetData sheetId="1064">
        <row r="8">
          <cell r="E8">
            <v>100</v>
          </cell>
        </row>
      </sheetData>
      <sheetData sheetId="1065">
        <row r="8">
          <cell r="E8">
            <v>100</v>
          </cell>
        </row>
      </sheetData>
      <sheetData sheetId="1066">
        <row r="8">
          <cell r="E8">
            <v>100</v>
          </cell>
        </row>
      </sheetData>
      <sheetData sheetId="1067">
        <row r="8">
          <cell r="E8">
            <v>100</v>
          </cell>
        </row>
      </sheetData>
      <sheetData sheetId="1068">
        <row r="8">
          <cell r="E8">
            <v>100</v>
          </cell>
        </row>
      </sheetData>
      <sheetData sheetId="1069">
        <row r="8">
          <cell r="E8">
            <v>100</v>
          </cell>
        </row>
      </sheetData>
      <sheetData sheetId="1070">
        <row r="8">
          <cell r="E8">
            <v>100</v>
          </cell>
        </row>
      </sheetData>
      <sheetData sheetId="1071">
        <row r="8">
          <cell r="E8">
            <v>100</v>
          </cell>
        </row>
      </sheetData>
      <sheetData sheetId="1072">
        <row r="8">
          <cell r="E8">
            <v>100</v>
          </cell>
        </row>
      </sheetData>
      <sheetData sheetId="1073">
        <row r="8">
          <cell r="E8">
            <v>100</v>
          </cell>
        </row>
      </sheetData>
      <sheetData sheetId="1074">
        <row r="8">
          <cell r="E8">
            <v>100</v>
          </cell>
        </row>
      </sheetData>
      <sheetData sheetId="1075">
        <row r="8">
          <cell r="E8">
            <v>100</v>
          </cell>
        </row>
      </sheetData>
      <sheetData sheetId="1076">
        <row r="8">
          <cell r="E8">
            <v>100</v>
          </cell>
        </row>
      </sheetData>
      <sheetData sheetId="1077">
        <row r="8">
          <cell r="E8">
            <v>100</v>
          </cell>
        </row>
      </sheetData>
      <sheetData sheetId="1078">
        <row r="8">
          <cell r="E8">
            <v>100</v>
          </cell>
        </row>
      </sheetData>
      <sheetData sheetId="1079">
        <row r="8">
          <cell r="E8">
            <v>100</v>
          </cell>
        </row>
      </sheetData>
      <sheetData sheetId="1080">
        <row r="8">
          <cell r="E8">
            <v>100</v>
          </cell>
        </row>
      </sheetData>
      <sheetData sheetId="1081">
        <row r="8">
          <cell r="E8">
            <v>100</v>
          </cell>
        </row>
      </sheetData>
      <sheetData sheetId="1082">
        <row r="8">
          <cell r="E8">
            <v>100</v>
          </cell>
        </row>
      </sheetData>
      <sheetData sheetId="1083">
        <row r="8">
          <cell r="E8">
            <v>100</v>
          </cell>
        </row>
      </sheetData>
      <sheetData sheetId="1084">
        <row r="8">
          <cell r="E8">
            <v>100</v>
          </cell>
        </row>
      </sheetData>
      <sheetData sheetId="1085">
        <row r="8">
          <cell r="E8">
            <v>100</v>
          </cell>
        </row>
      </sheetData>
      <sheetData sheetId="1086">
        <row r="8">
          <cell r="E8">
            <v>100</v>
          </cell>
        </row>
      </sheetData>
      <sheetData sheetId="1087">
        <row r="8">
          <cell r="E8">
            <v>100</v>
          </cell>
        </row>
      </sheetData>
      <sheetData sheetId="1088">
        <row r="8">
          <cell r="E8">
            <v>100</v>
          </cell>
        </row>
      </sheetData>
      <sheetData sheetId="1089">
        <row r="8">
          <cell r="E8">
            <v>100</v>
          </cell>
        </row>
      </sheetData>
      <sheetData sheetId="1090">
        <row r="8">
          <cell r="E8">
            <v>100</v>
          </cell>
        </row>
      </sheetData>
      <sheetData sheetId="1091">
        <row r="8">
          <cell r="E8">
            <v>100</v>
          </cell>
        </row>
      </sheetData>
      <sheetData sheetId="1092" refreshError="1"/>
      <sheetData sheetId="1093">
        <row r="8">
          <cell r="E8">
            <v>100</v>
          </cell>
        </row>
      </sheetData>
      <sheetData sheetId="1094">
        <row r="8">
          <cell r="E8">
            <v>100</v>
          </cell>
        </row>
      </sheetData>
      <sheetData sheetId="1095">
        <row r="8">
          <cell r="E8">
            <v>100</v>
          </cell>
        </row>
      </sheetData>
      <sheetData sheetId="1096">
        <row r="8">
          <cell r="E8">
            <v>100</v>
          </cell>
        </row>
      </sheetData>
      <sheetData sheetId="1097">
        <row r="8">
          <cell r="E8">
            <v>100</v>
          </cell>
        </row>
      </sheetData>
      <sheetData sheetId="1098">
        <row r="8">
          <cell r="E8">
            <v>100</v>
          </cell>
        </row>
      </sheetData>
      <sheetData sheetId="1099">
        <row r="8">
          <cell r="E8">
            <v>100</v>
          </cell>
        </row>
      </sheetData>
      <sheetData sheetId="1100">
        <row r="8">
          <cell r="E8">
            <v>100</v>
          </cell>
        </row>
      </sheetData>
      <sheetData sheetId="1101">
        <row r="8">
          <cell r="E8">
            <v>100</v>
          </cell>
        </row>
      </sheetData>
      <sheetData sheetId="1102">
        <row r="8">
          <cell r="E8">
            <v>100</v>
          </cell>
        </row>
      </sheetData>
      <sheetData sheetId="1103">
        <row r="8">
          <cell r="E8">
            <v>100</v>
          </cell>
        </row>
      </sheetData>
      <sheetData sheetId="1104">
        <row r="8">
          <cell r="E8">
            <v>100</v>
          </cell>
        </row>
      </sheetData>
      <sheetData sheetId="1105">
        <row r="8">
          <cell r="E8">
            <v>100</v>
          </cell>
        </row>
      </sheetData>
      <sheetData sheetId="1106">
        <row r="8">
          <cell r="E8">
            <v>100</v>
          </cell>
        </row>
      </sheetData>
      <sheetData sheetId="1107">
        <row r="8">
          <cell r="E8">
            <v>100</v>
          </cell>
        </row>
      </sheetData>
      <sheetData sheetId="1108">
        <row r="8">
          <cell r="E8">
            <v>100</v>
          </cell>
        </row>
      </sheetData>
      <sheetData sheetId="1109">
        <row r="8">
          <cell r="E8">
            <v>100</v>
          </cell>
        </row>
      </sheetData>
      <sheetData sheetId="1110">
        <row r="8">
          <cell r="E8">
            <v>100</v>
          </cell>
        </row>
      </sheetData>
      <sheetData sheetId="1111">
        <row r="8">
          <cell r="E8">
            <v>100</v>
          </cell>
        </row>
      </sheetData>
      <sheetData sheetId="1112">
        <row r="8">
          <cell r="E8">
            <v>100</v>
          </cell>
        </row>
      </sheetData>
      <sheetData sheetId="1113">
        <row r="8">
          <cell r="E8">
            <v>100</v>
          </cell>
        </row>
      </sheetData>
      <sheetData sheetId="1114">
        <row r="8">
          <cell r="E8">
            <v>100</v>
          </cell>
        </row>
      </sheetData>
      <sheetData sheetId="1115">
        <row r="8">
          <cell r="E8">
            <v>100</v>
          </cell>
        </row>
      </sheetData>
      <sheetData sheetId="1116">
        <row r="8">
          <cell r="E8">
            <v>100</v>
          </cell>
        </row>
      </sheetData>
      <sheetData sheetId="1117">
        <row r="8">
          <cell r="E8">
            <v>100</v>
          </cell>
        </row>
      </sheetData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>
        <row r="8">
          <cell r="E8">
            <v>100</v>
          </cell>
        </row>
      </sheetData>
      <sheetData sheetId="1210">
        <row r="8">
          <cell r="E8">
            <v>100</v>
          </cell>
        </row>
      </sheetData>
      <sheetData sheetId="1211">
        <row r="8">
          <cell r="E8">
            <v>100</v>
          </cell>
        </row>
      </sheetData>
      <sheetData sheetId="1212">
        <row r="8">
          <cell r="E8">
            <v>100</v>
          </cell>
        </row>
      </sheetData>
      <sheetData sheetId="1213">
        <row r="8">
          <cell r="E8">
            <v>100</v>
          </cell>
        </row>
      </sheetData>
      <sheetData sheetId="1214">
        <row r="8">
          <cell r="E8">
            <v>100</v>
          </cell>
        </row>
      </sheetData>
      <sheetData sheetId="1215">
        <row r="8">
          <cell r="E8">
            <v>100</v>
          </cell>
        </row>
      </sheetData>
      <sheetData sheetId="1216">
        <row r="8">
          <cell r="E8">
            <v>100</v>
          </cell>
        </row>
      </sheetData>
      <sheetData sheetId="1217">
        <row r="8">
          <cell r="E8">
            <v>100</v>
          </cell>
        </row>
      </sheetData>
      <sheetData sheetId="1218">
        <row r="8">
          <cell r="E8">
            <v>100</v>
          </cell>
        </row>
      </sheetData>
      <sheetData sheetId="1219">
        <row r="8">
          <cell r="E8">
            <v>100</v>
          </cell>
        </row>
      </sheetData>
      <sheetData sheetId="1220">
        <row r="8">
          <cell r="E8">
            <v>100</v>
          </cell>
        </row>
      </sheetData>
      <sheetData sheetId="1221">
        <row r="8">
          <cell r="E8">
            <v>100</v>
          </cell>
        </row>
      </sheetData>
      <sheetData sheetId="1222">
        <row r="8">
          <cell r="E8">
            <v>100</v>
          </cell>
        </row>
      </sheetData>
      <sheetData sheetId="1223">
        <row r="8">
          <cell r="E8">
            <v>100</v>
          </cell>
        </row>
      </sheetData>
      <sheetData sheetId="1224">
        <row r="8">
          <cell r="E8">
            <v>100</v>
          </cell>
        </row>
      </sheetData>
      <sheetData sheetId="1225">
        <row r="8">
          <cell r="E8">
            <v>100</v>
          </cell>
        </row>
      </sheetData>
      <sheetData sheetId="1226">
        <row r="8">
          <cell r="E8">
            <v>100</v>
          </cell>
        </row>
      </sheetData>
      <sheetData sheetId="1227">
        <row r="8">
          <cell r="E8">
            <v>100</v>
          </cell>
        </row>
      </sheetData>
      <sheetData sheetId="1228">
        <row r="8">
          <cell r="E8">
            <v>100</v>
          </cell>
        </row>
      </sheetData>
      <sheetData sheetId="1229">
        <row r="8">
          <cell r="E8">
            <v>100</v>
          </cell>
        </row>
      </sheetData>
      <sheetData sheetId="1230">
        <row r="8">
          <cell r="E8">
            <v>100</v>
          </cell>
        </row>
      </sheetData>
      <sheetData sheetId="1231">
        <row r="8">
          <cell r="E8">
            <v>100</v>
          </cell>
        </row>
      </sheetData>
      <sheetData sheetId="1232">
        <row r="8">
          <cell r="E8">
            <v>100</v>
          </cell>
        </row>
      </sheetData>
      <sheetData sheetId="1233">
        <row r="8">
          <cell r="E8">
            <v>100</v>
          </cell>
        </row>
      </sheetData>
      <sheetData sheetId="1234">
        <row r="8">
          <cell r="E8">
            <v>100</v>
          </cell>
        </row>
      </sheetData>
      <sheetData sheetId="1235">
        <row r="8">
          <cell r="E8">
            <v>100</v>
          </cell>
        </row>
      </sheetData>
      <sheetData sheetId="1236">
        <row r="8">
          <cell r="E8">
            <v>100</v>
          </cell>
        </row>
      </sheetData>
      <sheetData sheetId="1237">
        <row r="8">
          <cell r="E8">
            <v>100</v>
          </cell>
        </row>
      </sheetData>
      <sheetData sheetId="1238">
        <row r="8">
          <cell r="E8">
            <v>100</v>
          </cell>
        </row>
      </sheetData>
      <sheetData sheetId="1239">
        <row r="8">
          <cell r="E8">
            <v>100</v>
          </cell>
        </row>
      </sheetData>
      <sheetData sheetId="1240">
        <row r="8">
          <cell r="E8">
            <v>100</v>
          </cell>
        </row>
      </sheetData>
      <sheetData sheetId="1241">
        <row r="8">
          <cell r="E8">
            <v>100</v>
          </cell>
        </row>
      </sheetData>
      <sheetData sheetId="1242">
        <row r="8">
          <cell r="E8">
            <v>100</v>
          </cell>
        </row>
      </sheetData>
      <sheetData sheetId="1243">
        <row r="8">
          <cell r="E8">
            <v>100</v>
          </cell>
        </row>
      </sheetData>
      <sheetData sheetId="1244">
        <row r="8">
          <cell r="E8">
            <v>100</v>
          </cell>
        </row>
      </sheetData>
      <sheetData sheetId="1245">
        <row r="8">
          <cell r="E8">
            <v>100</v>
          </cell>
        </row>
      </sheetData>
      <sheetData sheetId="1246">
        <row r="8">
          <cell r="E8">
            <v>100</v>
          </cell>
        </row>
      </sheetData>
      <sheetData sheetId="1247">
        <row r="8">
          <cell r="E8">
            <v>100</v>
          </cell>
        </row>
      </sheetData>
      <sheetData sheetId="1248">
        <row r="8">
          <cell r="E8">
            <v>100</v>
          </cell>
        </row>
      </sheetData>
      <sheetData sheetId="1249">
        <row r="8">
          <cell r="E8">
            <v>100</v>
          </cell>
        </row>
      </sheetData>
      <sheetData sheetId="1250">
        <row r="8">
          <cell r="E8">
            <v>100</v>
          </cell>
        </row>
      </sheetData>
      <sheetData sheetId="1251">
        <row r="8">
          <cell r="E8">
            <v>100</v>
          </cell>
        </row>
      </sheetData>
      <sheetData sheetId="1252">
        <row r="8">
          <cell r="E8">
            <v>100</v>
          </cell>
        </row>
      </sheetData>
      <sheetData sheetId="1253">
        <row r="8">
          <cell r="E8">
            <v>100</v>
          </cell>
        </row>
      </sheetData>
      <sheetData sheetId="1254">
        <row r="8">
          <cell r="E8">
            <v>100</v>
          </cell>
        </row>
      </sheetData>
      <sheetData sheetId="1255">
        <row r="8">
          <cell r="E8">
            <v>100</v>
          </cell>
        </row>
      </sheetData>
      <sheetData sheetId="1256">
        <row r="8">
          <cell r="E8">
            <v>100</v>
          </cell>
        </row>
      </sheetData>
      <sheetData sheetId="1257">
        <row r="8">
          <cell r="E8">
            <v>100</v>
          </cell>
        </row>
      </sheetData>
      <sheetData sheetId="1258">
        <row r="8">
          <cell r="E8">
            <v>100</v>
          </cell>
        </row>
      </sheetData>
      <sheetData sheetId="1259">
        <row r="8">
          <cell r="E8">
            <v>100</v>
          </cell>
        </row>
      </sheetData>
      <sheetData sheetId="1260">
        <row r="8">
          <cell r="E8">
            <v>100</v>
          </cell>
        </row>
      </sheetData>
      <sheetData sheetId="1261">
        <row r="8">
          <cell r="E8">
            <v>100</v>
          </cell>
        </row>
      </sheetData>
      <sheetData sheetId="1262">
        <row r="8">
          <cell r="E8">
            <v>100</v>
          </cell>
        </row>
      </sheetData>
      <sheetData sheetId="1263">
        <row r="8">
          <cell r="E8">
            <v>100</v>
          </cell>
        </row>
      </sheetData>
      <sheetData sheetId="1264" refreshError="1"/>
      <sheetData sheetId="1265" refreshError="1"/>
      <sheetData sheetId="1266" refreshError="1"/>
      <sheetData sheetId="1267">
        <row r="8">
          <cell r="E8">
            <v>100</v>
          </cell>
        </row>
      </sheetData>
      <sheetData sheetId="1268">
        <row r="8">
          <cell r="E8">
            <v>100</v>
          </cell>
        </row>
      </sheetData>
      <sheetData sheetId="1269">
        <row r="8">
          <cell r="E8">
            <v>100</v>
          </cell>
        </row>
      </sheetData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8">
          <cell r="E8">
            <v>100</v>
          </cell>
        </row>
      </sheetData>
      <sheetData sheetId="1348">
        <row r="8">
          <cell r="E8">
            <v>100</v>
          </cell>
        </row>
      </sheetData>
      <sheetData sheetId="1349">
        <row r="8">
          <cell r="E8">
            <v>100</v>
          </cell>
        </row>
      </sheetData>
      <sheetData sheetId="1350">
        <row r="8">
          <cell r="E8">
            <v>100</v>
          </cell>
        </row>
      </sheetData>
      <sheetData sheetId="1351">
        <row r="8">
          <cell r="E8">
            <v>100</v>
          </cell>
        </row>
      </sheetData>
      <sheetData sheetId="1352">
        <row r="8">
          <cell r="E8">
            <v>100</v>
          </cell>
        </row>
      </sheetData>
      <sheetData sheetId="1353">
        <row r="8">
          <cell r="E8">
            <v>100</v>
          </cell>
        </row>
      </sheetData>
      <sheetData sheetId="1354">
        <row r="8">
          <cell r="E8">
            <v>100</v>
          </cell>
        </row>
      </sheetData>
      <sheetData sheetId="1355">
        <row r="8">
          <cell r="E8">
            <v>100</v>
          </cell>
        </row>
      </sheetData>
      <sheetData sheetId="1356">
        <row r="8">
          <cell r="E8">
            <v>100</v>
          </cell>
        </row>
      </sheetData>
      <sheetData sheetId="1357">
        <row r="8">
          <cell r="E8">
            <v>100</v>
          </cell>
        </row>
      </sheetData>
      <sheetData sheetId="1358">
        <row r="8">
          <cell r="E8">
            <v>100</v>
          </cell>
        </row>
      </sheetData>
      <sheetData sheetId="1359">
        <row r="8">
          <cell r="E8">
            <v>100</v>
          </cell>
        </row>
      </sheetData>
      <sheetData sheetId="1360">
        <row r="8">
          <cell r="E8">
            <v>100</v>
          </cell>
        </row>
      </sheetData>
      <sheetData sheetId="1361">
        <row r="8">
          <cell r="E8">
            <v>100</v>
          </cell>
        </row>
      </sheetData>
      <sheetData sheetId="1362">
        <row r="8">
          <cell r="E8">
            <v>100</v>
          </cell>
        </row>
      </sheetData>
      <sheetData sheetId="1363">
        <row r="8">
          <cell r="E8">
            <v>100</v>
          </cell>
        </row>
      </sheetData>
      <sheetData sheetId="1364">
        <row r="8">
          <cell r="E8">
            <v>100</v>
          </cell>
        </row>
      </sheetData>
      <sheetData sheetId="1365">
        <row r="8">
          <cell r="E8">
            <v>100</v>
          </cell>
        </row>
      </sheetData>
      <sheetData sheetId="1366">
        <row r="8">
          <cell r="E8">
            <v>100</v>
          </cell>
        </row>
      </sheetData>
      <sheetData sheetId="1367">
        <row r="8">
          <cell r="E8">
            <v>100</v>
          </cell>
        </row>
      </sheetData>
      <sheetData sheetId="1368">
        <row r="8">
          <cell r="E8">
            <v>100</v>
          </cell>
        </row>
      </sheetData>
      <sheetData sheetId="1369">
        <row r="8">
          <cell r="E8">
            <v>100</v>
          </cell>
        </row>
      </sheetData>
      <sheetData sheetId="1370">
        <row r="8">
          <cell r="E8">
            <v>100</v>
          </cell>
        </row>
      </sheetData>
      <sheetData sheetId="1371">
        <row r="8">
          <cell r="E8">
            <v>100</v>
          </cell>
        </row>
      </sheetData>
      <sheetData sheetId="1372">
        <row r="8">
          <cell r="E8">
            <v>100</v>
          </cell>
        </row>
      </sheetData>
      <sheetData sheetId="1373">
        <row r="8">
          <cell r="E8">
            <v>100</v>
          </cell>
        </row>
      </sheetData>
      <sheetData sheetId="1374">
        <row r="8">
          <cell r="E8">
            <v>100</v>
          </cell>
        </row>
      </sheetData>
      <sheetData sheetId="1375">
        <row r="8">
          <cell r="E8">
            <v>100</v>
          </cell>
        </row>
      </sheetData>
      <sheetData sheetId="1376">
        <row r="8">
          <cell r="E8">
            <v>100</v>
          </cell>
        </row>
      </sheetData>
      <sheetData sheetId="1377">
        <row r="8">
          <cell r="E8">
            <v>100</v>
          </cell>
        </row>
      </sheetData>
      <sheetData sheetId="1378">
        <row r="8">
          <cell r="E8">
            <v>100</v>
          </cell>
        </row>
      </sheetData>
      <sheetData sheetId="1379">
        <row r="8">
          <cell r="E8">
            <v>100</v>
          </cell>
        </row>
      </sheetData>
      <sheetData sheetId="1380">
        <row r="8">
          <cell r="E8">
            <v>100</v>
          </cell>
        </row>
      </sheetData>
      <sheetData sheetId="1381">
        <row r="8">
          <cell r="E8">
            <v>100</v>
          </cell>
        </row>
      </sheetData>
      <sheetData sheetId="1382">
        <row r="8">
          <cell r="E8">
            <v>100</v>
          </cell>
        </row>
      </sheetData>
      <sheetData sheetId="1383">
        <row r="8">
          <cell r="E8">
            <v>100</v>
          </cell>
        </row>
      </sheetData>
      <sheetData sheetId="1384">
        <row r="8">
          <cell r="E8">
            <v>100</v>
          </cell>
        </row>
      </sheetData>
      <sheetData sheetId="1385">
        <row r="8">
          <cell r="E8">
            <v>100</v>
          </cell>
        </row>
      </sheetData>
      <sheetData sheetId="1386">
        <row r="8">
          <cell r="E8">
            <v>100</v>
          </cell>
        </row>
      </sheetData>
      <sheetData sheetId="1387">
        <row r="8">
          <cell r="E8">
            <v>100</v>
          </cell>
        </row>
      </sheetData>
      <sheetData sheetId="1388">
        <row r="8">
          <cell r="E8">
            <v>100</v>
          </cell>
        </row>
      </sheetData>
      <sheetData sheetId="1389">
        <row r="8">
          <cell r="E8">
            <v>100</v>
          </cell>
        </row>
      </sheetData>
      <sheetData sheetId="1390">
        <row r="8">
          <cell r="E8">
            <v>100</v>
          </cell>
        </row>
      </sheetData>
      <sheetData sheetId="1391">
        <row r="8">
          <cell r="E8">
            <v>100</v>
          </cell>
        </row>
      </sheetData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>
        <row r="8">
          <cell r="E8">
            <v>100</v>
          </cell>
        </row>
      </sheetData>
      <sheetData sheetId="1565">
        <row r="8">
          <cell r="E8">
            <v>100</v>
          </cell>
        </row>
      </sheetData>
      <sheetData sheetId="1566">
        <row r="8">
          <cell r="E8">
            <v>100</v>
          </cell>
        </row>
      </sheetData>
      <sheetData sheetId="1567">
        <row r="8">
          <cell r="E8">
            <v>100</v>
          </cell>
        </row>
      </sheetData>
      <sheetData sheetId="1568">
        <row r="8">
          <cell r="E8">
            <v>100</v>
          </cell>
        </row>
      </sheetData>
      <sheetData sheetId="1569">
        <row r="8">
          <cell r="E8">
            <v>100</v>
          </cell>
        </row>
      </sheetData>
      <sheetData sheetId="1570">
        <row r="8">
          <cell r="E8">
            <v>100</v>
          </cell>
        </row>
      </sheetData>
      <sheetData sheetId="1571">
        <row r="8">
          <cell r="E8">
            <v>100</v>
          </cell>
        </row>
      </sheetData>
      <sheetData sheetId="1572">
        <row r="8">
          <cell r="E8">
            <v>100</v>
          </cell>
        </row>
      </sheetData>
      <sheetData sheetId="1573">
        <row r="8">
          <cell r="E8">
            <v>100</v>
          </cell>
        </row>
      </sheetData>
      <sheetData sheetId="1574">
        <row r="8">
          <cell r="E8">
            <v>100</v>
          </cell>
        </row>
      </sheetData>
      <sheetData sheetId="1575">
        <row r="8">
          <cell r="E8">
            <v>100</v>
          </cell>
        </row>
      </sheetData>
      <sheetData sheetId="1576">
        <row r="8">
          <cell r="E8">
            <v>100</v>
          </cell>
        </row>
      </sheetData>
      <sheetData sheetId="1577">
        <row r="8">
          <cell r="E8">
            <v>100</v>
          </cell>
        </row>
      </sheetData>
      <sheetData sheetId="1578">
        <row r="8">
          <cell r="E8">
            <v>100</v>
          </cell>
        </row>
      </sheetData>
      <sheetData sheetId="1579">
        <row r="8">
          <cell r="E8">
            <v>100</v>
          </cell>
        </row>
      </sheetData>
      <sheetData sheetId="1580">
        <row r="8">
          <cell r="E8">
            <v>100</v>
          </cell>
        </row>
      </sheetData>
      <sheetData sheetId="1581">
        <row r="8">
          <cell r="E8">
            <v>100</v>
          </cell>
        </row>
      </sheetData>
      <sheetData sheetId="1582">
        <row r="8">
          <cell r="E8">
            <v>100</v>
          </cell>
        </row>
      </sheetData>
      <sheetData sheetId="1583">
        <row r="8">
          <cell r="E8">
            <v>100</v>
          </cell>
        </row>
      </sheetData>
      <sheetData sheetId="1584">
        <row r="8">
          <cell r="E8">
            <v>100</v>
          </cell>
        </row>
      </sheetData>
      <sheetData sheetId="1585">
        <row r="8">
          <cell r="E8">
            <v>100</v>
          </cell>
        </row>
      </sheetData>
      <sheetData sheetId="1586">
        <row r="8">
          <cell r="E8">
            <v>100</v>
          </cell>
        </row>
      </sheetData>
      <sheetData sheetId="1587">
        <row r="8">
          <cell r="E8">
            <v>100</v>
          </cell>
        </row>
      </sheetData>
      <sheetData sheetId="1588">
        <row r="8">
          <cell r="E8">
            <v>100</v>
          </cell>
        </row>
      </sheetData>
      <sheetData sheetId="1589">
        <row r="8">
          <cell r="E8">
            <v>100</v>
          </cell>
        </row>
      </sheetData>
      <sheetData sheetId="1590">
        <row r="8">
          <cell r="E8">
            <v>100</v>
          </cell>
        </row>
      </sheetData>
      <sheetData sheetId="1591">
        <row r="8">
          <cell r="E8">
            <v>100</v>
          </cell>
        </row>
      </sheetData>
      <sheetData sheetId="1592">
        <row r="8">
          <cell r="E8">
            <v>100</v>
          </cell>
        </row>
      </sheetData>
      <sheetData sheetId="1593">
        <row r="8">
          <cell r="E8">
            <v>100</v>
          </cell>
        </row>
      </sheetData>
      <sheetData sheetId="1594">
        <row r="8">
          <cell r="E8">
            <v>100</v>
          </cell>
        </row>
      </sheetData>
      <sheetData sheetId="1595">
        <row r="8">
          <cell r="E8">
            <v>100</v>
          </cell>
        </row>
      </sheetData>
      <sheetData sheetId="1596">
        <row r="8">
          <cell r="E8">
            <v>100</v>
          </cell>
        </row>
      </sheetData>
      <sheetData sheetId="1597">
        <row r="8">
          <cell r="E8">
            <v>100</v>
          </cell>
        </row>
      </sheetData>
      <sheetData sheetId="1598">
        <row r="8">
          <cell r="E8">
            <v>100</v>
          </cell>
        </row>
      </sheetData>
      <sheetData sheetId="1599">
        <row r="8">
          <cell r="E8">
            <v>100</v>
          </cell>
        </row>
      </sheetData>
      <sheetData sheetId="1600">
        <row r="8">
          <cell r="E8">
            <v>100</v>
          </cell>
        </row>
      </sheetData>
      <sheetData sheetId="1601">
        <row r="8">
          <cell r="E8">
            <v>100</v>
          </cell>
        </row>
      </sheetData>
      <sheetData sheetId="1602">
        <row r="8">
          <cell r="E8">
            <v>100</v>
          </cell>
        </row>
      </sheetData>
      <sheetData sheetId="1603">
        <row r="8">
          <cell r="E8">
            <v>100</v>
          </cell>
        </row>
      </sheetData>
      <sheetData sheetId="1604">
        <row r="8">
          <cell r="E8">
            <v>100</v>
          </cell>
        </row>
      </sheetData>
      <sheetData sheetId="1605">
        <row r="8">
          <cell r="E8">
            <v>100</v>
          </cell>
        </row>
      </sheetData>
      <sheetData sheetId="1606">
        <row r="8">
          <cell r="E8">
            <v>100</v>
          </cell>
        </row>
      </sheetData>
      <sheetData sheetId="1607">
        <row r="8">
          <cell r="E8">
            <v>100</v>
          </cell>
        </row>
      </sheetData>
      <sheetData sheetId="1608">
        <row r="8">
          <cell r="E8">
            <v>100</v>
          </cell>
        </row>
      </sheetData>
      <sheetData sheetId="1609">
        <row r="8">
          <cell r="E8">
            <v>100</v>
          </cell>
        </row>
      </sheetData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>
        <row r="8">
          <cell r="E8">
            <v>100</v>
          </cell>
        </row>
      </sheetData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>
        <row r="8">
          <cell r="E8">
            <v>100</v>
          </cell>
        </row>
      </sheetData>
      <sheetData sheetId="1640">
        <row r="8">
          <cell r="E8">
            <v>100</v>
          </cell>
        </row>
      </sheetData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>
        <row r="8">
          <cell r="E8">
            <v>100</v>
          </cell>
        </row>
      </sheetData>
      <sheetData sheetId="1674">
        <row r="8">
          <cell r="E8">
            <v>100</v>
          </cell>
        </row>
      </sheetData>
      <sheetData sheetId="1675">
        <row r="8">
          <cell r="E8">
            <v>100</v>
          </cell>
        </row>
      </sheetData>
      <sheetData sheetId="1676">
        <row r="8">
          <cell r="E8">
            <v>100</v>
          </cell>
        </row>
      </sheetData>
      <sheetData sheetId="1677">
        <row r="8">
          <cell r="E8">
            <v>100</v>
          </cell>
        </row>
      </sheetData>
      <sheetData sheetId="1678">
        <row r="8">
          <cell r="E8">
            <v>100</v>
          </cell>
        </row>
      </sheetData>
      <sheetData sheetId="1679">
        <row r="8">
          <cell r="E8">
            <v>100</v>
          </cell>
        </row>
      </sheetData>
      <sheetData sheetId="1680">
        <row r="8">
          <cell r="E8">
            <v>100</v>
          </cell>
        </row>
      </sheetData>
      <sheetData sheetId="1681">
        <row r="8">
          <cell r="E8">
            <v>100</v>
          </cell>
        </row>
      </sheetData>
      <sheetData sheetId="1682">
        <row r="8">
          <cell r="E8">
            <v>100</v>
          </cell>
        </row>
      </sheetData>
      <sheetData sheetId="1683">
        <row r="8">
          <cell r="E8">
            <v>100</v>
          </cell>
        </row>
      </sheetData>
      <sheetData sheetId="1684">
        <row r="8">
          <cell r="E8">
            <v>100</v>
          </cell>
        </row>
      </sheetData>
      <sheetData sheetId="1685" refreshError="1"/>
      <sheetData sheetId="1686" refreshError="1"/>
      <sheetData sheetId="1687">
        <row r="8">
          <cell r="E8">
            <v>100</v>
          </cell>
        </row>
      </sheetData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>
        <row r="8">
          <cell r="E8">
            <v>100</v>
          </cell>
        </row>
      </sheetData>
      <sheetData sheetId="1695">
        <row r="8">
          <cell r="E8">
            <v>100</v>
          </cell>
        </row>
      </sheetData>
      <sheetData sheetId="1696" refreshError="1"/>
      <sheetData sheetId="1697">
        <row r="8">
          <cell r="E8">
            <v>100</v>
          </cell>
        </row>
      </sheetData>
      <sheetData sheetId="1698" refreshError="1"/>
      <sheetData sheetId="1699" refreshError="1"/>
      <sheetData sheetId="1700">
        <row r="8">
          <cell r="E8">
            <v>100</v>
          </cell>
        </row>
      </sheetData>
      <sheetData sheetId="1701">
        <row r="8">
          <cell r="E8">
            <v>100</v>
          </cell>
        </row>
      </sheetData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8">
          <cell r="E8">
            <v>100</v>
          </cell>
        </row>
      </sheetData>
      <sheetData sheetId="1712">
        <row r="8">
          <cell r="E8">
            <v>100</v>
          </cell>
        </row>
      </sheetData>
      <sheetData sheetId="1713">
        <row r="8">
          <cell r="E8">
            <v>100</v>
          </cell>
        </row>
      </sheetData>
      <sheetData sheetId="1714">
        <row r="8">
          <cell r="E8">
            <v>100</v>
          </cell>
        </row>
      </sheetData>
      <sheetData sheetId="1715">
        <row r="8">
          <cell r="E8">
            <v>100</v>
          </cell>
        </row>
      </sheetData>
      <sheetData sheetId="1716">
        <row r="8">
          <cell r="E8">
            <v>100</v>
          </cell>
        </row>
      </sheetData>
      <sheetData sheetId="1717">
        <row r="8">
          <cell r="E8">
            <v>100</v>
          </cell>
        </row>
      </sheetData>
      <sheetData sheetId="1718">
        <row r="8">
          <cell r="E8">
            <v>100</v>
          </cell>
        </row>
      </sheetData>
      <sheetData sheetId="1719">
        <row r="8">
          <cell r="E8">
            <v>100</v>
          </cell>
        </row>
      </sheetData>
      <sheetData sheetId="1720">
        <row r="8">
          <cell r="E8">
            <v>100</v>
          </cell>
        </row>
      </sheetData>
      <sheetData sheetId="1721">
        <row r="8">
          <cell r="E8">
            <v>100</v>
          </cell>
        </row>
      </sheetData>
      <sheetData sheetId="1722">
        <row r="8">
          <cell r="E8">
            <v>100</v>
          </cell>
        </row>
      </sheetData>
      <sheetData sheetId="1723">
        <row r="8">
          <cell r="E8">
            <v>100</v>
          </cell>
        </row>
      </sheetData>
      <sheetData sheetId="1724">
        <row r="8">
          <cell r="E8">
            <v>100</v>
          </cell>
        </row>
      </sheetData>
      <sheetData sheetId="1725">
        <row r="8">
          <cell r="E8">
            <v>100</v>
          </cell>
        </row>
      </sheetData>
      <sheetData sheetId="1726">
        <row r="8">
          <cell r="E8">
            <v>100</v>
          </cell>
        </row>
      </sheetData>
      <sheetData sheetId="1727">
        <row r="8">
          <cell r="E8">
            <v>100</v>
          </cell>
        </row>
      </sheetData>
      <sheetData sheetId="1728">
        <row r="8">
          <cell r="E8">
            <v>100</v>
          </cell>
        </row>
      </sheetData>
      <sheetData sheetId="1729">
        <row r="8">
          <cell r="E8">
            <v>100</v>
          </cell>
        </row>
      </sheetData>
      <sheetData sheetId="1730">
        <row r="8">
          <cell r="E8">
            <v>100</v>
          </cell>
        </row>
      </sheetData>
      <sheetData sheetId="1731">
        <row r="8">
          <cell r="E8">
            <v>100</v>
          </cell>
        </row>
      </sheetData>
      <sheetData sheetId="1732">
        <row r="8">
          <cell r="E8">
            <v>100</v>
          </cell>
        </row>
      </sheetData>
      <sheetData sheetId="1733">
        <row r="8">
          <cell r="E8">
            <v>100</v>
          </cell>
        </row>
      </sheetData>
      <sheetData sheetId="1734">
        <row r="8">
          <cell r="E8">
            <v>100</v>
          </cell>
        </row>
      </sheetData>
      <sheetData sheetId="1735">
        <row r="8">
          <cell r="E8">
            <v>100</v>
          </cell>
        </row>
      </sheetData>
      <sheetData sheetId="1736">
        <row r="8">
          <cell r="E8">
            <v>100</v>
          </cell>
        </row>
      </sheetData>
      <sheetData sheetId="1737">
        <row r="8">
          <cell r="E8">
            <v>100</v>
          </cell>
        </row>
      </sheetData>
      <sheetData sheetId="1738">
        <row r="8">
          <cell r="E8">
            <v>100</v>
          </cell>
        </row>
      </sheetData>
      <sheetData sheetId="1739">
        <row r="8">
          <cell r="E8">
            <v>100</v>
          </cell>
        </row>
      </sheetData>
      <sheetData sheetId="1740">
        <row r="8">
          <cell r="E8">
            <v>100</v>
          </cell>
        </row>
      </sheetData>
      <sheetData sheetId="1741">
        <row r="8">
          <cell r="E8">
            <v>100</v>
          </cell>
        </row>
      </sheetData>
      <sheetData sheetId="1742">
        <row r="8">
          <cell r="E8">
            <v>100</v>
          </cell>
        </row>
      </sheetData>
      <sheetData sheetId="1743">
        <row r="8">
          <cell r="E8">
            <v>100</v>
          </cell>
        </row>
      </sheetData>
      <sheetData sheetId="1744">
        <row r="8">
          <cell r="E8">
            <v>100</v>
          </cell>
        </row>
      </sheetData>
      <sheetData sheetId="1745">
        <row r="8">
          <cell r="E8">
            <v>100</v>
          </cell>
        </row>
      </sheetData>
      <sheetData sheetId="1746">
        <row r="8">
          <cell r="E8">
            <v>100</v>
          </cell>
        </row>
      </sheetData>
      <sheetData sheetId="1747">
        <row r="8">
          <cell r="E8">
            <v>100</v>
          </cell>
        </row>
      </sheetData>
      <sheetData sheetId="1748">
        <row r="8">
          <cell r="E8">
            <v>100</v>
          </cell>
        </row>
      </sheetData>
      <sheetData sheetId="1749">
        <row r="8">
          <cell r="E8">
            <v>100</v>
          </cell>
        </row>
      </sheetData>
      <sheetData sheetId="1750">
        <row r="8">
          <cell r="E8">
            <v>100</v>
          </cell>
        </row>
      </sheetData>
      <sheetData sheetId="1751">
        <row r="8">
          <cell r="E8">
            <v>100</v>
          </cell>
        </row>
      </sheetData>
      <sheetData sheetId="1752">
        <row r="8">
          <cell r="E8">
            <v>100</v>
          </cell>
        </row>
      </sheetData>
      <sheetData sheetId="1753">
        <row r="8">
          <cell r="E8">
            <v>100</v>
          </cell>
        </row>
      </sheetData>
      <sheetData sheetId="1754">
        <row r="8">
          <cell r="E8">
            <v>100</v>
          </cell>
        </row>
      </sheetData>
      <sheetData sheetId="1755">
        <row r="8">
          <cell r="E8">
            <v>100</v>
          </cell>
        </row>
      </sheetData>
      <sheetData sheetId="1756">
        <row r="8">
          <cell r="E8">
            <v>100</v>
          </cell>
        </row>
      </sheetData>
      <sheetData sheetId="1757">
        <row r="8">
          <cell r="E8">
            <v>100</v>
          </cell>
        </row>
      </sheetData>
      <sheetData sheetId="1758">
        <row r="8">
          <cell r="E8">
            <v>100</v>
          </cell>
        </row>
      </sheetData>
      <sheetData sheetId="1759">
        <row r="8">
          <cell r="E8">
            <v>100</v>
          </cell>
        </row>
      </sheetData>
      <sheetData sheetId="1760">
        <row r="8">
          <cell r="E8">
            <v>100</v>
          </cell>
        </row>
      </sheetData>
      <sheetData sheetId="1761">
        <row r="8">
          <cell r="E8">
            <v>100</v>
          </cell>
        </row>
      </sheetData>
      <sheetData sheetId="1762">
        <row r="8">
          <cell r="E8">
            <v>100</v>
          </cell>
        </row>
      </sheetData>
      <sheetData sheetId="1763">
        <row r="8">
          <cell r="E8">
            <v>100</v>
          </cell>
        </row>
      </sheetData>
      <sheetData sheetId="1764">
        <row r="8">
          <cell r="E8">
            <v>100</v>
          </cell>
        </row>
      </sheetData>
      <sheetData sheetId="1765">
        <row r="8">
          <cell r="E8">
            <v>100</v>
          </cell>
        </row>
      </sheetData>
      <sheetData sheetId="1766">
        <row r="8">
          <cell r="E8">
            <v>100</v>
          </cell>
        </row>
      </sheetData>
      <sheetData sheetId="1767">
        <row r="8">
          <cell r="E8">
            <v>100</v>
          </cell>
        </row>
      </sheetData>
      <sheetData sheetId="1768">
        <row r="8">
          <cell r="E8">
            <v>100</v>
          </cell>
        </row>
      </sheetData>
      <sheetData sheetId="1769">
        <row r="8">
          <cell r="E8">
            <v>100</v>
          </cell>
        </row>
      </sheetData>
      <sheetData sheetId="1770">
        <row r="8">
          <cell r="E8">
            <v>100</v>
          </cell>
        </row>
      </sheetData>
      <sheetData sheetId="1771">
        <row r="8">
          <cell r="E8">
            <v>100</v>
          </cell>
        </row>
      </sheetData>
      <sheetData sheetId="1772">
        <row r="8">
          <cell r="E8">
            <v>100</v>
          </cell>
        </row>
      </sheetData>
      <sheetData sheetId="1773">
        <row r="8">
          <cell r="E8">
            <v>100</v>
          </cell>
        </row>
      </sheetData>
      <sheetData sheetId="1774">
        <row r="8">
          <cell r="E8">
            <v>100</v>
          </cell>
        </row>
      </sheetData>
      <sheetData sheetId="1775">
        <row r="8">
          <cell r="E8">
            <v>100</v>
          </cell>
        </row>
      </sheetData>
      <sheetData sheetId="1776">
        <row r="8">
          <cell r="E8">
            <v>100</v>
          </cell>
        </row>
      </sheetData>
      <sheetData sheetId="1777">
        <row r="8">
          <cell r="E8">
            <v>100</v>
          </cell>
        </row>
      </sheetData>
      <sheetData sheetId="1778">
        <row r="8">
          <cell r="E8">
            <v>100</v>
          </cell>
        </row>
      </sheetData>
      <sheetData sheetId="1779">
        <row r="8">
          <cell r="E8">
            <v>100</v>
          </cell>
        </row>
      </sheetData>
      <sheetData sheetId="1780">
        <row r="8">
          <cell r="E8">
            <v>100</v>
          </cell>
        </row>
      </sheetData>
      <sheetData sheetId="1781">
        <row r="8">
          <cell r="E8">
            <v>100</v>
          </cell>
        </row>
      </sheetData>
      <sheetData sheetId="1782">
        <row r="8">
          <cell r="E8">
            <v>100</v>
          </cell>
        </row>
      </sheetData>
      <sheetData sheetId="1783">
        <row r="8">
          <cell r="E8">
            <v>100</v>
          </cell>
        </row>
      </sheetData>
      <sheetData sheetId="1784">
        <row r="8">
          <cell r="E8">
            <v>100</v>
          </cell>
        </row>
      </sheetData>
      <sheetData sheetId="1785">
        <row r="8">
          <cell r="E8">
            <v>100</v>
          </cell>
        </row>
      </sheetData>
      <sheetData sheetId="1786">
        <row r="8">
          <cell r="E8">
            <v>100</v>
          </cell>
        </row>
      </sheetData>
      <sheetData sheetId="1787">
        <row r="8">
          <cell r="E8">
            <v>100</v>
          </cell>
        </row>
      </sheetData>
      <sheetData sheetId="1788">
        <row r="8">
          <cell r="E8">
            <v>100</v>
          </cell>
        </row>
      </sheetData>
      <sheetData sheetId="1789">
        <row r="8">
          <cell r="E8">
            <v>100</v>
          </cell>
        </row>
      </sheetData>
      <sheetData sheetId="1790">
        <row r="8">
          <cell r="E8">
            <v>100</v>
          </cell>
        </row>
      </sheetData>
      <sheetData sheetId="1791">
        <row r="8">
          <cell r="E8">
            <v>100</v>
          </cell>
        </row>
      </sheetData>
      <sheetData sheetId="1792">
        <row r="8">
          <cell r="E8">
            <v>100</v>
          </cell>
        </row>
      </sheetData>
      <sheetData sheetId="1793">
        <row r="8">
          <cell r="E8">
            <v>100</v>
          </cell>
        </row>
      </sheetData>
      <sheetData sheetId="1794">
        <row r="8">
          <cell r="E8">
            <v>100</v>
          </cell>
        </row>
      </sheetData>
      <sheetData sheetId="1795">
        <row r="8">
          <cell r="E8">
            <v>100</v>
          </cell>
        </row>
      </sheetData>
      <sheetData sheetId="1796">
        <row r="8">
          <cell r="E8">
            <v>100</v>
          </cell>
        </row>
      </sheetData>
      <sheetData sheetId="1797">
        <row r="8">
          <cell r="E8">
            <v>100</v>
          </cell>
        </row>
      </sheetData>
      <sheetData sheetId="1798">
        <row r="8">
          <cell r="E8">
            <v>100</v>
          </cell>
        </row>
      </sheetData>
      <sheetData sheetId="1799">
        <row r="8">
          <cell r="E8">
            <v>100</v>
          </cell>
        </row>
      </sheetData>
      <sheetData sheetId="1800">
        <row r="8">
          <cell r="E8">
            <v>100</v>
          </cell>
        </row>
      </sheetData>
      <sheetData sheetId="1801">
        <row r="8">
          <cell r="E8">
            <v>100</v>
          </cell>
        </row>
      </sheetData>
      <sheetData sheetId="1802">
        <row r="8">
          <cell r="E8">
            <v>100</v>
          </cell>
        </row>
      </sheetData>
      <sheetData sheetId="1803">
        <row r="8">
          <cell r="E8">
            <v>100</v>
          </cell>
        </row>
      </sheetData>
      <sheetData sheetId="1804">
        <row r="8">
          <cell r="E8">
            <v>100</v>
          </cell>
        </row>
      </sheetData>
      <sheetData sheetId="1805">
        <row r="8">
          <cell r="E8">
            <v>100</v>
          </cell>
        </row>
      </sheetData>
      <sheetData sheetId="1806">
        <row r="8">
          <cell r="E8">
            <v>100</v>
          </cell>
        </row>
      </sheetData>
      <sheetData sheetId="1807">
        <row r="8">
          <cell r="E8">
            <v>100</v>
          </cell>
        </row>
      </sheetData>
      <sheetData sheetId="1808">
        <row r="8">
          <cell r="E8">
            <v>100</v>
          </cell>
        </row>
      </sheetData>
      <sheetData sheetId="1809">
        <row r="8">
          <cell r="E8">
            <v>100</v>
          </cell>
        </row>
      </sheetData>
      <sheetData sheetId="1810">
        <row r="8">
          <cell r="E8">
            <v>100</v>
          </cell>
        </row>
      </sheetData>
      <sheetData sheetId="1811">
        <row r="8">
          <cell r="E8">
            <v>100</v>
          </cell>
        </row>
      </sheetData>
      <sheetData sheetId="1812">
        <row r="8">
          <cell r="E8">
            <v>100</v>
          </cell>
        </row>
      </sheetData>
      <sheetData sheetId="1813">
        <row r="8">
          <cell r="E8">
            <v>100</v>
          </cell>
        </row>
      </sheetData>
      <sheetData sheetId="1814">
        <row r="8">
          <cell r="E8">
            <v>100</v>
          </cell>
        </row>
      </sheetData>
      <sheetData sheetId="1815">
        <row r="8">
          <cell r="E8">
            <v>100</v>
          </cell>
        </row>
      </sheetData>
      <sheetData sheetId="1816">
        <row r="8">
          <cell r="E8">
            <v>100</v>
          </cell>
        </row>
      </sheetData>
      <sheetData sheetId="1817">
        <row r="8">
          <cell r="E8">
            <v>100</v>
          </cell>
        </row>
      </sheetData>
      <sheetData sheetId="1818">
        <row r="8">
          <cell r="E8">
            <v>100</v>
          </cell>
        </row>
      </sheetData>
      <sheetData sheetId="1819">
        <row r="8">
          <cell r="E8">
            <v>100</v>
          </cell>
        </row>
      </sheetData>
      <sheetData sheetId="1820">
        <row r="8">
          <cell r="E8">
            <v>100</v>
          </cell>
        </row>
      </sheetData>
      <sheetData sheetId="1821">
        <row r="8">
          <cell r="E8">
            <v>100</v>
          </cell>
        </row>
      </sheetData>
      <sheetData sheetId="1822">
        <row r="8">
          <cell r="E8">
            <v>100</v>
          </cell>
        </row>
      </sheetData>
      <sheetData sheetId="1823">
        <row r="8">
          <cell r="E8">
            <v>100</v>
          </cell>
        </row>
      </sheetData>
      <sheetData sheetId="1824">
        <row r="8">
          <cell r="E8">
            <v>100</v>
          </cell>
        </row>
      </sheetData>
      <sheetData sheetId="1825">
        <row r="8">
          <cell r="E8">
            <v>100</v>
          </cell>
        </row>
      </sheetData>
      <sheetData sheetId="1826">
        <row r="8">
          <cell r="E8">
            <v>100</v>
          </cell>
        </row>
      </sheetData>
      <sheetData sheetId="1827">
        <row r="8">
          <cell r="E8">
            <v>100</v>
          </cell>
        </row>
      </sheetData>
      <sheetData sheetId="1828">
        <row r="8">
          <cell r="E8">
            <v>100</v>
          </cell>
        </row>
      </sheetData>
      <sheetData sheetId="1829">
        <row r="8">
          <cell r="E8">
            <v>100</v>
          </cell>
        </row>
      </sheetData>
      <sheetData sheetId="1830">
        <row r="8">
          <cell r="E8">
            <v>100</v>
          </cell>
        </row>
      </sheetData>
      <sheetData sheetId="1831">
        <row r="8">
          <cell r="E8">
            <v>100</v>
          </cell>
        </row>
      </sheetData>
      <sheetData sheetId="1832">
        <row r="8">
          <cell r="E8">
            <v>100</v>
          </cell>
        </row>
      </sheetData>
      <sheetData sheetId="1833">
        <row r="8">
          <cell r="E8">
            <v>100</v>
          </cell>
        </row>
      </sheetData>
      <sheetData sheetId="1834">
        <row r="8">
          <cell r="E8">
            <v>100</v>
          </cell>
        </row>
      </sheetData>
      <sheetData sheetId="1835">
        <row r="8">
          <cell r="E8">
            <v>100</v>
          </cell>
        </row>
      </sheetData>
      <sheetData sheetId="1836">
        <row r="8">
          <cell r="E8">
            <v>100</v>
          </cell>
        </row>
      </sheetData>
      <sheetData sheetId="1837">
        <row r="8">
          <cell r="E8">
            <v>100</v>
          </cell>
        </row>
      </sheetData>
      <sheetData sheetId="1838">
        <row r="8">
          <cell r="E8">
            <v>100</v>
          </cell>
        </row>
      </sheetData>
      <sheetData sheetId="1839">
        <row r="8">
          <cell r="E8">
            <v>100</v>
          </cell>
        </row>
      </sheetData>
      <sheetData sheetId="1840">
        <row r="8">
          <cell r="E8">
            <v>100</v>
          </cell>
        </row>
      </sheetData>
      <sheetData sheetId="1841">
        <row r="8">
          <cell r="E8">
            <v>100</v>
          </cell>
        </row>
      </sheetData>
      <sheetData sheetId="1842">
        <row r="8">
          <cell r="E8">
            <v>100</v>
          </cell>
        </row>
      </sheetData>
      <sheetData sheetId="1843">
        <row r="8">
          <cell r="E8">
            <v>100</v>
          </cell>
        </row>
      </sheetData>
      <sheetData sheetId="1844">
        <row r="8">
          <cell r="E8">
            <v>100</v>
          </cell>
        </row>
      </sheetData>
      <sheetData sheetId="1845">
        <row r="8">
          <cell r="E8">
            <v>100</v>
          </cell>
        </row>
      </sheetData>
      <sheetData sheetId="1846">
        <row r="8">
          <cell r="E8">
            <v>100</v>
          </cell>
        </row>
      </sheetData>
      <sheetData sheetId="1847">
        <row r="8">
          <cell r="E8">
            <v>100</v>
          </cell>
        </row>
      </sheetData>
      <sheetData sheetId="1848">
        <row r="8">
          <cell r="E8">
            <v>100</v>
          </cell>
        </row>
      </sheetData>
      <sheetData sheetId="1849">
        <row r="8">
          <cell r="E8">
            <v>100</v>
          </cell>
        </row>
      </sheetData>
      <sheetData sheetId="1850">
        <row r="8">
          <cell r="E8">
            <v>100</v>
          </cell>
        </row>
      </sheetData>
      <sheetData sheetId="1851">
        <row r="8">
          <cell r="E8">
            <v>100</v>
          </cell>
        </row>
      </sheetData>
      <sheetData sheetId="1852">
        <row r="8">
          <cell r="E8">
            <v>100</v>
          </cell>
        </row>
      </sheetData>
      <sheetData sheetId="1853">
        <row r="8">
          <cell r="E8">
            <v>100</v>
          </cell>
        </row>
      </sheetData>
      <sheetData sheetId="1854">
        <row r="8">
          <cell r="E8">
            <v>100</v>
          </cell>
        </row>
      </sheetData>
      <sheetData sheetId="1855">
        <row r="8">
          <cell r="E8">
            <v>100</v>
          </cell>
        </row>
      </sheetData>
      <sheetData sheetId="1856">
        <row r="8">
          <cell r="E8">
            <v>100</v>
          </cell>
        </row>
      </sheetData>
      <sheetData sheetId="1857">
        <row r="8">
          <cell r="E8">
            <v>100</v>
          </cell>
        </row>
      </sheetData>
      <sheetData sheetId="1858">
        <row r="8">
          <cell r="E8">
            <v>100</v>
          </cell>
        </row>
      </sheetData>
      <sheetData sheetId="1859">
        <row r="8">
          <cell r="E8">
            <v>100</v>
          </cell>
        </row>
      </sheetData>
      <sheetData sheetId="1860">
        <row r="8">
          <cell r="E8">
            <v>100</v>
          </cell>
        </row>
      </sheetData>
      <sheetData sheetId="1861">
        <row r="8">
          <cell r="E8">
            <v>100</v>
          </cell>
        </row>
      </sheetData>
      <sheetData sheetId="1862">
        <row r="8">
          <cell r="E8">
            <v>100</v>
          </cell>
        </row>
      </sheetData>
      <sheetData sheetId="1863">
        <row r="8">
          <cell r="E8">
            <v>100</v>
          </cell>
        </row>
      </sheetData>
      <sheetData sheetId="1864">
        <row r="8">
          <cell r="E8">
            <v>100</v>
          </cell>
        </row>
      </sheetData>
      <sheetData sheetId="1865">
        <row r="8">
          <cell r="E8">
            <v>100</v>
          </cell>
        </row>
      </sheetData>
      <sheetData sheetId="1866">
        <row r="8">
          <cell r="E8">
            <v>100</v>
          </cell>
        </row>
      </sheetData>
      <sheetData sheetId="1867">
        <row r="8">
          <cell r="E8">
            <v>100</v>
          </cell>
        </row>
      </sheetData>
      <sheetData sheetId="1868">
        <row r="8">
          <cell r="E8">
            <v>100</v>
          </cell>
        </row>
      </sheetData>
      <sheetData sheetId="1869">
        <row r="8">
          <cell r="E8">
            <v>100</v>
          </cell>
        </row>
      </sheetData>
      <sheetData sheetId="1870">
        <row r="8">
          <cell r="E8">
            <v>100</v>
          </cell>
        </row>
      </sheetData>
      <sheetData sheetId="1871">
        <row r="8">
          <cell r="E8">
            <v>100</v>
          </cell>
        </row>
      </sheetData>
      <sheetData sheetId="1872">
        <row r="8">
          <cell r="E8">
            <v>100</v>
          </cell>
        </row>
      </sheetData>
      <sheetData sheetId="1873">
        <row r="8">
          <cell r="E8">
            <v>100</v>
          </cell>
        </row>
      </sheetData>
      <sheetData sheetId="1874">
        <row r="8">
          <cell r="E8">
            <v>100</v>
          </cell>
        </row>
      </sheetData>
      <sheetData sheetId="1875">
        <row r="8">
          <cell r="E8">
            <v>100</v>
          </cell>
        </row>
      </sheetData>
      <sheetData sheetId="1876">
        <row r="8">
          <cell r="E8">
            <v>100</v>
          </cell>
        </row>
      </sheetData>
      <sheetData sheetId="1877">
        <row r="8">
          <cell r="E8">
            <v>100</v>
          </cell>
        </row>
      </sheetData>
      <sheetData sheetId="1878">
        <row r="8">
          <cell r="E8">
            <v>100</v>
          </cell>
        </row>
      </sheetData>
      <sheetData sheetId="1879">
        <row r="8">
          <cell r="E8">
            <v>100</v>
          </cell>
        </row>
      </sheetData>
      <sheetData sheetId="1880">
        <row r="8">
          <cell r="E8">
            <v>100</v>
          </cell>
        </row>
      </sheetData>
      <sheetData sheetId="1881">
        <row r="8">
          <cell r="E8">
            <v>100</v>
          </cell>
        </row>
      </sheetData>
      <sheetData sheetId="1882">
        <row r="8">
          <cell r="E8">
            <v>100</v>
          </cell>
        </row>
      </sheetData>
      <sheetData sheetId="1883">
        <row r="8">
          <cell r="E8">
            <v>100</v>
          </cell>
        </row>
      </sheetData>
      <sheetData sheetId="1884">
        <row r="8">
          <cell r="E8">
            <v>100</v>
          </cell>
        </row>
      </sheetData>
      <sheetData sheetId="1885">
        <row r="8">
          <cell r="E8">
            <v>100</v>
          </cell>
        </row>
      </sheetData>
      <sheetData sheetId="1886">
        <row r="8">
          <cell r="E8">
            <v>100</v>
          </cell>
        </row>
      </sheetData>
      <sheetData sheetId="1887">
        <row r="8">
          <cell r="E8">
            <v>100</v>
          </cell>
        </row>
      </sheetData>
      <sheetData sheetId="1888">
        <row r="8">
          <cell r="E8">
            <v>100</v>
          </cell>
        </row>
      </sheetData>
      <sheetData sheetId="1889">
        <row r="8">
          <cell r="E8">
            <v>100</v>
          </cell>
        </row>
      </sheetData>
      <sheetData sheetId="1890">
        <row r="8">
          <cell r="E8">
            <v>100</v>
          </cell>
        </row>
      </sheetData>
      <sheetData sheetId="1891">
        <row r="8">
          <cell r="E8">
            <v>100</v>
          </cell>
        </row>
      </sheetData>
      <sheetData sheetId="1892">
        <row r="8">
          <cell r="E8">
            <v>100</v>
          </cell>
        </row>
      </sheetData>
      <sheetData sheetId="1893">
        <row r="8">
          <cell r="E8">
            <v>100</v>
          </cell>
        </row>
      </sheetData>
      <sheetData sheetId="1894">
        <row r="8">
          <cell r="E8">
            <v>100</v>
          </cell>
        </row>
      </sheetData>
      <sheetData sheetId="1895">
        <row r="8">
          <cell r="E8">
            <v>100</v>
          </cell>
        </row>
      </sheetData>
      <sheetData sheetId="1896">
        <row r="8">
          <cell r="E8">
            <v>100</v>
          </cell>
        </row>
      </sheetData>
      <sheetData sheetId="1897">
        <row r="8">
          <cell r="E8">
            <v>100</v>
          </cell>
        </row>
      </sheetData>
      <sheetData sheetId="1898">
        <row r="8">
          <cell r="E8">
            <v>100</v>
          </cell>
        </row>
      </sheetData>
      <sheetData sheetId="1899">
        <row r="8">
          <cell r="E8">
            <v>100</v>
          </cell>
        </row>
      </sheetData>
      <sheetData sheetId="1900">
        <row r="8">
          <cell r="E8">
            <v>100</v>
          </cell>
        </row>
      </sheetData>
      <sheetData sheetId="1901">
        <row r="8">
          <cell r="E8">
            <v>100</v>
          </cell>
        </row>
      </sheetData>
      <sheetData sheetId="1902">
        <row r="8">
          <cell r="E8">
            <v>100</v>
          </cell>
        </row>
      </sheetData>
      <sheetData sheetId="1903">
        <row r="8">
          <cell r="E8">
            <v>100</v>
          </cell>
        </row>
      </sheetData>
      <sheetData sheetId="1904">
        <row r="8">
          <cell r="E8">
            <v>100</v>
          </cell>
        </row>
      </sheetData>
      <sheetData sheetId="1905">
        <row r="8">
          <cell r="E8">
            <v>100</v>
          </cell>
        </row>
      </sheetData>
      <sheetData sheetId="1906">
        <row r="8">
          <cell r="E8">
            <v>100</v>
          </cell>
        </row>
      </sheetData>
      <sheetData sheetId="1907">
        <row r="8">
          <cell r="E8">
            <v>100</v>
          </cell>
        </row>
      </sheetData>
      <sheetData sheetId="1908">
        <row r="8">
          <cell r="E8">
            <v>100</v>
          </cell>
        </row>
      </sheetData>
      <sheetData sheetId="1909">
        <row r="8">
          <cell r="E8">
            <v>100</v>
          </cell>
        </row>
      </sheetData>
      <sheetData sheetId="1910">
        <row r="8">
          <cell r="E8">
            <v>100</v>
          </cell>
        </row>
      </sheetData>
      <sheetData sheetId="1911">
        <row r="8">
          <cell r="E8">
            <v>100</v>
          </cell>
        </row>
      </sheetData>
      <sheetData sheetId="1912">
        <row r="8">
          <cell r="E8">
            <v>100</v>
          </cell>
        </row>
      </sheetData>
      <sheetData sheetId="1913">
        <row r="8">
          <cell r="E8">
            <v>100</v>
          </cell>
        </row>
      </sheetData>
      <sheetData sheetId="1914">
        <row r="8">
          <cell r="E8">
            <v>100</v>
          </cell>
        </row>
      </sheetData>
      <sheetData sheetId="1915">
        <row r="8">
          <cell r="E8">
            <v>100</v>
          </cell>
        </row>
      </sheetData>
      <sheetData sheetId="1916">
        <row r="8">
          <cell r="E8">
            <v>100</v>
          </cell>
        </row>
      </sheetData>
      <sheetData sheetId="1917">
        <row r="8">
          <cell r="E8">
            <v>100</v>
          </cell>
        </row>
      </sheetData>
      <sheetData sheetId="1918">
        <row r="8">
          <cell r="E8">
            <v>100</v>
          </cell>
        </row>
      </sheetData>
      <sheetData sheetId="1919">
        <row r="8">
          <cell r="E8">
            <v>100</v>
          </cell>
        </row>
      </sheetData>
      <sheetData sheetId="1920">
        <row r="8">
          <cell r="E8">
            <v>100</v>
          </cell>
        </row>
      </sheetData>
      <sheetData sheetId="1921">
        <row r="8">
          <cell r="E8">
            <v>100</v>
          </cell>
        </row>
      </sheetData>
      <sheetData sheetId="1922">
        <row r="8">
          <cell r="E8">
            <v>100</v>
          </cell>
        </row>
      </sheetData>
      <sheetData sheetId="1923">
        <row r="8">
          <cell r="E8">
            <v>100</v>
          </cell>
        </row>
      </sheetData>
      <sheetData sheetId="1924">
        <row r="8">
          <cell r="E8">
            <v>100</v>
          </cell>
        </row>
      </sheetData>
      <sheetData sheetId="1925">
        <row r="8">
          <cell r="E8">
            <v>100</v>
          </cell>
        </row>
      </sheetData>
      <sheetData sheetId="1926">
        <row r="8">
          <cell r="E8">
            <v>100</v>
          </cell>
        </row>
      </sheetData>
      <sheetData sheetId="1927">
        <row r="8">
          <cell r="E8">
            <v>100</v>
          </cell>
        </row>
      </sheetData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/>
      <sheetData sheetId="1944"/>
      <sheetData sheetId="1945">
        <row r="8">
          <cell r="E8">
            <v>100</v>
          </cell>
        </row>
      </sheetData>
      <sheetData sheetId="1946">
        <row r="8">
          <cell r="E8">
            <v>100</v>
          </cell>
        </row>
      </sheetData>
      <sheetData sheetId="1947">
        <row r="8">
          <cell r="E8">
            <v>100</v>
          </cell>
        </row>
      </sheetData>
      <sheetData sheetId="1948">
        <row r="8">
          <cell r="E8">
            <v>100</v>
          </cell>
        </row>
      </sheetData>
      <sheetData sheetId="1949">
        <row r="8">
          <cell r="E8">
            <v>100</v>
          </cell>
        </row>
      </sheetData>
      <sheetData sheetId="1950">
        <row r="8">
          <cell r="E8">
            <v>100</v>
          </cell>
        </row>
      </sheetData>
      <sheetData sheetId="1951">
        <row r="8">
          <cell r="E8">
            <v>100</v>
          </cell>
        </row>
      </sheetData>
      <sheetData sheetId="1952">
        <row r="8">
          <cell r="E8">
            <v>100</v>
          </cell>
        </row>
      </sheetData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>
        <row r="8">
          <cell r="E8">
            <v>100</v>
          </cell>
        </row>
      </sheetData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>
        <row r="8">
          <cell r="E8">
            <v>100</v>
          </cell>
        </row>
      </sheetData>
      <sheetData sheetId="2021">
        <row r="8">
          <cell r="E8">
            <v>100</v>
          </cell>
        </row>
      </sheetData>
      <sheetData sheetId="2022">
        <row r="8">
          <cell r="E8">
            <v>100</v>
          </cell>
        </row>
      </sheetData>
      <sheetData sheetId="2023">
        <row r="8">
          <cell r="E8">
            <v>100</v>
          </cell>
        </row>
      </sheetData>
      <sheetData sheetId="2024">
        <row r="8">
          <cell r="E8">
            <v>100</v>
          </cell>
        </row>
      </sheetData>
      <sheetData sheetId="2025">
        <row r="8">
          <cell r="E8">
            <v>100</v>
          </cell>
        </row>
      </sheetData>
      <sheetData sheetId="2026">
        <row r="8">
          <cell r="E8">
            <v>100</v>
          </cell>
        </row>
      </sheetData>
      <sheetData sheetId="2027">
        <row r="8">
          <cell r="E8">
            <v>100</v>
          </cell>
        </row>
      </sheetData>
      <sheetData sheetId="2028">
        <row r="8">
          <cell r="E8">
            <v>100</v>
          </cell>
        </row>
      </sheetData>
      <sheetData sheetId="2029">
        <row r="8">
          <cell r="E8">
            <v>100</v>
          </cell>
        </row>
      </sheetData>
      <sheetData sheetId="2030">
        <row r="8">
          <cell r="E8">
            <v>100</v>
          </cell>
        </row>
      </sheetData>
      <sheetData sheetId="2031">
        <row r="8">
          <cell r="E8">
            <v>100</v>
          </cell>
        </row>
      </sheetData>
      <sheetData sheetId="2032">
        <row r="8">
          <cell r="E8">
            <v>100</v>
          </cell>
        </row>
      </sheetData>
      <sheetData sheetId="2033">
        <row r="8">
          <cell r="E8">
            <v>100</v>
          </cell>
        </row>
      </sheetData>
      <sheetData sheetId="2034">
        <row r="8">
          <cell r="E8">
            <v>100</v>
          </cell>
        </row>
      </sheetData>
      <sheetData sheetId="2035">
        <row r="8">
          <cell r="E8">
            <v>100</v>
          </cell>
        </row>
      </sheetData>
      <sheetData sheetId="2036">
        <row r="8">
          <cell r="E8">
            <v>100</v>
          </cell>
        </row>
      </sheetData>
      <sheetData sheetId="2037">
        <row r="8">
          <cell r="E8">
            <v>100</v>
          </cell>
        </row>
      </sheetData>
      <sheetData sheetId="2038">
        <row r="8">
          <cell r="E8">
            <v>100</v>
          </cell>
        </row>
      </sheetData>
      <sheetData sheetId="2039">
        <row r="8">
          <cell r="E8">
            <v>100</v>
          </cell>
        </row>
      </sheetData>
      <sheetData sheetId="2040">
        <row r="8">
          <cell r="E8">
            <v>100</v>
          </cell>
        </row>
      </sheetData>
      <sheetData sheetId="2041">
        <row r="8">
          <cell r="E8">
            <v>100</v>
          </cell>
        </row>
      </sheetData>
      <sheetData sheetId="2042">
        <row r="8">
          <cell r="E8">
            <v>100</v>
          </cell>
        </row>
      </sheetData>
      <sheetData sheetId="2043">
        <row r="8">
          <cell r="E8">
            <v>100</v>
          </cell>
        </row>
      </sheetData>
      <sheetData sheetId="2044">
        <row r="8">
          <cell r="E8">
            <v>100</v>
          </cell>
        </row>
      </sheetData>
      <sheetData sheetId="2045">
        <row r="8">
          <cell r="E8">
            <v>100</v>
          </cell>
        </row>
      </sheetData>
      <sheetData sheetId="2046">
        <row r="8">
          <cell r="E8">
            <v>100</v>
          </cell>
        </row>
      </sheetData>
      <sheetData sheetId="2047">
        <row r="8">
          <cell r="E8">
            <v>100</v>
          </cell>
        </row>
      </sheetData>
      <sheetData sheetId="2048">
        <row r="8">
          <cell r="E8">
            <v>100</v>
          </cell>
        </row>
      </sheetData>
      <sheetData sheetId="2049">
        <row r="8">
          <cell r="E8">
            <v>100</v>
          </cell>
        </row>
      </sheetData>
      <sheetData sheetId="2050">
        <row r="8">
          <cell r="E8">
            <v>100</v>
          </cell>
        </row>
      </sheetData>
      <sheetData sheetId="2051">
        <row r="8">
          <cell r="E8">
            <v>100</v>
          </cell>
        </row>
      </sheetData>
      <sheetData sheetId="2052">
        <row r="8">
          <cell r="E8">
            <v>100</v>
          </cell>
        </row>
      </sheetData>
      <sheetData sheetId="2053">
        <row r="8">
          <cell r="E8">
            <v>100</v>
          </cell>
        </row>
      </sheetData>
      <sheetData sheetId="2054">
        <row r="8">
          <cell r="E8">
            <v>100</v>
          </cell>
        </row>
      </sheetData>
      <sheetData sheetId="2055">
        <row r="8">
          <cell r="E8">
            <v>100</v>
          </cell>
        </row>
      </sheetData>
      <sheetData sheetId="2056">
        <row r="8">
          <cell r="E8">
            <v>100</v>
          </cell>
        </row>
      </sheetData>
      <sheetData sheetId="2057">
        <row r="8">
          <cell r="E8">
            <v>100</v>
          </cell>
        </row>
      </sheetData>
      <sheetData sheetId="2058">
        <row r="8">
          <cell r="E8">
            <v>100</v>
          </cell>
        </row>
      </sheetData>
      <sheetData sheetId="2059">
        <row r="8">
          <cell r="E8">
            <v>100</v>
          </cell>
        </row>
      </sheetData>
      <sheetData sheetId="2060">
        <row r="8">
          <cell r="E8">
            <v>100</v>
          </cell>
        </row>
      </sheetData>
      <sheetData sheetId="2061">
        <row r="8">
          <cell r="E8">
            <v>100</v>
          </cell>
        </row>
      </sheetData>
      <sheetData sheetId="2062">
        <row r="8">
          <cell r="E8">
            <v>100</v>
          </cell>
        </row>
      </sheetData>
      <sheetData sheetId="2063">
        <row r="8">
          <cell r="E8">
            <v>100</v>
          </cell>
        </row>
      </sheetData>
      <sheetData sheetId="2064">
        <row r="8">
          <cell r="E8">
            <v>100</v>
          </cell>
        </row>
      </sheetData>
      <sheetData sheetId="2065">
        <row r="8">
          <cell r="E8">
            <v>100</v>
          </cell>
        </row>
      </sheetData>
      <sheetData sheetId="2066">
        <row r="8">
          <cell r="E8">
            <v>100</v>
          </cell>
        </row>
      </sheetData>
      <sheetData sheetId="2067">
        <row r="8">
          <cell r="E8">
            <v>100</v>
          </cell>
        </row>
      </sheetData>
      <sheetData sheetId="2068">
        <row r="8">
          <cell r="E8">
            <v>100</v>
          </cell>
        </row>
      </sheetData>
      <sheetData sheetId="2069">
        <row r="8">
          <cell r="E8">
            <v>100</v>
          </cell>
        </row>
      </sheetData>
      <sheetData sheetId="2070">
        <row r="8">
          <cell r="E8">
            <v>100</v>
          </cell>
        </row>
      </sheetData>
      <sheetData sheetId="2071">
        <row r="8">
          <cell r="E8">
            <v>100</v>
          </cell>
        </row>
      </sheetData>
      <sheetData sheetId="2072">
        <row r="8">
          <cell r="E8">
            <v>100</v>
          </cell>
        </row>
      </sheetData>
      <sheetData sheetId="2073">
        <row r="8">
          <cell r="E8">
            <v>100</v>
          </cell>
        </row>
      </sheetData>
      <sheetData sheetId="2074">
        <row r="8">
          <cell r="E8">
            <v>100</v>
          </cell>
        </row>
      </sheetData>
      <sheetData sheetId="2075">
        <row r="8">
          <cell r="E8">
            <v>100</v>
          </cell>
        </row>
      </sheetData>
      <sheetData sheetId="2076">
        <row r="8">
          <cell r="E8">
            <v>100</v>
          </cell>
        </row>
      </sheetData>
      <sheetData sheetId="2077">
        <row r="8">
          <cell r="E8">
            <v>100</v>
          </cell>
        </row>
      </sheetData>
      <sheetData sheetId="2078">
        <row r="8">
          <cell r="E8">
            <v>100</v>
          </cell>
        </row>
      </sheetData>
      <sheetData sheetId="2079">
        <row r="8">
          <cell r="E8">
            <v>100</v>
          </cell>
        </row>
      </sheetData>
      <sheetData sheetId="2080">
        <row r="8">
          <cell r="E8">
            <v>100</v>
          </cell>
        </row>
      </sheetData>
      <sheetData sheetId="2081">
        <row r="8">
          <cell r="E8">
            <v>100</v>
          </cell>
        </row>
      </sheetData>
      <sheetData sheetId="2082">
        <row r="8">
          <cell r="E8">
            <v>100</v>
          </cell>
        </row>
      </sheetData>
      <sheetData sheetId="2083">
        <row r="8">
          <cell r="E8">
            <v>100</v>
          </cell>
        </row>
      </sheetData>
      <sheetData sheetId="2084">
        <row r="8">
          <cell r="E8">
            <v>100</v>
          </cell>
        </row>
      </sheetData>
      <sheetData sheetId="2085">
        <row r="8">
          <cell r="E8">
            <v>100</v>
          </cell>
        </row>
      </sheetData>
      <sheetData sheetId="2086">
        <row r="8">
          <cell r="E8">
            <v>100</v>
          </cell>
        </row>
      </sheetData>
      <sheetData sheetId="2087">
        <row r="8">
          <cell r="E8">
            <v>100</v>
          </cell>
        </row>
      </sheetData>
      <sheetData sheetId="2088">
        <row r="8">
          <cell r="E8">
            <v>100</v>
          </cell>
        </row>
      </sheetData>
      <sheetData sheetId="2089">
        <row r="8">
          <cell r="E8">
            <v>100</v>
          </cell>
        </row>
      </sheetData>
      <sheetData sheetId="2090">
        <row r="8">
          <cell r="E8">
            <v>100</v>
          </cell>
        </row>
      </sheetData>
      <sheetData sheetId="2091">
        <row r="8">
          <cell r="E8">
            <v>100</v>
          </cell>
        </row>
      </sheetData>
      <sheetData sheetId="2092">
        <row r="8">
          <cell r="E8">
            <v>100</v>
          </cell>
        </row>
      </sheetData>
      <sheetData sheetId="2093">
        <row r="8">
          <cell r="E8">
            <v>100</v>
          </cell>
        </row>
      </sheetData>
      <sheetData sheetId="2094">
        <row r="8">
          <cell r="E8">
            <v>100</v>
          </cell>
        </row>
      </sheetData>
      <sheetData sheetId="2095">
        <row r="8">
          <cell r="E8">
            <v>100</v>
          </cell>
        </row>
      </sheetData>
      <sheetData sheetId="2096">
        <row r="8">
          <cell r="E8">
            <v>100</v>
          </cell>
        </row>
      </sheetData>
      <sheetData sheetId="2097">
        <row r="8">
          <cell r="E8">
            <v>100</v>
          </cell>
        </row>
      </sheetData>
      <sheetData sheetId="2098">
        <row r="8">
          <cell r="E8">
            <v>100</v>
          </cell>
        </row>
      </sheetData>
      <sheetData sheetId="2099">
        <row r="8">
          <cell r="E8">
            <v>100</v>
          </cell>
        </row>
      </sheetData>
      <sheetData sheetId="2100">
        <row r="8">
          <cell r="E8">
            <v>100</v>
          </cell>
        </row>
      </sheetData>
      <sheetData sheetId="2101">
        <row r="8">
          <cell r="E8">
            <v>100</v>
          </cell>
        </row>
      </sheetData>
      <sheetData sheetId="2102">
        <row r="8">
          <cell r="E8">
            <v>100</v>
          </cell>
        </row>
      </sheetData>
      <sheetData sheetId="2103">
        <row r="8">
          <cell r="E8">
            <v>100</v>
          </cell>
        </row>
      </sheetData>
      <sheetData sheetId="2104">
        <row r="8">
          <cell r="E8">
            <v>100</v>
          </cell>
        </row>
      </sheetData>
      <sheetData sheetId="2105">
        <row r="8">
          <cell r="E8">
            <v>100</v>
          </cell>
        </row>
      </sheetData>
      <sheetData sheetId="2106">
        <row r="8">
          <cell r="E8">
            <v>100</v>
          </cell>
        </row>
      </sheetData>
      <sheetData sheetId="2107">
        <row r="8">
          <cell r="E8">
            <v>100</v>
          </cell>
        </row>
      </sheetData>
      <sheetData sheetId="2108">
        <row r="8">
          <cell r="E8">
            <v>100</v>
          </cell>
        </row>
      </sheetData>
      <sheetData sheetId="2109">
        <row r="8">
          <cell r="E8">
            <v>100</v>
          </cell>
        </row>
      </sheetData>
      <sheetData sheetId="2110">
        <row r="8">
          <cell r="E8">
            <v>100</v>
          </cell>
        </row>
      </sheetData>
      <sheetData sheetId="2111">
        <row r="8">
          <cell r="E8">
            <v>100</v>
          </cell>
        </row>
      </sheetData>
      <sheetData sheetId="2112">
        <row r="8">
          <cell r="E8">
            <v>100</v>
          </cell>
        </row>
      </sheetData>
      <sheetData sheetId="2113">
        <row r="8">
          <cell r="E8">
            <v>100</v>
          </cell>
        </row>
      </sheetData>
      <sheetData sheetId="2114">
        <row r="8">
          <cell r="E8">
            <v>100</v>
          </cell>
        </row>
      </sheetData>
      <sheetData sheetId="2115">
        <row r="8">
          <cell r="E8">
            <v>100</v>
          </cell>
        </row>
      </sheetData>
      <sheetData sheetId="2116">
        <row r="8">
          <cell r="E8">
            <v>100</v>
          </cell>
        </row>
      </sheetData>
      <sheetData sheetId="2117">
        <row r="8">
          <cell r="E8">
            <v>100</v>
          </cell>
        </row>
      </sheetData>
      <sheetData sheetId="2118">
        <row r="8">
          <cell r="E8">
            <v>100</v>
          </cell>
        </row>
      </sheetData>
      <sheetData sheetId="2119">
        <row r="8">
          <cell r="E8">
            <v>100</v>
          </cell>
        </row>
      </sheetData>
      <sheetData sheetId="2120">
        <row r="8">
          <cell r="E8">
            <v>100</v>
          </cell>
        </row>
      </sheetData>
      <sheetData sheetId="2121">
        <row r="8">
          <cell r="E8">
            <v>100</v>
          </cell>
        </row>
      </sheetData>
      <sheetData sheetId="2122">
        <row r="8">
          <cell r="E8">
            <v>100</v>
          </cell>
        </row>
      </sheetData>
      <sheetData sheetId="2123">
        <row r="8">
          <cell r="E8">
            <v>100</v>
          </cell>
        </row>
      </sheetData>
      <sheetData sheetId="2124">
        <row r="8">
          <cell r="E8">
            <v>100</v>
          </cell>
        </row>
      </sheetData>
      <sheetData sheetId="2125">
        <row r="8">
          <cell r="E8">
            <v>100</v>
          </cell>
        </row>
      </sheetData>
      <sheetData sheetId="2126">
        <row r="8">
          <cell r="E8">
            <v>100</v>
          </cell>
        </row>
      </sheetData>
      <sheetData sheetId="2127">
        <row r="8">
          <cell r="E8">
            <v>100</v>
          </cell>
        </row>
      </sheetData>
      <sheetData sheetId="2128">
        <row r="8">
          <cell r="E8">
            <v>100</v>
          </cell>
        </row>
      </sheetData>
      <sheetData sheetId="2129">
        <row r="8">
          <cell r="E8">
            <v>100</v>
          </cell>
        </row>
      </sheetData>
      <sheetData sheetId="2130">
        <row r="8">
          <cell r="E8">
            <v>100</v>
          </cell>
        </row>
      </sheetData>
      <sheetData sheetId="2131">
        <row r="8">
          <cell r="E8">
            <v>100</v>
          </cell>
        </row>
      </sheetData>
      <sheetData sheetId="2132">
        <row r="8">
          <cell r="E8">
            <v>100</v>
          </cell>
        </row>
      </sheetData>
      <sheetData sheetId="2133">
        <row r="8">
          <cell r="E8">
            <v>100</v>
          </cell>
        </row>
      </sheetData>
      <sheetData sheetId="2134">
        <row r="8">
          <cell r="E8">
            <v>100</v>
          </cell>
        </row>
      </sheetData>
      <sheetData sheetId="2135">
        <row r="8">
          <cell r="E8">
            <v>100</v>
          </cell>
        </row>
      </sheetData>
      <sheetData sheetId="2136">
        <row r="8">
          <cell r="E8">
            <v>100</v>
          </cell>
        </row>
      </sheetData>
      <sheetData sheetId="2137">
        <row r="8">
          <cell r="E8">
            <v>100</v>
          </cell>
        </row>
      </sheetData>
      <sheetData sheetId="2138">
        <row r="8">
          <cell r="E8">
            <v>100</v>
          </cell>
        </row>
      </sheetData>
      <sheetData sheetId="2139">
        <row r="8">
          <cell r="E8">
            <v>100</v>
          </cell>
        </row>
      </sheetData>
      <sheetData sheetId="2140">
        <row r="8">
          <cell r="E8">
            <v>100</v>
          </cell>
        </row>
      </sheetData>
      <sheetData sheetId="2141">
        <row r="8">
          <cell r="E8">
            <v>100</v>
          </cell>
        </row>
      </sheetData>
      <sheetData sheetId="2142">
        <row r="8">
          <cell r="E8">
            <v>100</v>
          </cell>
        </row>
      </sheetData>
      <sheetData sheetId="2143">
        <row r="8">
          <cell r="E8">
            <v>100</v>
          </cell>
        </row>
      </sheetData>
      <sheetData sheetId="2144">
        <row r="8">
          <cell r="E8">
            <v>100</v>
          </cell>
        </row>
      </sheetData>
      <sheetData sheetId="2145">
        <row r="8">
          <cell r="E8">
            <v>100</v>
          </cell>
        </row>
      </sheetData>
      <sheetData sheetId="2146">
        <row r="8">
          <cell r="E8">
            <v>100</v>
          </cell>
        </row>
      </sheetData>
      <sheetData sheetId="2147">
        <row r="8">
          <cell r="E8">
            <v>100</v>
          </cell>
        </row>
      </sheetData>
      <sheetData sheetId="2148">
        <row r="8">
          <cell r="E8">
            <v>100</v>
          </cell>
        </row>
      </sheetData>
      <sheetData sheetId="2149">
        <row r="8">
          <cell r="E8">
            <v>100</v>
          </cell>
        </row>
      </sheetData>
      <sheetData sheetId="2150">
        <row r="8">
          <cell r="E8">
            <v>100</v>
          </cell>
        </row>
      </sheetData>
      <sheetData sheetId="2151">
        <row r="8">
          <cell r="E8">
            <v>100</v>
          </cell>
        </row>
      </sheetData>
      <sheetData sheetId="2152">
        <row r="8">
          <cell r="E8">
            <v>100</v>
          </cell>
        </row>
      </sheetData>
      <sheetData sheetId="2153">
        <row r="8">
          <cell r="E8">
            <v>100</v>
          </cell>
        </row>
      </sheetData>
      <sheetData sheetId="2154">
        <row r="8">
          <cell r="E8">
            <v>100</v>
          </cell>
        </row>
      </sheetData>
      <sheetData sheetId="2155">
        <row r="8">
          <cell r="E8">
            <v>100</v>
          </cell>
        </row>
      </sheetData>
      <sheetData sheetId="2156">
        <row r="8">
          <cell r="E8">
            <v>100</v>
          </cell>
        </row>
      </sheetData>
      <sheetData sheetId="2157">
        <row r="8">
          <cell r="E8">
            <v>100</v>
          </cell>
        </row>
      </sheetData>
      <sheetData sheetId="2158">
        <row r="8">
          <cell r="E8">
            <v>100</v>
          </cell>
        </row>
      </sheetData>
      <sheetData sheetId="2159">
        <row r="8">
          <cell r="E8">
            <v>100</v>
          </cell>
        </row>
      </sheetData>
      <sheetData sheetId="2160">
        <row r="8">
          <cell r="E8">
            <v>100</v>
          </cell>
        </row>
      </sheetData>
      <sheetData sheetId="2161">
        <row r="8">
          <cell r="E8">
            <v>100</v>
          </cell>
        </row>
      </sheetData>
      <sheetData sheetId="2162">
        <row r="8">
          <cell r="E8">
            <v>100</v>
          </cell>
        </row>
      </sheetData>
      <sheetData sheetId="2163">
        <row r="8">
          <cell r="E8">
            <v>100</v>
          </cell>
        </row>
      </sheetData>
      <sheetData sheetId="2164">
        <row r="8">
          <cell r="E8">
            <v>100</v>
          </cell>
        </row>
      </sheetData>
      <sheetData sheetId="2165">
        <row r="8">
          <cell r="E8">
            <v>100</v>
          </cell>
        </row>
      </sheetData>
      <sheetData sheetId="2166">
        <row r="8">
          <cell r="E8">
            <v>100</v>
          </cell>
        </row>
      </sheetData>
      <sheetData sheetId="2167">
        <row r="8">
          <cell r="E8">
            <v>100</v>
          </cell>
        </row>
      </sheetData>
      <sheetData sheetId="2168">
        <row r="8">
          <cell r="E8">
            <v>100</v>
          </cell>
        </row>
      </sheetData>
      <sheetData sheetId="2169">
        <row r="8">
          <cell r="E8">
            <v>100</v>
          </cell>
        </row>
      </sheetData>
      <sheetData sheetId="2170">
        <row r="8">
          <cell r="E8">
            <v>100</v>
          </cell>
        </row>
      </sheetData>
      <sheetData sheetId="2171">
        <row r="8">
          <cell r="E8">
            <v>100</v>
          </cell>
        </row>
      </sheetData>
      <sheetData sheetId="2172">
        <row r="8">
          <cell r="E8">
            <v>100</v>
          </cell>
        </row>
      </sheetData>
      <sheetData sheetId="2173">
        <row r="8">
          <cell r="E8">
            <v>100</v>
          </cell>
        </row>
      </sheetData>
      <sheetData sheetId="2174">
        <row r="8">
          <cell r="E8">
            <v>100</v>
          </cell>
        </row>
      </sheetData>
      <sheetData sheetId="2175">
        <row r="8">
          <cell r="E8">
            <v>100</v>
          </cell>
        </row>
      </sheetData>
      <sheetData sheetId="2176">
        <row r="8">
          <cell r="E8">
            <v>100</v>
          </cell>
        </row>
      </sheetData>
      <sheetData sheetId="2177">
        <row r="8">
          <cell r="E8">
            <v>100</v>
          </cell>
        </row>
      </sheetData>
      <sheetData sheetId="2178">
        <row r="8">
          <cell r="E8">
            <v>100</v>
          </cell>
        </row>
      </sheetData>
      <sheetData sheetId="2179">
        <row r="8">
          <cell r="E8">
            <v>100</v>
          </cell>
        </row>
      </sheetData>
      <sheetData sheetId="2180">
        <row r="8">
          <cell r="E8">
            <v>100</v>
          </cell>
        </row>
      </sheetData>
      <sheetData sheetId="2181">
        <row r="8">
          <cell r="E8">
            <v>100</v>
          </cell>
        </row>
      </sheetData>
      <sheetData sheetId="2182">
        <row r="8">
          <cell r="E8">
            <v>100</v>
          </cell>
        </row>
      </sheetData>
      <sheetData sheetId="2183">
        <row r="8">
          <cell r="E8">
            <v>100</v>
          </cell>
        </row>
      </sheetData>
      <sheetData sheetId="2184">
        <row r="8">
          <cell r="E8">
            <v>100</v>
          </cell>
        </row>
      </sheetData>
      <sheetData sheetId="2185">
        <row r="8">
          <cell r="E8">
            <v>100</v>
          </cell>
        </row>
      </sheetData>
      <sheetData sheetId="2186">
        <row r="8">
          <cell r="E8">
            <v>100</v>
          </cell>
        </row>
      </sheetData>
      <sheetData sheetId="2187">
        <row r="8">
          <cell r="E8">
            <v>100</v>
          </cell>
        </row>
      </sheetData>
      <sheetData sheetId="2188">
        <row r="8">
          <cell r="E8">
            <v>100</v>
          </cell>
        </row>
      </sheetData>
      <sheetData sheetId="2189">
        <row r="8">
          <cell r="E8">
            <v>100</v>
          </cell>
        </row>
      </sheetData>
      <sheetData sheetId="2190">
        <row r="8">
          <cell r="E8">
            <v>100</v>
          </cell>
        </row>
      </sheetData>
      <sheetData sheetId="2191">
        <row r="8">
          <cell r="E8">
            <v>100</v>
          </cell>
        </row>
      </sheetData>
      <sheetData sheetId="2192">
        <row r="8">
          <cell r="E8">
            <v>100</v>
          </cell>
        </row>
      </sheetData>
      <sheetData sheetId="2193">
        <row r="8">
          <cell r="E8">
            <v>100</v>
          </cell>
        </row>
      </sheetData>
      <sheetData sheetId="2194">
        <row r="8">
          <cell r="E8">
            <v>100</v>
          </cell>
        </row>
      </sheetData>
      <sheetData sheetId="2195">
        <row r="8">
          <cell r="E8">
            <v>100</v>
          </cell>
        </row>
      </sheetData>
      <sheetData sheetId="2196">
        <row r="8">
          <cell r="E8">
            <v>100</v>
          </cell>
        </row>
      </sheetData>
      <sheetData sheetId="2197">
        <row r="8">
          <cell r="E8">
            <v>100</v>
          </cell>
        </row>
      </sheetData>
      <sheetData sheetId="2198">
        <row r="8">
          <cell r="E8">
            <v>100</v>
          </cell>
        </row>
      </sheetData>
      <sheetData sheetId="2199">
        <row r="8">
          <cell r="E8">
            <v>100</v>
          </cell>
        </row>
      </sheetData>
      <sheetData sheetId="2200">
        <row r="8">
          <cell r="E8">
            <v>100</v>
          </cell>
        </row>
      </sheetData>
      <sheetData sheetId="2201">
        <row r="8">
          <cell r="E8">
            <v>100</v>
          </cell>
        </row>
      </sheetData>
      <sheetData sheetId="2202">
        <row r="8">
          <cell r="E8">
            <v>100</v>
          </cell>
        </row>
      </sheetData>
      <sheetData sheetId="2203">
        <row r="8">
          <cell r="E8">
            <v>100</v>
          </cell>
        </row>
      </sheetData>
      <sheetData sheetId="2204">
        <row r="8">
          <cell r="E8">
            <v>100</v>
          </cell>
        </row>
      </sheetData>
      <sheetData sheetId="2205">
        <row r="8">
          <cell r="E8">
            <v>100</v>
          </cell>
        </row>
      </sheetData>
      <sheetData sheetId="2206">
        <row r="8">
          <cell r="E8">
            <v>100</v>
          </cell>
        </row>
      </sheetData>
      <sheetData sheetId="2207">
        <row r="8">
          <cell r="E8">
            <v>100</v>
          </cell>
        </row>
      </sheetData>
      <sheetData sheetId="2208">
        <row r="8">
          <cell r="E8">
            <v>100</v>
          </cell>
        </row>
      </sheetData>
      <sheetData sheetId="2209">
        <row r="8">
          <cell r="E8">
            <v>100</v>
          </cell>
        </row>
      </sheetData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>
        <row r="8">
          <cell r="E8">
            <v>100</v>
          </cell>
        </row>
      </sheetData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/>
      <sheetData sheetId="2297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/>
      <sheetData sheetId="2315"/>
      <sheetData sheetId="2316"/>
      <sheetData sheetId="2317"/>
      <sheetData sheetId="2318">
        <row r="8">
          <cell r="E8">
            <v>100</v>
          </cell>
        </row>
      </sheetData>
      <sheetData sheetId="2319">
        <row r="8">
          <cell r="E8">
            <v>100</v>
          </cell>
        </row>
      </sheetData>
      <sheetData sheetId="2320">
        <row r="8">
          <cell r="E8">
            <v>100</v>
          </cell>
        </row>
      </sheetData>
      <sheetData sheetId="2321"/>
      <sheetData sheetId="2322"/>
      <sheetData sheetId="2323">
        <row r="8">
          <cell r="E8">
            <v>100</v>
          </cell>
        </row>
      </sheetData>
      <sheetData sheetId="2324"/>
      <sheetData sheetId="2325">
        <row r="8">
          <cell r="E8">
            <v>100</v>
          </cell>
        </row>
      </sheetData>
      <sheetData sheetId="2326">
        <row r="8">
          <cell r="E8">
            <v>100</v>
          </cell>
        </row>
      </sheetData>
      <sheetData sheetId="2327">
        <row r="8">
          <cell r="E8">
            <v>100</v>
          </cell>
        </row>
      </sheetData>
      <sheetData sheetId="2328"/>
      <sheetData sheetId="2329">
        <row r="8">
          <cell r="E8">
            <v>100</v>
          </cell>
        </row>
      </sheetData>
      <sheetData sheetId="2330">
        <row r="8">
          <cell r="E8">
            <v>100</v>
          </cell>
        </row>
      </sheetData>
      <sheetData sheetId="2331"/>
      <sheetData sheetId="2332"/>
      <sheetData sheetId="2333">
        <row r="8">
          <cell r="E8">
            <v>100</v>
          </cell>
        </row>
      </sheetData>
      <sheetData sheetId="2334">
        <row r="8">
          <cell r="E8">
            <v>100</v>
          </cell>
        </row>
      </sheetData>
      <sheetData sheetId="2335"/>
      <sheetData sheetId="2336">
        <row r="8">
          <cell r="E8">
            <v>100</v>
          </cell>
        </row>
      </sheetData>
      <sheetData sheetId="2337">
        <row r="8">
          <cell r="E8">
            <v>100</v>
          </cell>
        </row>
      </sheetData>
      <sheetData sheetId="2338">
        <row r="8">
          <cell r="E8">
            <v>100</v>
          </cell>
        </row>
      </sheetData>
      <sheetData sheetId="2339">
        <row r="8">
          <cell r="E8">
            <v>100</v>
          </cell>
        </row>
      </sheetData>
      <sheetData sheetId="2340">
        <row r="8">
          <cell r="E8">
            <v>100</v>
          </cell>
        </row>
      </sheetData>
      <sheetData sheetId="2341">
        <row r="8">
          <cell r="E8">
            <v>100</v>
          </cell>
        </row>
      </sheetData>
      <sheetData sheetId="2342">
        <row r="8">
          <cell r="E8">
            <v>100</v>
          </cell>
        </row>
      </sheetData>
      <sheetData sheetId="2343">
        <row r="8">
          <cell r="E8">
            <v>100</v>
          </cell>
        </row>
      </sheetData>
      <sheetData sheetId="2344"/>
      <sheetData sheetId="2345"/>
      <sheetData sheetId="2346">
        <row r="8">
          <cell r="E8">
            <v>100</v>
          </cell>
        </row>
      </sheetData>
      <sheetData sheetId="2347">
        <row r="8">
          <cell r="E8">
            <v>100</v>
          </cell>
        </row>
      </sheetData>
      <sheetData sheetId="2348"/>
      <sheetData sheetId="2349"/>
      <sheetData sheetId="2350"/>
      <sheetData sheetId="2351">
        <row r="8">
          <cell r="E8">
            <v>100</v>
          </cell>
        </row>
      </sheetData>
      <sheetData sheetId="2352">
        <row r="8">
          <cell r="E8">
            <v>100</v>
          </cell>
        </row>
      </sheetData>
      <sheetData sheetId="2353">
        <row r="8">
          <cell r="E8">
            <v>100</v>
          </cell>
        </row>
      </sheetData>
      <sheetData sheetId="2354">
        <row r="8">
          <cell r="E8">
            <v>100</v>
          </cell>
        </row>
      </sheetData>
      <sheetData sheetId="2355"/>
      <sheetData sheetId="2356">
        <row r="8">
          <cell r="E8">
            <v>100</v>
          </cell>
        </row>
      </sheetData>
      <sheetData sheetId="2357">
        <row r="8">
          <cell r="E8">
            <v>100</v>
          </cell>
        </row>
      </sheetData>
      <sheetData sheetId="2358">
        <row r="8">
          <cell r="E8">
            <v>100</v>
          </cell>
        </row>
      </sheetData>
      <sheetData sheetId="2359">
        <row r="8">
          <cell r="E8">
            <v>100</v>
          </cell>
        </row>
      </sheetData>
      <sheetData sheetId="2360">
        <row r="8">
          <cell r="E8">
            <v>100</v>
          </cell>
        </row>
      </sheetData>
      <sheetData sheetId="2361"/>
      <sheetData sheetId="2362">
        <row r="8">
          <cell r="E8">
            <v>100</v>
          </cell>
        </row>
      </sheetData>
      <sheetData sheetId="2363">
        <row r="8">
          <cell r="E8">
            <v>100</v>
          </cell>
        </row>
      </sheetData>
      <sheetData sheetId="2364">
        <row r="8">
          <cell r="E8">
            <v>100</v>
          </cell>
        </row>
      </sheetData>
      <sheetData sheetId="2365">
        <row r="8">
          <cell r="E8">
            <v>100</v>
          </cell>
        </row>
      </sheetData>
      <sheetData sheetId="2366">
        <row r="8">
          <cell r="E8">
            <v>100</v>
          </cell>
        </row>
      </sheetData>
      <sheetData sheetId="2367">
        <row r="8">
          <cell r="E8">
            <v>100</v>
          </cell>
        </row>
      </sheetData>
      <sheetData sheetId="2368">
        <row r="8">
          <cell r="E8">
            <v>100</v>
          </cell>
        </row>
      </sheetData>
      <sheetData sheetId="2369">
        <row r="8">
          <cell r="E8">
            <v>100</v>
          </cell>
        </row>
      </sheetData>
      <sheetData sheetId="2370">
        <row r="8">
          <cell r="E8">
            <v>100</v>
          </cell>
        </row>
      </sheetData>
      <sheetData sheetId="2371">
        <row r="8">
          <cell r="E8">
            <v>100</v>
          </cell>
        </row>
      </sheetData>
      <sheetData sheetId="2372">
        <row r="8">
          <cell r="E8">
            <v>100</v>
          </cell>
        </row>
      </sheetData>
      <sheetData sheetId="2373">
        <row r="8">
          <cell r="E8">
            <v>100</v>
          </cell>
        </row>
      </sheetData>
      <sheetData sheetId="2374">
        <row r="8">
          <cell r="E8">
            <v>100</v>
          </cell>
        </row>
      </sheetData>
      <sheetData sheetId="2375">
        <row r="8">
          <cell r="E8">
            <v>100</v>
          </cell>
        </row>
      </sheetData>
      <sheetData sheetId="2376">
        <row r="8">
          <cell r="E8">
            <v>100</v>
          </cell>
        </row>
      </sheetData>
      <sheetData sheetId="2377">
        <row r="8">
          <cell r="E8">
            <v>100</v>
          </cell>
        </row>
      </sheetData>
      <sheetData sheetId="2378"/>
      <sheetData sheetId="2379">
        <row r="8">
          <cell r="E8">
            <v>100</v>
          </cell>
        </row>
      </sheetData>
      <sheetData sheetId="2380"/>
      <sheetData sheetId="2381">
        <row r="8">
          <cell r="E8">
            <v>100</v>
          </cell>
        </row>
      </sheetData>
      <sheetData sheetId="2382">
        <row r="8">
          <cell r="E8">
            <v>100</v>
          </cell>
        </row>
      </sheetData>
      <sheetData sheetId="2383">
        <row r="8">
          <cell r="E8">
            <v>100</v>
          </cell>
        </row>
      </sheetData>
      <sheetData sheetId="2384">
        <row r="8">
          <cell r="E8">
            <v>100</v>
          </cell>
        </row>
      </sheetData>
      <sheetData sheetId="2385">
        <row r="8">
          <cell r="E8">
            <v>100</v>
          </cell>
        </row>
      </sheetData>
      <sheetData sheetId="2386">
        <row r="8">
          <cell r="E8">
            <v>100</v>
          </cell>
        </row>
      </sheetData>
      <sheetData sheetId="2387">
        <row r="8">
          <cell r="E8">
            <v>100</v>
          </cell>
        </row>
      </sheetData>
      <sheetData sheetId="2388">
        <row r="8">
          <cell r="E8">
            <v>100</v>
          </cell>
        </row>
      </sheetData>
      <sheetData sheetId="2389">
        <row r="8">
          <cell r="E8">
            <v>100</v>
          </cell>
        </row>
      </sheetData>
      <sheetData sheetId="2390">
        <row r="8">
          <cell r="E8">
            <v>100</v>
          </cell>
        </row>
      </sheetData>
      <sheetData sheetId="2391">
        <row r="8">
          <cell r="E8">
            <v>100</v>
          </cell>
        </row>
      </sheetData>
      <sheetData sheetId="2392">
        <row r="8">
          <cell r="E8">
            <v>100</v>
          </cell>
        </row>
      </sheetData>
      <sheetData sheetId="2393">
        <row r="8">
          <cell r="E8">
            <v>100</v>
          </cell>
        </row>
      </sheetData>
      <sheetData sheetId="2394">
        <row r="8">
          <cell r="E8">
            <v>100</v>
          </cell>
        </row>
      </sheetData>
      <sheetData sheetId="2395">
        <row r="8">
          <cell r="E8">
            <v>100</v>
          </cell>
        </row>
      </sheetData>
      <sheetData sheetId="2396">
        <row r="8">
          <cell r="E8">
            <v>100</v>
          </cell>
        </row>
      </sheetData>
      <sheetData sheetId="2397">
        <row r="8">
          <cell r="E8">
            <v>100</v>
          </cell>
        </row>
      </sheetData>
      <sheetData sheetId="2398">
        <row r="8">
          <cell r="E8">
            <v>100</v>
          </cell>
        </row>
      </sheetData>
      <sheetData sheetId="2399">
        <row r="8">
          <cell r="E8">
            <v>100</v>
          </cell>
        </row>
      </sheetData>
      <sheetData sheetId="2400">
        <row r="8">
          <cell r="E8">
            <v>100</v>
          </cell>
        </row>
      </sheetData>
      <sheetData sheetId="2401">
        <row r="8">
          <cell r="E8">
            <v>100</v>
          </cell>
        </row>
      </sheetData>
      <sheetData sheetId="2402">
        <row r="8">
          <cell r="E8">
            <v>100</v>
          </cell>
        </row>
      </sheetData>
      <sheetData sheetId="2403">
        <row r="8">
          <cell r="E8">
            <v>100</v>
          </cell>
        </row>
      </sheetData>
      <sheetData sheetId="2404">
        <row r="8">
          <cell r="E8">
            <v>100</v>
          </cell>
        </row>
      </sheetData>
      <sheetData sheetId="2405">
        <row r="8">
          <cell r="E8">
            <v>100</v>
          </cell>
        </row>
      </sheetData>
      <sheetData sheetId="2406">
        <row r="8">
          <cell r="E8">
            <v>100</v>
          </cell>
        </row>
      </sheetData>
      <sheetData sheetId="2407">
        <row r="8">
          <cell r="E8">
            <v>100</v>
          </cell>
        </row>
      </sheetData>
      <sheetData sheetId="2408">
        <row r="8">
          <cell r="E8">
            <v>100</v>
          </cell>
        </row>
      </sheetData>
      <sheetData sheetId="2409">
        <row r="8">
          <cell r="E8">
            <v>100</v>
          </cell>
        </row>
      </sheetData>
      <sheetData sheetId="2410">
        <row r="8">
          <cell r="E8">
            <v>100</v>
          </cell>
        </row>
      </sheetData>
      <sheetData sheetId="2411">
        <row r="8">
          <cell r="E8">
            <v>100</v>
          </cell>
        </row>
      </sheetData>
      <sheetData sheetId="2412">
        <row r="8">
          <cell r="E8">
            <v>100</v>
          </cell>
        </row>
      </sheetData>
      <sheetData sheetId="2413">
        <row r="8">
          <cell r="E8">
            <v>100</v>
          </cell>
        </row>
      </sheetData>
      <sheetData sheetId="2414">
        <row r="8">
          <cell r="E8">
            <v>100</v>
          </cell>
        </row>
      </sheetData>
      <sheetData sheetId="2415">
        <row r="8">
          <cell r="E8">
            <v>100</v>
          </cell>
        </row>
      </sheetData>
      <sheetData sheetId="2416">
        <row r="8">
          <cell r="E8">
            <v>100</v>
          </cell>
        </row>
      </sheetData>
      <sheetData sheetId="2417">
        <row r="8">
          <cell r="E8">
            <v>100</v>
          </cell>
        </row>
      </sheetData>
      <sheetData sheetId="2418">
        <row r="8">
          <cell r="E8">
            <v>100</v>
          </cell>
        </row>
      </sheetData>
      <sheetData sheetId="2419">
        <row r="8">
          <cell r="E8">
            <v>100</v>
          </cell>
        </row>
      </sheetData>
      <sheetData sheetId="2420">
        <row r="8">
          <cell r="E8">
            <v>100</v>
          </cell>
        </row>
      </sheetData>
      <sheetData sheetId="2421">
        <row r="8">
          <cell r="E8">
            <v>100</v>
          </cell>
        </row>
      </sheetData>
      <sheetData sheetId="2422">
        <row r="8">
          <cell r="E8">
            <v>100</v>
          </cell>
        </row>
      </sheetData>
      <sheetData sheetId="2423">
        <row r="8">
          <cell r="E8">
            <v>100</v>
          </cell>
        </row>
      </sheetData>
      <sheetData sheetId="2424">
        <row r="8">
          <cell r="E8">
            <v>100</v>
          </cell>
        </row>
      </sheetData>
      <sheetData sheetId="2425">
        <row r="8">
          <cell r="E8">
            <v>100</v>
          </cell>
        </row>
      </sheetData>
      <sheetData sheetId="2426">
        <row r="8">
          <cell r="E8">
            <v>100</v>
          </cell>
        </row>
      </sheetData>
      <sheetData sheetId="2427">
        <row r="8">
          <cell r="E8">
            <v>100</v>
          </cell>
        </row>
      </sheetData>
      <sheetData sheetId="2428">
        <row r="8">
          <cell r="E8">
            <v>100</v>
          </cell>
        </row>
      </sheetData>
      <sheetData sheetId="2429">
        <row r="8">
          <cell r="E8">
            <v>100</v>
          </cell>
        </row>
      </sheetData>
      <sheetData sheetId="2430"/>
      <sheetData sheetId="2431">
        <row r="8">
          <cell r="E8">
            <v>100</v>
          </cell>
        </row>
      </sheetData>
      <sheetData sheetId="2432">
        <row r="8">
          <cell r="E8">
            <v>100</v>
          </cell>
        </row>
      </sheetData>
      <sheetData sheetId="2433"/>
      <sheetData sheetId="2434"/>
      <sheetData sheetId="2435"/>
      <sheetData sheetId="2436"/>
      <sheetData sheetId="2437">
        <row r="8">
          <cell r="E8">
            <v>100</v>
          </cell>
        </row>
      </sheetData>
      <sheetData sheetId="2438">
        <row r="8">
          <cell r="E8">
            <v>100</v>
          </cell>
        </row>
      </sheetData>
      <sheetData sheetId="2439"/>
      <sheetData sheetId="2440"/>
      <sheetData sheetId="2441">
        <row r="8">
          <cell r="E8">
            <v>100</v>
          </cell>
        </row>
      </sheetData>
      <sheetData sheetId="2442">
        <row r="8">
          <cell r="E8">
            <v>100</v>
          </cell>
        </row>
      </sheetData>
      <sheetData sheetId="2443"/>
      <sheetData sheetId="2444"/>
      <sheetData sheetId="2445"/>
      <sheetData sheetId="2446">
        <row r="8">
          <cell r="E8">
            <v>100</v>
          </cell>
        </row>
      </sheetData>
      <sheetData sheetId="2447">
        <row r="8">
          <cell r="E8">
            <v>100</v>
          </cell>
        </row>
      </sheetData>
      <sheetData sheetId="2448">
        <row r="8">
          <cell r="E8">
            <v>100</v>
          </cell>
        </row>
      </sheetData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/>
      <sheetData sheetId="2652" refreshError="1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 refreshError="1"/>
      <sheetData sheetId="2663"/>
      <sheetData sheetId="2664"/>
      <sheetData sheetId="2665"/>
      <sheetData sheetId="2666" refreshError="1"/>
      <sheetData sheetId="2667" refreshError="1"/>
      <sheetData sheetId="2668"/>
      <sheetData sheetId="2669" refreshError="1"/>
      <sheetData sheetId="2670" refreshError="1"/>
      <sheetData sheetId="267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301E~305E"/>
      <sheetName val="C-401E"/>
      <sheetName val="C-401E-P"/>
      <sheetName val="C-402E"/>
      <sheetName val="C-402E-P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Agenda ohne SF"/>
      <sheetName val="Load List_0.B"/>
      <sheetName val="Load sum_0.B"/>
      <sheetName val="Load sum_0.AB"/>
      <sheetName val="Set"/>
      <sheetName val="C&amp;I power_R0"/>
      <sheetName val="DC_R0"/>
      <sheetName val="3008-UDB-401_R0.B"/>
      <sheetName val="3008-UDB-402_R0.B"/>
      <sheetName val="3008-UDB-403_R0.B"/>
      <sheetName val="3008-UDB-404_R0.B"/>
      <sheetName val="3008-UDB-405_R0.B"/>
      <sheetName val="3008-UDB-402_R0"/>
      <sheetName val="Interlock &amp; intertrip"/>
      <sheetName val="SCADA_IO list_R0"/>
      <sheetName val="Load sum_RB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Agenda ohne SF"/>
      <sheetName val="Load List_0.B"/>
      <sheetName val="Load sum_0.B"/>
      <sheetName val="Load sum_0.AB"/>
      <sheetName val="Set"/>
      <sheetName val="C&amp;I power_R0"/>
      <sheetName val="DC_R0"/>
      <sheetName val="3008-UDB-401_R0.B"/>
      <sheetName val="3008-UDB-402_R0.B"/>
      <sheetName val="3008-UDB-403_R0.B"/>
      <sheetName val="3008-UDB-404_R0.B"/>
      <sheetName val="3008-UDB-405_R0.B"/>
      <sheetName val="3008-UDB-402_R0"/>
      <sheetName val="Interlock &amp; intertrip"/>
      <sheetName val="SCADA_IO list_R0"/>
      <sheetName val="Load sum_RB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본 "/>
      <sheetName val="Load List(원본)"/>
      <sheetName val="Load List "/>
    </sheetNames>
    <sheetDataSet>
      <sheetData sheetId="0"/>
      <sheetData sheetId="1">
        <row r="10">
          <cell r="B10" t="str">
            <v>Process Equipment</v>
          </cell>
          <cell r="U10">
            <v>0</v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A11" t="str">
            <v>PEU-2</v>
          </cell>
          <cell r="B11" t="str">
            <v>41-P-4102</v>
          </cell>
          <cell r="C11" t="str">
            <v>Reactor A Coolant Pump</v>
          </cell>
          <cell r="D11">
            <v>4104</v>
          </cell>
          <cell r="E11" t="str">
            <v>ISBL</v>
          </cell>
          <cell r="J11" t="str">
            <v>3</v>
          </cell>
          <cell r="K11">
            <v>10000</v>
          </cell>
          <cell r="L11" t="str">
            <v>AC</v>
          </cell>
          <cell r="M11" t="str">
            <v>M</v>
          </cell>
          <cell r="N11" t="str">
            <v>N</v>
          </cell>
          <cell r="O11" t="str">
            <v/>
          </cell>
          <cell r="P11" t="str">
            <v>4850-HDB-101A</v>
          </cell>
          <cell r="Q11" t="str">
            <v>C</v>
          </cell>
          <cell r="S11">
            <v>870</v>
          </cell>
          <cell r="T11">
            <v>970</v>
          </cell>
          <cell r="X11">
            <v>0.95</v>
          </cell>
          <cell r="Y11">
            <v>0.85</v>
          </cell>
        </row>
        <row r="12">
          <cell r="A12" t="str">
            <v>PEU-2</v>
          </cell>
          <cell r="B12" t="str">
            <v>41-P-4101</v>
          </cell>
          <cell r="C12" t="str">
            <v>Reactor A Circulation Pump</v>
          </cell>
          <cell r="D12">
            <v>4102</v>
          </cell>
          <cell r="E12" t="str">
            <v>ISBL</v>
          </cell>
          <cell r="J12" t="str">
            <v>3</v>
          </cell>
          <cell r="K12">
            <v>10000</v>
          </cell>
          <cell r="L12" t="str">
            <v>AC</v>
          </cell>
          <cell r="M12" t="str">
            <v>M</v>
          </cell>
          <cell r="N12" t="str">
            <v>N</v>
          </cell>
          <cell r="O12" t="str">
            <v>SOFT STARTER</v>
          </cell>
          <cell r="P12" t="str">
            <v>4850-HDB-101B</v>
          </cell>
          <cell r="Q12" t="str">
            <v>C</v>
          </cell>
          <cell r="S12">
            <v>1600</v>
          </cell>
          <cell r="T12">
            <v>2600</v>
          </cell>
          <cell r="X12">
            <v>0.95</v>
          </cell>
          <cell r="Y12">
            <v>0.85</v>
          </cell>
        </row>
        <row r="13">
          <cell r="A13" t="str">
            <v>PEU-2</v>
          </cell>
          <cell r="B13" t="str">
            <v>41-PK-6040-2</v>
          </cell>
          <cell r="C13" t="str">
            <v>Extruder Gear Pump</v>
          </cell>
          <cell r="D13">
            <v>4107</v>
          </cell>
          <cell r="E13" t="str">
            <v>ISBL</v>
          </cell>
          <cell r="J13" t="str">
            <v>3</v>
          </cell>
          <cell r="K13">
            <v>10000</v>
          </cell>
          <cell r="L13" t="str">
            <v>AC</v>
          </cell>
          <cell r="M13" t="str">
            <v>M</v>
          </cell>
          <cell r="N13" t="str">
            <v>N</v>
          </cell>
          <cell r="O13" t="str">
            <v>VSD</v>
          </cell>
          <cell r="P13" t="str">
            <v>4850-HDB-101A</v>
          </cell>
          <cell r="Q13" t="str">
            <v>C</v>
          </cell>
          <cell r="S13">
            <v>2250</v>
          </cell>
          <cell r="T13">
            <v>2500</v>
          </cell>
          <cell r="X13">
            <v>0.95</v>
          </cell>
          <cell r="Y13">
            <v>0.85</v>
          </cell>
        </row>
        <row r="14">
          <cell r="A14" t="str">
            <v>PEU-2</v>
          </cell>
          <cell r="B14" t="str">
            <v>41-BL-6001A</v>
          </cell>
          <cell r="C14" t="str">
            <v>Fluff Transfer Blower</v>
          </cell>
          <cell r="D14">
            <v>4102</v>
          </cell>
          <cell r="E14" t="str">
            <v>ISBL</v>
          </cell>
          <cell r="J14" t="str">
            <v>3</v>
          </cell>
          <cell r="K14">
            <v>10000</v>
          </cell>
          <cell r="L14" t="str">
            <v>AC</v>
          </cell>
          <cell r="M14" t="str">
            <v>M</v>
          </cell>
          <cell r="N14" t="str">
            <v>N</v>
          </cell>
          <cell r="O14" t="str">
            <v/>
          </cell>
          <cell r="P14" t="str">
            <v>4850-HDB-101B</v>
          </cell>
          <cell r="Q14" t="str">
            <v>C</v>
          </cell>
          <cell r="S14">
            <v>550</v>
          </cell>
          <cell r="T14">
            <v>700</v>
          </cell>
          <cell r="X14">
            <v>0.95</v>
          </cell>
          <cell r="Y14">
            <v>0.85</v>
          </cell>
        </row>
        <row r="15">
          <cell r="A15" t="str">
            <v>PEU-2</v>
          </cell>
          <cell r="B15" t="str">
            <v>41-BL-6001B</v>
          </cell>
          <cell r="C15" t="str">
            <v>Fluff Transfer Blower</v>
          </cell>
          <cell r="D15">
            <v>4102</v>
          </cell>
          <cell r="E15" t="str">
            <v>ISBL</v>
          </cell>
          <cell r="J15" t="str">
            <v>3</v>
          </cell>
          <cell r="K15">
            <v>10000</v>
          </cell>
          <cell r="L15" t="str">
            <v>AC</v>
          </cell>
          <cell r="M15" t="str">
            <v>M</v>
          </cell>
          <cell r="N15" t="str">
            <v>N</v>
          </cell>
          <cell r="O15" t="str">
            <v/>
          </cell>
          <cell r="P15" t="str">
            <v>4850-HDB-101A</v>
          </cell>
          <cell r="Q15" t="str">
            <v>S</v>
          </cell>
          <cell r="S15">
            <v>550</v>
          </cell>
          <cell r="T15">
            <v>700</v>
          </cell>
          <cell r="X15">
            <v>0.95</v>
          </cell>
          <cell r="Y15">
            <v>0.85</v>
          </cell>
        </row>
        <row r="16">
          <cell r="A16" t="str">
            <v>PEU-2</v>
          </cell>
          <cell r="B16" t="str">
            <v>41-K-7001A</v>
          </cell>
          <cell r="C16" t="str">
            <v>Product Transfer Blower</v>
          </cell>
          <cell r="D16">
            <v>4107</v>
          </cell>
          <cell r="E16" t="str">
            <v>ISBL</v>
          </cell>
          <cell r="J16" t="str">
            <v>3</v>
          </cell>
          <cell r="K16">
            <v>10000</v>
          </cell>
          <cell r="L16" t="str">
            <v>AC</v>
          </cell>
          <cell r="M16" t="str">
            <v>M</v>
          </cell>
          <cell r="N16" t="str">
            <v>N</v>
          </cell>
          <cell r="O16" t="str">
            <v/>
          </cell>
          <cell r="P16" t="str">
            <v>4850-HDB-101B</v>
          </cell>
          <cell r="Q16" t="str">
            <v>C</v>
          </cell>
          <cell r="S16">
            <v>730</v>
          </cell>
          <cell r="T16">
            <v>800</v>
          </cell>
          <cell r="X16">
            <v>0.95</v>
          </cell>
          <cell r="Y16">
            <v>0.85</v>
          </cell>
        </row>
        <row r="17">
          <cell r="A17" t="str">
            <v>PEU-2</v>
          </cell>
          <cell r="B17" t="str">
            <v>41-K-7001B</v>
          </cell>
          <cell r="C17" t="str">
            <v>Product Transfer Blower</v>
          </cell>
          <cell r="D17">
            <v>4107</v>
          </cell>
          <cell r="E17" t="str">
            <v>ISBL</v>
          </cell>
          <cell r="J17" t="str">
            <v>3</v>
          </cell>
          <cell r="K17">
            <v>10000</v>
          </cell>
          <cell r="L17" t="str">
            <v>AC</v>
          </cell>
          <cell r="M17" t="str">
            <v>M</v>
          </cell>
          <cell r="N17" t="str">
            <v>N</v>
          </cell>
          <cell r="O17" t="str">
            <v/>
          </cell>
          <cell r="P17" t="str">
            <v>4850-HDB-101A</v>
          </cell>
          <cell r="Q17" t="str">
            <v>S</v>
          </cell>
          <cell r="S17">
            <v>730</v>
          </cell>
          <cell r="T17">
            <v>800</v>
          </cell>
          <cell r="X17">
            <v>0.95</v>
          </cell>
          <cell r="Y17">
            <v>0.85</v>
          </cell>
        </row>
        <row r="18">
          <cell r="A18" t="str">
            <v>PEU-2</v>
          </cell>
          <cell r="B18" t="str">
            <v>41-K-2401A</v>
          </cell>
          <cell r="C18" t="str">
            <v xml:space="preserve">Ethylene Feed Compressor </v>
          </cell>
          <cell r="D18">
            <v>4103</v>
          </cell>
          <cell r="E18" t="str">
            <v>ISBL</v>
          </cell>
          <cell r="J18" t="str">
            <v>3</v>
          </cell>
          <cell r="K18">
            <v>10000</v>
          </cell>
          <cell r="L18" t="str">
            <v>AC</v>
          </cell>
          <cell r="M18" t="str">
            <v>M</v>
          </cell>
          <cell r="N18" t="str">
            <v>N</v>
          </cell>
          <cell r="O18" t="str">
            <v>SOFT STARTER</v>
          </cell>
          <cell r="P18" t="str">
            <v>4850-HDB-101A</v>
          </cell>
          <cell r="Q18" t="str">
            <v>C</v>
          </cell>
          <cell r="S18">
            <v>1311</v>
          </cell>
          <cell r="T18">
            <v>1500</v>
          </cell>
          <cell r="X18">
            <v>0.95</v>
          </cell>
          <cell r="Y18">
            <v>0.85</v>
          </cell>
        </row>
        <row r="19">
          <cell r="A19" t="str">
            <v>PEU-2</v>
          </cell>
          <cell r="B19" t="str">
            <v>41-K-2401B</v>
          </cell>
          <cell r="C19" t="str">
            <v xml:space="preserve">Ethylene Feed Compressor </v>
          </cell>
          <cell r="D19">
            <v>0</v>
          </cell>
          <cell r="E19" t="str">
            <v>ISBL</v>
          </cell>
          <cell r="J19" t="str">
            <v>3</v>
          </cell>
          <cell r="K19">
            <v>10000</v>
          </cell>
          <cell r="L19" t="str">
            <v>AC</v>
          </cell>
          <cell r="M19" t="str">
            <v>M</v>
          </cell>
          <cell r="N19" t="str">
            <v>N</v>
          </cell>
          <cell r="O19" t="str">
            <v>SOFT STARTER</v>
          </cell>
          <cell r="P19" t="str">
            <v>4850-HDB-101A</v>
          </cell>
          <cell r="Q19" t="str">
            <v>C</v>
          </cell>
          <cell r="S19">
            <v>1311</v>
          </cell>
          <cell r="T19">
            <v>1500</v>
          </cell>
          <cell r="X19">
            <v>0.95</v>
          </cell>
          <cell r="Y19">
            <v>0.85</v>
          </cell>
        </row>
        <row r="20">
          <cell r="A20" t="str">
            <v>PEU-2</v>
          </cell>
          <cell r="B20" t="str">
            <v>41-P-4202</v>
          </cell>
          <cell r="C20" t="str">
            <v>Reactor B Coolant Pump</v>
          </cell>
          <cell r="D20">
            <v>4104</v>
          </cell>
          <cell r="E20" t="str">
            <v>ISBL</v>
          </cell>
          <cell r="J20" t="str">
            <v>3</v>
          </cell>
          <cell r="K20">
            <v>10000</v>
          </cell>
          <cell r="L20" t="str">
            <v>AC</v>
          </cell>
          <cell r="M20" t="str">
            <v>M</v>
          </cell>
          <cell r="N20" t="str">
            <v>N</v>
          </cell>
          <cell r="O20" t="str">
            <v/>
          </cell>
          <cell r="P20" t="str">
            <v>4850-HDB-101B</v>
          </cell>
          <cell r="Q20" t="str">
            <v>C</v>
          </cell>
          <cell r="S20">
            <v>870</v>
          </cell>
          <cell r="T20">
            <v>970</v>
          </cell>
          <cell r="X20">
            <v>0.95</v>
          </cell>
          <cell r="Y20">
            <v>0.85</v>
          </cell>
        </row>
        <row r="21">
          <cell r="A21" t="str">
            <v>PEU-2</v>
          </cell>
          <cell r="B21" t="str">
            <v>41-P-4201</v>
          </cell>
          <cell r="C21" t="str">
            <v>Reactor B Circulation Pump</v>
          </cell>
          <cell r="D21">
            <v>4102</v>
          </cell>
          <cell r="E21" t="str">
            <v>ISBL</v>
          </cell>
          <cell r="J21" t="str">
            <v>3</v>
          </cell>
          <cell r="K21">
            <v>10000</v>
          </cell>
          <cell r="L21" t="str">
            <v>AC</v>
          </cell>
          <cell r="M21" t="str">
            <v>M</v>
          </cell>
          <cell r="N21" t="str">
            <v>N</v>
          </cell>
          <cell r="O21" t="str">
            <v>SOFT STARTER</v>
          </cell>
          <cell r="P21" t="str">
            <v>4850-HDB-101A</v>
          </cell>
          <cell r="Q21" t="str">
            <v>C</v>
          </cell>
          <cell r="S21">
            <v>1600</v>
          </cell>
          <cell r="T21">
            <v>2600</v>
          </cell>
          <cell r="X21">
            <v>0.95</v>
          </cell>
          <cell r="Y21">
            <v>0.85</v>
          </cell>
        </row>
        <row r="22">
          <cell r="A22" t="str">
            <v>PEU-2</v>
          </cell>
          <cell r="B22" t="str">
            <v>41-K-5021</v>
          </cell>
          <cell r="C22" t="str">
            <v xml:space="preserve">INRU Compressor </v>
          </cell>
          <cell r="D22">
            <v>4101</v>
          </cell>
          <cell r="E22" t="str">
            <v>ISBL</v>
          </cell>
          <cell r="J22" t="str">
            <v>3</v>
          </cell>
          <cell r="K22">
            <v>10000</v>
          </cell>
          <cell r="L22" t="str">
            <v>AC</v>
          </cell>
          <cell r="M22" t="str">
            <v>M</v>
          </cell>
          <cell r="N22" t="str">
            <v>N</v>
          </cell>
          <cell r="O22" t="str">
            <v>SOFT STARTER</v>
          </cell>
          <cell r="P22" t="str">
            <v>4850-HDB-101B</v>
          </cell>
          <cell r="Q22" t="str">
            <v>C</v>
          </cell>
          <cell r="S22">
            <v>1500</v>
          </cell>
          <cell r="T22">
            <v>2100</v>
          </cell>
          <cell r="X22">
            <v>0.95</v>
          </cell>
          <cell r="Y22">
            <v>0.85</v>
          </cell>
        </row>
        <row r="23">
          <cell r="A23" t="str">
            <v>C/T</v>
          </cell>
          <cell r="B23" t="str">
            <v>63-P-0001C</v>
          </cell>
          <cell r="C23" t="str">
            <v>Cooling Water Pump (Motor-driven)</v>
          </cell>
          <cell r="D23">
            <v>6300</v>
          </cell>
          <cell r="E23" t="str">
            <v>ISBL</v>
          </cell>
          <cell r="J23" t="str">
            <v>3</v>
          </cell>
          <cell r="K23">
            <v>10000</v>
          </cell>
          <cell r="L23" t="str">
            <v>AC</v>
          </cell>
          <cell r="M23" t="str">
            <v>M</v>
          </cell>
          <cell r="N23" t="str">
            <v>N</v>
          </cell>
          <cell r="O23" t="str">
            <v>SOFT STARTER</v>
          </cell>
          <cell r="P23" t="str">
            <v>4850-HDB-101A</v>
          </cell>
          <cell r="Q23" t="str">
            <v>C</v>
          </cell>
          <cell r="S23">
            <v>2400</v>
          </cell>
          <cell r="T23">
            <v>2950</v>
          </cell>
          <cell r="X23">
            <v>0.95</v>
          </cell>
          <cell r="Y23">
            <v>0.85</v>
          </cell>
        </row>
        <row r="24">
          <cell r="A24" t="str">
            <v>C/T</v>
          </cell>
          <cell r="B24" t="str">
            <v>63-P-0001D</v>
          </cell>
          <cell r="C24" t="str">
            <v>Cooling Water Pump (Motor-driven)</v>
          </cell>
          <cell r="D24">
            <v>6300</v>
          </cell>
          <cell r="E24" t="str">
            <v>ISBL</v>
          </cell>
          <cell r="J24" t="str">
            <v>3</v>
          </cell>
          <cell r="K24">
            <v>10000</v>
          </cell>
          <cell r="L24" t="str">
            <v>AC</v>
          </cell>
          <cell r="M24" t="str">
            <v>M</v>
          </cell>
          <cell r="N24" t="str">
            <v>N</v>
          </cell>
          <cell r="O24" t="str">
            <v>SOFT STARTER</v>
          </cell>
          <cell r="P24" t="str">
            <v>4850-HDB-101B</v>
          </cell>
          <cell r="Q24" t="str">
            <v>C</v>
          </cell>
          <cell r="S24">
            <v>2400</v>
          </cell>
          <cell r="T24">
            <v>2950</v>
          </cell>
          <cell r="X24">
            <v>0.95</v>
          </cell>
          <cell r="Y24">
            <v>0.85</v>
          </cell>
        </row>
        <row r="25">
          <cell r="A25" t="str">
            <v>C/T</v>
          </cell>
          <cell r="B25" t="str">
            <v>63-P-0001E</v>
          </cell>
          <cell r="C25" t="str">
            <v>Cooling Water Pump (Motor-driven)</v>
          </cell>
          <cell r="D25">
            <v>6300</v>
          </cell>
          <cell r="E25" t="str">
            <v>ISBL</v>
          </cell>
          <cell r="J25" t="str">
            <v>3</v>
          </cell>
          <cell r="K25">
            <v>10000</v>
          </cell>
          <cell r="L25" t="str">
            <v>AC</v>
          </cell>
          <cell r="M25" t="str">
            <v>M</v>
          </cell>
          <cell r="N25" t="str">
            <v>N</v>
          </cell>
          <cell r="O25" t="str">
            <v>SOFT STARTER</v>
          </cell>
          <cell r="P25" t="str">
            <v>4850-HDB-101A</v>
          </cell>
          <cell r="Q25" t="str">
            <v>S</v>
          </cell>
          <cell r="S25">
            <v>2400</v>
          </cell>
          <cell r="T25">
            <v>2950</v>
          </cell>
          <cell r="X25">
            <v>0.95</v>
          </cell>
          <cell r="Y25">
            <v>0.85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ISBL</v>
          </cell>
          <cell r="J26" t="str">
            <v>3</v>
          </cell>
          <cell r="K26">
            <v>0</v>
          </cell>
          <cell r="L26" t="str">
            <v>AC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X26">
            <v>0</v>
          </cell>
          <cell r="Y26">
            <v>0</v>
          </cell>
        </row>
        <row r="27">
          <cell r="A27" t="str">
            <v>PEU-2</v>
          </cell>
          <cell r="B27" t="str">
            <v>41-E-2016</v>
          </cell>
          <cell r="C27" t="str">
            <v>Ethylene Treater Regeneration Heater</v>
          </cell>
          <cell r="D27">
            <v>4103</v>
          </cell>
          <cell r="E27" t="str">
            <v>ISBL</v>
          </cell>
          <cell r="J27" t="str">
            <v>3</v>
          </cell>
          <cell r="K27">
            <v>10000</v>
          </cell>
          <cell r="L27" t="str">
            <v>AC</v>
          </cell>
          <cell r="M27" t="str">
            <v>F</v>
          </cell>
          <cell r="N27" t="str">
            <v>N</v>
          </cell>
          <cell r="O27" t="str">
            <v/>
          </cell>
          <cell r="P27" t="str">
            <v>4850-HDB-101A</v>
          </cell>
          <cell r="Q27" t="str">
            <v>C</v>
          </cell>
          <cell r="S27">
            <v>656</v>
          </cell>
          <cell r="T27">
            <v>820</v>
          </cell>
          <cell r="X27">
            <v>1</v>
          </cell>
          <cell r="Y27">
            <v>0.85</v>
          </cell>
        </row>
        <row r="28">
          <cell r="A28" t="str">
            <v>PEU-2</v>
          </cell>
          <cell r="B28" t="str">
            <v>41-E-5016</v>
          </cell>
          <cell r="C28" t="str">
            <v>Treater Regeneration Heater</v>
          </cell>
          <cell r="D28">
            <v>4104</v>
          </cell>
          <cell r="E28" t="str">
            <v>ISBL</v>
          </cell>
          <cell r="J28" t="str">
            <v>3</v>
          </cell>
          <cell r="K28">
            <v>10000</v>
          </cell>
          <cell r="L28" t="str">
            <v>AC</v>
          </cell>
          <cell r="M28" t="str">
            <v>F</v>
          </cell>
          <cell r="N28" t="str">
            <v>N</v>
          </cell>
          <cell r="O28" t="str">
            <v/>
          </cell>
          <cell r="P28" t="str">
            <v>4850-HDB-101B</v>
          </cell>
          <cell r="Q28" t="str">
            <v>C</v>
          </cell>
          <cell r="S28">
            <v>480</v>
          </cell>
          <cell r="T28">
            <v>600</v>
          </cell>
          <cell r="X28">
            <v>1</v>
          </cell>
          <cell r="Y28">
            <v>0.85</v>
          </cell>
        </row>
        <row r="29">
          <cell r="A29" t="str">
            <v>PEU-2</v>
          </cell>
          <cell r="B29" t="str">
            <v>41-E-5058</v>
          </cell>
          <cell r="C29" t="str">
            <v>Light Olefin Recovery Heater</v>
          </cell>
          <cell r="D29" t="str">
            <v>x</v>
          </cell>
          <cell r="E29" t="str">
            <v>ISBL</v>
          </cell>
          <cell r="J29" t="str">
            <v>3</v>
          </cell>
          <cell r="K29">
            <v>10000</v>
          </cell>
          <cell r="L29" t="str">
            <v>AC</v>
          </cell>
          <cell r="M29" t="str">
            <v>F</v>
          </cell>
          <cell r="N29" t="str">
            <v>N</v>
          </cell>
          <cell r="O29" t="str">
            <v/>
          </cell>
          <cell r="P29" t="str">
            <v>4850-HDB-101A</v>
          </cell>
          <cell r="Q29" t="str">
            <v>C</v>
          </cell>
          <cell r="S29">
            <v>160</v>
          </cell>
          <cell r="T29">
            <v>200</v>
          </cell>
          <cell r="X29">
            <v>1</v>
          </cell>
          <cell r="Y29">
            <v>0.85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ISBL</v>
          </cell>
          <cell r="J30" t="str">
            <v>3</v>
          </cell>
          <cell r="K30">
            <v>0</v>
          </cell>
          <cell r="L30" t="str">
            <v>AC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T30">
            <v>0</v>
          </cell>
          <cell r="X30">
            <v>0</v>
          </cell>
          <cell r="Y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ISBL</v>
          </cell>
          <cell r="J31" t="str">
            <v>3</v>
          </cell>
          <cell r="K31">
            <v>0</v>
          </cell>
          <cell r="L31" t="str">
            <v>AC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T31">
            <v>0</v>
          </cell>
          <cell r="X31">
            <v>0</v>
          </cell>
          <cell r="Y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ISBL</v>
          </cell>
          <cell r="J32" t="str">
            <v>3</v>
          </cell>
          <cell r="K32">
            <v>0</v>
          </cell>
          <cell r="L32" t="str">
            <v>AC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T32">
            <v>0</v>
          </cell>
          <cell r="X32">
            <v>0</v>
          </cell>
          <cell r="Y32">
            <v>0</v>
          </cell>
        </row>
        <row r="33">
          <cell r="A33" t="str">
            <v>PEU-2</v>
          </cell>
          <cell r="B33" t="str">
            <v>E-1001</v>
          </cell>
          <cell r="C33" t="str">
            <v>Catalyst Activator Air Preheater for Catalyst Activator Package</v>
          </cell>
          <cell r="D33">
            <v>4105</v>
          </cell>
          <cell r="E33" t="str">
            <v>ISBL</v>
          </cell>
          <cell r="J33" t="str">
            <v>3</v>
          </cell>
          <cell r="K33">
            <v>690</v>
          </cell>
          <cell r="L33" t="str">
            <v>AC</v>
          </cell>
          <cell r="M33" t="str">
            <v>F</v>
          </cell>
          <cell r="N33" t="str">
            <v>N</v>
          </cell>
          <cell r="O33" t="str">
            <v/>
          </cell>
          <cell r="P33" t="str">
            <v>4850-MDB-201B</v>
          </cell>
          <cell r="Q33" t="str">
            <v>C</v>
          </cell>
          <cell r="S33">
            <v>56</v>
          </cell>
          <cell r="T33">
            <v>70</v>
          </cell>
          <cell r="X33">
            <v>1</v>
          </cell>
          <cell r="Y33">
            <v>0.85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ISBL</v>
          </cell>
          <cell r="J34" t="str">
            <v>3</v>
          </cell>
          <cell r="K34">
            <v>0</v>
          </cell>
          <cell r="L34" t="str">
            <v>AC</v>
          </cell>
          <cell r="M34">
            <v>0</v>
          </cell>
          <cell r="N34">
            <v>0</v>
          </cell>
          <cell r="O34" t="str">
            <v/>
          </cell>
          <cell r="P34">
            <v>0</v>
          </cell>
          <cell r="Q34">
            <v>0</v>
          </cell>
          <cell r="S34">
            <v>0</v>
          </cell>
          <cell r="T34">
            <v>0</v>
          </cell>
          <cell r="X34">
            <v>0</v>
          </cell>
          <cell r="Y34">
            <v>0</v>
          </cell>
        </row>
        <row r="35">
          <cell r="A35" t="str">
            <v>PEU-2</v>
          </cell>
          <cell r="B35" t="str">
            <v>E-1002A</v>
          </cell>
          <cell r="C35" t="str">
            <v>Activator Heater for Catalyst Activator Package-A</v>
          </cell>
          <cell r="D35">
            <v>4105</v>
          </cell>
          <cell r="E35" t="str">
            <v>ISBL</v>
          </cell>
          <cell r="J35" t="str">
            <v>3</v>
          </cell>
          <cell r="K35">
            <v>690</v>
          </cell>
          <cell r="L35" t="str">
            <v>AC</v>
          </cell>
          <cell r="M35" t="str">
            <v>F</v>
          </cell>
          <cell r="N35" t="str">
            <v>N</v>
          </cell>
          <cell r="O35" t="str">
            <v/>
          </cell>
          <cell r="P35" t="str">
            <v>4850-MDB-201A</v>
          </cell>
          <cell r="Q35" t="str">
            <v>C</v>
          </cell>
          <cell r="S35">
            <v>160</v>
          </cell>
          <cell r="T35">
            <v>200</v>
          </cell>
          <cell r="X35">
            <v>1</v>
          </cell>
          <cell r="Y35">
            <v>0.85</v>
          </cell>
        </row>
        <row r="36">
          <cell r="A36" t="str">
            <v>PEU-2</v>
          </cell>
          <cell r="B36" t="str">
            <v>E-1002B</v>
          </cell>
          <cell r="C36" t="str">
            <v>Activator Heater for Catalyst Activator Package-B</v>
          </cell>
          <cell r="D36">
            <v>4105</v>
          </cell>
          <cell r="E36" t="str">
            <v>ISBL</v>
          </cell>
          <cell r="J36" t="str">
            <v>3</v>
          </cell>
          <cell r="K36">
            <v>690</v>
          </cell>
          <cell r="L36" t="str">
            <v>AC</v>
          </cell>
          <cell r="M36" t="str">
            <v>F</v>
          </cell>
          <cell r="N36" t="str">
            <v>N</v>
          </cell>
          <cell r="O36" t="str">
            <v/>
          </cell>
          <cell r="P36" t="str">
            <v>4850-MDB-201B</v>
          </cell>
          <cell r="Q36" t="str">
            <v>C</v>
          </cell>
          <cell r="S36">
            <v>160</v>
          </cell>
          <cell r="T36">
            <v>200</v>
          </cell>
          <cell r="X36">
            <v>1</v>
          </cell>
          <cell r="Y36">
            <v>0.85</v>
          </cell>
        </row>
        <row r="37">
          <cell r="A37" t="str">
            <v>PEU-2</v>
          </cell>
          <cell r="B37" t="str">
            <v>E-1002C</v>
          </cell>
          <cell r="C37" t="str">
            <v>Activator Heater for Catalyst Activator Package-C</v>
          </cell>
          <cell r="D37">
            <v>4105</v>
          </cell>
          <cell r="E37" t="str">
            <v>ISBL</v>
          </cell>
          <cell r="J37" t="str">
            <v>3</v>
          </cell>
          <cell r="K37">
            <v>690</v>
          </cell>
          <cell r="L37" t="str">
            <v>AC</v>
          </cell>
          <cell r="M37" t="str">
            <v>F</v>
          </cell>
          <cell r="N37" t="str">
            <v>N</v>
          </cell>
          <cell r="O37" t="str">
            <v/>
          </cell>
          <cell r="P37" t="str">
            <v>4850-MDB-201A</v>
          </cell>
          <cell r="Q37" t="str">
            <v>C</v>
          </cell>
          <cell r="S37">
            <v>160</v>
          </cell>
          <cell r="T37">
            <v>200</v>
          </cell>
          <cell r="X37">
            <v>1</v>
          </cell>
          <cell r="Y37">
            <v>0.85</v>
          </cell>
        </row>
        <row r="38">
          <cell r="A38" t="str">
            <v>PEU-2</v>
          </cell>
          <cell r="B38" t="str">
            <v>E-1002D</v>
          </cell>
          <cell r="C38" t="str">
            <v>Activator Heater for Catalyst Activator Package-D</v>
          </cell>
          <cell r="D38">
            <v>4105</v>
          </cell>
          <cell r="E38" t="str">
            <v>ISBL</v>
          </cell>
          <cell r="J38" t="str">
            <v>3</v>
          </cell>
          <cell r="K38">
            <v>690</v>
          </cell>
          <cell r="L38" t="str">
            <v>AC</v>
          </cell>
          <cell r="M38" t="str">
            <v>F</v>
          </cell>
          <cell r="N38" t="str">
            <v>N</v>
          </cell>
          <cell r="O38" t="str">
            <v/>
          </cell>
          <cell r="P38" t="str">
            <v>4850-MDB-201B</v>
          </cell>
          <cell r="Q38" t="str">
            <v>C</v>
          </cell>
          <cell r="S38">
            <v>160</v>
          </cell>
          <cell r="T38">
            <v>200</v>
          </cell>
          <cell r="X38">
            <v>1</v>
          </cell>
          <cell r="Y38">
            <v>0.85</v>
          </cell>
        </row>
        <row r="39">
          <cell r="A39" t="str">
            <v>PEU-2</v>
          </cell>
          <cell r="B39" t="str">
            <v>E-1002E</v>
          </cell>
          <cell r="C39" t="str">
            <v>Activator Heater for Catalyst Activator Package-E</v>
          </cell>
          <cell r="D39">
            <v>4105</v>
          </cell>
          <cell r="E39" t="str">
            <v>ISBL</v>
          </cell>
          <cell r="J39" t="str">
            <v>3</v>
          </cell>
          <cell r="K39">
            <v>690</v>
          </cell>
          <cell r="L39" t="str">
            <v>AC</v>
          </cell>
          <cell r="M39" t="str">
            <v>F</v>
          </cell>
          <cell r="N39" t="str">
            <v>N</v>
          </cell>
          <cell r="O39" t="str">
            <v/>
          </cell>
          <cell r="P39" t="str">
            <v>4850-MDB-201A</v>
          </cell>
          <cell r="Q39" t="str">
            <v>C</v>
          </cell>
          <cell r="S39">
            <v>160</v>
          </cell>
          <cell r="T39">
            <v>200</v>
          </cell>
          <cell r="X39">
            <v>1</v>
          </cell>
          <cell r="Y39">
            <v>0.85</v>
          </cell>
        </row>
        <row r="40">
          <cell r="A40" t="str">
            <v>PEU-2</v>
          </cell>
          <cell r="B40" t="str">
            <v>E-1002F</v>
          </cell>
          <cell r="C40" t="str">
            <v>Activator Heater for Catalyst Activator Package-F</v>
          </cell>
          <cell r="D40">
            <v>4105</v>
          </cell>
          <cell r="E40" t="str">
            <v>ISBL</v>
          </cell>
          <cell r="J40" t="str">
            <v>3</v>
          </cell>
          <cell r="K40">
            <v>690</v>
          </cell>
          <cell r="L40" t="str">
            <v>AC</v>
          </cell>
          <cell r="M40" t="str">
            <v>F</v>
          </cell>
          <cell r="N40" t="str">
            <v>N</v>
          </cell>
          <cell r="O40" t="str">
            <v/>
          </cell>
          <cell r="P40" t="str">
            <v>4850-MDB-201B</v>
          </cell>
          <cell r="Q40" t="str">
            <v>C</v>
          </cell>
          <cell r="S40">
            <v>160</v>
          </cell>
          <cell r="T40">
            <v>200</v>
          </cell>
          <cell r="X40">
            <v>1</v>
          </cell>
          <cell r="Y40">
            <v>0.85</v>
          </cell>
        </row>
        <row r="41">
          <cell r="A41" t="str">
            <v>PEU-2</v>
          </cell>
          <cell r="B41" t="str">
            <v>E-1002G</v>
          </cell>
          <cell r="C41" t="str">
            <v>Activator Heater for Catalyst Activator Package-G</v>
          </cell>
          <cell r="D41">
            <v>4105</v>
          </cell>
          <cell r="E41" t="str">
            <v>ISBL</v>
          </cell>
          <cell r="J41" t="str">
            <v>3</v>
          </cell>
          <cell r="K41">
            <v>690</v>
          </cell>
          <cell r="L41" t="str">
            <v>AC</v>
          </cell>
          <cell r="M41" t="str">
            <v>F</v>
          </cell>
          <cell r="N41" t="str">
            <v>N</v>
          </cell>
          <cell r="O41" t="str">
            <v/>
          </cell>
          <cell r="P41" t="str">
            <v>4850-MDB-201A</v>
          </cell>
          <cell r="Q41" t="str">
            <v>C</v>
          </cell>
          <cell r="S41">
            <v>160</v>
          </cell>
          <cell r="T41">
            <v>200</v>
          </cell>
          <cell r="X41">
            <v>1</v>
          </cell>
          <cell r="Y41">
            <v>0.85</v>
          </cell>
        </row>
        <row r="42">
          <cell r="A42" t="str">
            <v>PEU-2</v>
          </cell>
          <cell r="B42" t="str">
            <v>E-1002H</v>
          </cell>
          <cell r="C42" t="str">
            <v>Activator Heater for Catalyst Activator Package-H</v>
          </cell>
          <cell r="D42">
            <v>4105</v>
          </cell>
          <cell r="E42" t="str">
            <v>ISBL</v>
          </cell>
          <cell r="J42" t="str">
            <v>3</v>
          </cell>
          <cell r="K42">
            <v>690</v>
          </cell>
          <cell r="L42" t="str">
            <v>AC</v>
          </cell>
          <cell r="M42" t="str">
            <v>F</v>
          </cell>
          <cell r="N42" t="str">
            <v>N</v>
          </cell>
          <cell r="O42" t="str">
            <v/>
          </cell>
          <cell r="P42" t="str">
            <v>4850-MDB-201B</v>
          </cell>
          <cell r="Q42" t="str">
            <v>C</v>
          </cell>
          <cell r="S42">
            <v>160</v>
          </cell>
          <cell r="T42">
            <v>200</v>
          </cell>
          <cell r="X42">
            <v>1</v>
          </cell>
          <cell r="Y42">
            <v>0.85</v>
          </cell>
        </row>
        <row r="43">
          <cell r="A43" t="str">
            <v>PEU-2</v>
          </cell>
          <cell r="B43" t="str">
            <v>E-1002I</v>
          </cell>
          <cell r="C43" t="str">
            <v>Activator Heater for Catalyst Activator Package-I</v>
          </cell>
          <cell r="D43">
            <v>4105</v>
          </cell>
          <cell r="E43" t="str">
            <v>ISBL</v>
          </cell>
          <cell r="J43" t="str">
            <v>3</v>
          </cell>
          <cell r="K43">
            <v>690</v>
          </cell>
          <cell r="L43" t="str">
            <v>AC</v>
          </cell>
          <cell r="M43" t="str">
            <v>F</v>
          </cell>
          <cell r="N43" t="str">
            <v>N</v>
          </cell>
          <cell r="O43" t="str">
            <v/>
          </cell>
          <cell r="P43" t="str">
            <v>4850-MDB-201A</v>
          </cell>
          <cell r="Q43" t="str">
            <v>C</v>
          </cell>
          <cell r="S43">
            <v>116</v>
          </cell>
          <cell r="T43">
            <v>145</v>
          </cell>
          <cell r="X43">
            <v>1</v>
          </cell>
          <cell r="Y43">
            <v>0.85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 t="str">
            <v>ISBL</v>
          </cell>
          <cell r="J44" t="str">
            <v>3</v>
          </cell>
          <cell r="K44">
            <v>0</v>
          </cell>
          <cell r="L44" t="str">
            <v>AC</v>
          </cell>
          <cell r="M44">
            <v>0</v>
          </cell>
          <cell r="N44">
            <v>0</v>
          </cell>
          <cell r="O44" t="str">
            <v/>
          </cell>
          <cell r="P44">
            <v>0</v>
          </cell>
          <cell r="Q44">
            <v>0</v>
          </cell>
          <cell r="S44">
            <v>0</v>
          </cell>
          <cell r="T44">
            <v>0</v>
          </cell>
          <cell r="X44">
            <v>0</v>
          </cell>
          <cell r="Y44">
            <v>0</v>
          </cell>
        </row>
        <row r="45">
          <cell r="A45" t="str">
            <v>PEU-2</v>
          </cell>
          <cell r="B45" t="str">
            <v>41-PK-5051-4</v>
          </cell>
          <cell r="C45" t="str">
            <v>Electric heater for oil separator</v>
          </cell>
          <cell r="D45">
            <v>4104</v>
          </cell>
          <cell r="E45" t="str">
            <v>ISBL</v>
          </cell>
          <cell r="J45" t="str">
            <v>3</v>
          </cell>
          <cell r="K45">
            <v>690</v>
          </cell>
          <cell r="L45" t="str">
            <v>AC</v>
          </cell>
          <cell r="M45" t="str">
            <v>F</v>
          </cell>
          <cell r="N45" t="str">
            <v>N</v>
          </cell>
          <cell r="O45" t="str">
            <v/>
          </cell>
          <cell r="P45" t="str">
            <v>4850-MDB-201A</v>
          </cell>
          <cell r="Q45" t="str">
            <v>C</v>
          </cell>
          <cell r="S45">
            <v>2.7</v>
          </cell>
          <cell r="T45">
            <v>3</v>
          </cell>
          <cell r="X45">
            <v>1</v>
          </cell>
          <cell r="Y45">
            <v>0.85</v>
          </cell>
        </row>
        <row r="46">
          <cell r="A46" t="str">
            <v>PEU-2</v>
          </cell>
          <cell r="B46" t="str">
            <v>41-PK-5040-3A</v>
          </cell>
          <cell r="C46" t="str">
            <v>Lube Oil Heater</v>
          </cell>
          <cell r="D46">
            <v>4104</v>
          </cell>
          <cell r="E46" t="str">
            <v>ISBL</v>
          </cell>
          <cell r="J46" t="str">
            <v>3</v>
          </cell>
          <cell r="K46">
            <v>690</v>
          </cell>
          <cell r="L46" t="str">
            <v>AC</v>
          </cell>
          <cell r="M46" t="str">
            <v>F</v>
          </cell>
          <cell r="N46" t="str">
            <v>N</v>
          </cell>
          <cell r="O46" t="str">
            <v/>
          </cell>
          <cell r="P46" t="str">
            <v>4850-MDB-201A</v>
          </cell>
          <cell r="Q46" t="str">
            <v>C</v>
          </cell>
          <cell r="S46">
            <v>4.5</v>
          </cell>
          <cell r="T46">
            <v>5</v>
          </cell>
          <cell r="X46">
            <v>1</v>
          </cell>
          <cell r="Y46">
            <v>0.85</v>
          </cell>
        </row>
        <row r="47">
          <cell r="A47" t="str">
            <v>PEU-2</v>
          </cell>
          <cell r="B47" t="str">
            <v>41-PK-5040-3B</v>
          </cell>
          <cell r="C47" t="str">
            <v>Lube Oil Heater</v>
          </cell>
          <cell r="D47">
            <v>4104</v>
          </cell>
          <cell r="E47" t="str">
            <v>ISBL</v>
          </cell>
          <cell r="J47" t="str">
            <v>3</v>
          </cell>
          <cell r="K47">
            <v>690</v>
          </cell>
          <cell r="L47" t="str">
            <v>AC</v>
          </cell>
          <cell r="M47" t="str">
            <v>F</v>
          </cell>
          <cell r="N47" t="str">
            <v>N</v>
          </cell>
          <cell r="O47" t="str">
            <v/>
          </cell>
          <cell r="P47" t="str">
            <v>4850-MDB-201A</v>
          </cell>
          <cell r="Q47" t="str">
            <v>S</v>
          </cell>
          <cell r="S47">
            <v>4.5</v>
          </cell>
          <cell r="T47">
            <v>5</v>
          </cell>
          <cell r="X47">
            <v>1</v>
          </cell>
          <cell r="Y47">
            <v>0.85</v>
          </cell>
        </row>
        <row r="48">
          <cell r="A48" t="str">
            <v>PEU-2</v>
          </cell>
          <cell r="B48" t="str">
            <v>41-PK-2401-1A</v>
          </cell>
          <cell r="C48" t="str">
            <v>Lube Oil Tank Heater</v>
          </cell>
          <cell r="D48">
            <v>4103</v>
          </cell>
          <cell r="E48" t="str">
            <v>ISBL</v>
          </cell>
          <cell r="J48" t="str">
            <v>3</v>
          </cell>
          <cell r="K48">
            <v>690</v>
          </cell>
          <cell r="L48" t="str">
            <v>AC</v>
          </cell>
          <cell r="M48" t="str">
            <v>F</v>
          </cell>
          <cell r="N48" t="str">
            <v>N</v>
          </cell>
          <cell r="O48" t="str">
            <v/>
          </cell>
          <cell r="P48" t="str">
            <v>4850-MDB-201B</v>
          </cell>
          <cell r="Q48" t="str">
            <v>I</v>
          </cell>
          <cell r="S48">
            <v>6</v>
          </cell>
          <cell r="T48">
            <v>7.5</v>
          </cell>
          <cell r="X48">
            <v>1</v>
          </cell>
          <cell r="Y48">
            <v>0.85</v>
          </cell>
        </row>
        <row r="49">
          <cell r="A49" t="str">
            <v>PEU-2</v>
          </cell>
          <cell r="B49" t="str">
            <v>41-PK-2401-1B</v>
          </cell>
          <cell r="C49" t="str">
            <v>Lube Oil Tank Heater</v>
          </cell>
          <cell r="D49">
            <v>4103</v>
          </cell>
          <cell r="E49" t="str">
            <v>ISBL</v>
          </cell>
          <cell r="J49" t="str">
            <v>3</v>
          </cell>
          <cell r="K49">
            <v>690</v>
          </cell>
          <cell r="L49" t="str">
            <v>AC</v>
          </cell>
          <cell r="M49" t="str">
            <v>F</v>
          </cell>
          <cell r="N49" t="str">
            <v>N</v>
          </cell>
          <cell r="O49" t="str">
            <v/>
          </cell>
          <cell r="P49" t="str">
            <v>4850-MDB-201B</v>
          </cell>
          <cell r="Q49" t="str">
            <v>I</v>
          </cell>
          <cell r="S49">
            <v>6</v>
          </cell>
          <cell r="T49">
            <v>7.5</v>
          </cell>
          <cell r="X49">
            <v>1</v>
          </cell>
          <cell r="Y49">
            <v>0.85</v>
          </cell>
        </row>
        <row r="50">
          <cell r="A50" t="str">
            <v>PEU-2</v>
          </cell>
          <cell r="B50" t="str">
            <v>41-PK-2401-3A</v>
          </cell>
          <cell r="C50" t="str">
            <v>Degassifying drum heater</v>
          </cell>
          <cell r="D50">
            <v>4103</v>
          </cell>
          <cell r="E50" t="str">
            <v>ISBL</v>
          </cell>
          <cell r="J50" t="str">
            <v>3</v>
          </cell>
          <cell r="K50">
            <v>690</v>
          </cell>
          <cell r="L50" t="str">
            <v>AC</v>
          </cell>
          <cell r="M50" t="str">
            <v>F</v>
          </cell>
          <cell r="N50" t="str">
            <v>N</v>
          </cell>
          <cell r="O50" t="str">
            <v/>
          </cell>
          <cell r="P50" t="str">
            <v>4850-MDB-201A</v>
          </cell>
          <cell r="Q50" t="str">
            <v>I</v>
          </cell>
          <cell r="S50">
            <v>6</v>
          </cell>
          <cell r="T50">
            <v>7.5</v>
          </cell>
          <cell r="X50">
            <v>1</v>
          </cell>
          <cell r="Y50">
            <v>0.85</v>
          </cell>
        </row>
        <row r="51">
          <cell r="A51" t="str">
            <v>PEU-2</v>
          </cell>
          <cell r="B51" t="str">
            <v>41-PK-2401-3B</v>
          </cell>
          <cell r="C51" t="str">
            <v>Degassifying drum heater</v>
          </cell>
          <cell r="D51">
            <v>4103</v>
          </cell>
          <cell r="E51" t="str">
            <v>ISBL</v>
          </cell>
          <cell r="J51" t="str">
            <v>3</v>
          </cell>
          <cell r="K51">
            <v>690</v>
          </cell>
          <cell r="L51" t="str">
            <v>AC</v>
          </cell>
          <cell r="M51" t="str">
            <v>F</v>
          </cell>
          <cell r="N51" t="str">
            <v>N</v>
          </cell>
          <cell r="O51" t="str">
            <v/>
          </cell>
          <cell r="P51" t="str">
            <v>4850-MDB-201A</v>
          </cell>
          <cell r="Q51" t="str">
            <v>I</v>
          </cell>
          <cell r="S51">
            <v>6</v>
          </cell>
          <cell r="T51">
            <v>7.5</v>
          </cell>
          <cell r="X51">
            <v>1</v>
          </cell>
          <cell r="Y51">
            <v>0.85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 t="str">
            <v>ISBL</v>
          </cell>
          <cell r="J52" t="str">
            <v>3</v>
          </cell>
          <cell r="K52">
            <v>0</v>
          </cell>
          <cell r="L52" t="str">
            <v>AC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  <cell r="T52">
            <v>0</v>
          </cell>
          <cell r="X52">
            <v>0</v>
          </cell>
          <cell r="Y52">
            <v>0</v>
          </cell>
        </row>
        <row r="53">
          <cell r="A53" t="str">
            <v>PEU-2</v>
          </cell>
          <cell r="B53" t="str">
            <v>41-E-4103</v>
          </cell>
          <cell r="C53" t="str">
            <v>Reactor A Thrust Bearing L.O. Heater</v>
          </cell>
          <cell r="D53">
            <v>4102</v>
          </cell>
          <cell r="E53" t="str">
            <v>ISBL</v>
          </cell>
          <cell r="J53" t="str">
            <v>3</v>
          </cell>
          <cell r="K53">
            <v>690</v>
          </cell>
          <cell r="L53" t="str">
            <v>AC</v>
          </cell>
          <cell r="M53" t="str">
            <v>F</v>
          </cell>
          <cell r="N53" t="str">
            <v>N</v>
          </cell>
          <cell r="O53" t="str">
            <v/>
          </cell>
          <cell r="P53" t="str">
            <v>4850-MDB-201B</v>
          </cell>
          <cell r="Q53" t="str">
            <v>I</v>
          </cell>
          <cell r="S53">
            <v>5</v>
          </cell>
          <cell r="T53">
            <v>5.5</v>
          </cell>
          <cell r="X53">
            <v>1</v>
          </cell>
          <cell r="Y53">
            <v>0.85</v>
          </cell>
        </row>
        <row r="54">
          <cell r="A54" t="str">
            <v>PEU-2</v>
          </cell>
          <cell r="B54" t="str">
            <v>41-E-4203</v>
          </cell>
          <cell r="C54" t="str">
            <v>Reactor B Thrust Bearing L.O. Heater</v>
          </cell>
          <cell r="D54">
            <v>4102</v>
          </cell>
          <cell r="E54" t="str">
            <v>ISBL</v>
          </cell>
          <cell r="J54" t="str">
            <v>3</v>
          </cell>
          <cell r="K54">
            <v>690</v>
          </cell>
          <cell r="L54" t="str">
            <v>AC</v>
          </cell>
          <cell r="M54" t="str">
            <v>F</v>
          </cell>
          <cell r="N54" t="str">
            <v>N</v>
          </cell>
          <cell r="O54" t="str">
            <v/>
          </cell>
          <cell r="P54" t="str">
            <v>4850-MDB-201A</v>
          </cell>
          <cell r="Q54" t="str">
            <v>I</v>
          </cell>
          <cell r="S54">
            <v>5</v>
          </cell>
          <cell r="T54">
            <v>5.5</v>
          </cell>
          <cell r="X54">
            <v>1</v>
          </cell>
          <cell r="Y54">
            <v>0.85</v>
          </cell>
        </row>
        <row r="55">
          <cell r="A55" t="str">
            <v>PEU-2</v>
          </cell>
          <cell r="B55" t="str">
            <v xml:space="preserve">t.b.d. </v>
          </cell>
          <cell r="C55" t="str">
            <v xml:space="preserve">Hot Oil Heater for Gear Pump Bearing </v>
          </cell>
          <cell r="D55">
            <v>4107</v>
          </cell>
          <cell r="E55" t="str">
            <v>ISBL</v>
          </cell>
          <cell r="J55" t="str">
            <v>3</v>
          </cell>
          <cell r="K55">
            <v>690</v>
          </cell>
          <cell r="L55" t="str">
            <v>AC</v>
          </cell>
          <cell r="M55" t="str">
            <v>F</v>
          </cell>
          <cell r="N55" t="str">
            <v>N</v>
          </cell>
          <cell r="O55" t="str">
            <v/>
          </cell>
          <cell r="P55" t="str">
            <v>4850-MDB-201B</v>
          </cell>
          <cell r="Q55" t="str">
            <v>C</v>
          </cell>
          <cell r="S55">
            <v>32</v>
          </cell>
          <cell r="T55">
            <v>40</v>
          </cell>
          <cell r="X55">
            <v>1</v>
          </cell>
          <cell r="Y55">
            <v>0.85</v>
          </cell>
        </row>
        <row r="56">
          <cell r="A56" t="str">
            <v>PEU-2</v>
          </cell>
          <cell r="B56" t="str">
            <v xml:space="preserve">t.b.d. </v>
          </cell>
          <cell r="C56" t="str">
            <v xml:space="preserve">Hot Oil Heater for Gear Pump Rotor </v>
          </cell>
          <cell r="D56">
            <v>4107</v>
          </cell>
          <cell r="E56" t="str">
            <v>ISBL</v>
          </cell>
          <cell r="J56" t="str">
            <v>3</v>
          </cell>
          <cell r="K56">
            <v>690</v>
          </cell>
          <cell r="L56" t="str">
            <v>AC</v>
          </cell>
          <cell r="M56" t="str">
            <v>F</v>
          </cell>
          <cell r="N56" t="str">
            <v>N</v>
          </cell>
          <cell r="O56" t="str">
            <v/>
          </cell>
          <cell r="P56" t="str">
            <v>4850-MDB-201A</v>
          </cell>
          <cell r="Q56" t="str">
            <v>C</v>
          </cell>
          <cell r="S56">
            <v>32</v>
          </cell>
          <cell r="T56">
            <v>40</v>
          </cell>
          <cell r="X56">
            <v>1</v>
          </cell>
          <cell r="Y56">
            <v>0.85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 t="str">
            <v>ISBL</v>
          </cell>
          <cell r="J57" t="str">
            <v>3</v>
          </cell>
          <cell r="K57">
            <v>0</v>
          </cell>
          <cell r="L57" t="str">
            <v>AC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T57">
            <v>0</v>
          </cell>
          <cell r="X57">
            <v>0</v>
          </cell>
          <cell r="Y57">
            <v>0</v>
          </cell>
        </row>
        <row r="58">
          <cell r="A58" t="str">
            <v>PEU-2</v>
          </cell>
          <cell r="B58" t="str">
            <v>41-K-5021-3A</v>
          </cell>
          <cell r="C58" t="str">
            <v>Main/Aux. Lube Oil Pump Motor</v>
          </cell>
          <cell r="D58">
            <v>4101</v>
          </cell>
          <cell r="E58" t="str">
            <v>ISBL</v>
          </cell>
          <cell r="J58" t="str">
            <v>3</v>
          </cell>
          <cell r="K58">
            <v>690</v>
          </cell>
          <cell r="L58" t="str">
            <v>AC</v>
          </cell>
          <cell r="M58" t="str">
            <v>M</v>
          </cell>
          <cell r="N58" t="str">
            <v>N</v>
          </cell>
          <cell r="O58" t="str">
            <v/>
          </cell>
          <cell r="P58" t="str">
            <v>4850-MDB-202B</v>
          </cell>
          <cell r="Q58" t="str">
            <v>C</v>
          </cell>
          <cell r="S58">
            <v>12</v>
          </cell>
          <cell r="T58">
            <v>15</v>
          </cell>
          <cell r="X58">
            <v>0.9</v>
          </cell>
          <cell r="Y58">
            <v>0.8</v>
          </cell>
        </row>
        <row r="59">
          <cell r="A59" t="str">
            <v>PEU-2</v>
          </cell>
          <cell r="B59" t="str">
            <v>41-K-5021-3B</v>
          </cell>
          <cell r="C59" t="str">
            <v>Main/Aux. Lube Oil Pump Motor</v>
          </cell>
          <cell r="D59">
            <v>4101</v>
          </cell>
          <cell r="E59" t="str">
            <v>ISBL</v>
          </cell>
          <cell r="J59" t="str">
            <v>3</v>
          </cell>
          <cell r="K59">
            <v>690</v>
          </cell>
          <cell r="L59" t="str">
            <v>AC</v>
          </cell>
          <cell r="M59" t="str">
            <v>M</v>
          </cell>
          <cell r="N59" t="str">
            <v>N</v>
          </cell>
          <cell r="O59" t="str">
            <v/>
          </cell>
          <cell r="P59" t="str">
            <v>4850-MDB-202A</v>
          </cell>
          <cell r="Q59" t="str">
            <v>S</v>
          </cell>
          <cell r="S59">
            <v>12</v>
          </cell>
          <cell r="T59">
            <v>15</v>
          </cell>
          <cell r="X59">
            <v>0.9</v>
          </cell>
          <cell r="Y59">
            <v>0.8</v>
          </cell>
        </row>
        <row r="60">
          <cell r="A60" t="str">
            <v>PEU-2</v>
          </cell>
          <cell r="B60" t="str">
            <v>41-K-5021-5A</v>
          </cell>
          <cell r="C60" t="str">
            <v>INRU Liquid Product Pump</v>
          </cell>
          <cell r="D60">
            <v>4101</v>
          </cell>
          <cell r="E60" t="str">
            <v>ISBL</v>
          </cell>
          <cell r="J60" t="str">
            <v>3</v>
          </cell>
          <cell r="K60">
            <v>690</v>
          </cell>
          <cell r="L60" t="str">
            <v>AC</v>
          </cell>
          <cell r="M60" t="str">
            <v>M</v>
          </cell>
          <cell r="N60" t="str">
            <v>N</v>
          </cell>
          <cell r="O60" t="str">
            <v/>
          </cell>
          <cell r="P60" t="str">
            <v>4850-MDB-202A</v>
          </cell>
          <cell r="Q60" t="str">
            <v>C</v>
          </cell>
          <cell r="S60">
            <v>6</v>
          </cell>
          <cell r="T60">
            <v>7.5</v>
          </cell>
          <cell r="X60">
            <v>0.88200000000000001</v>
          </cell>
          <cell r="Y60">
            <v>0.8</v>
          </cell>
        </row>
        <row r="61">
          <cell r="A61" t="str">
            <v>PEU-2</v>
          </cell>
          <cell r="B61" t="str">
            <v>41-K-5021-5B</v>
          </cell>
          <cell r="C61" t="str">
            <v>INRU Liquid Product Pump</v>
          </cell>
          <cell r="D61">
            <v>4101</v>
          </cell>
          <cell r="E61" t="str">
            <v>ISBL</v>
          </cell>
          <cell r="J61" t="str">
            <v>3</v>
          </cell>
          <cell r="K61">
            <v>690</v>
          </cell>
          <cell r="L61" t="str">
            <v>AC</v>
          </cell>
          <cell r="M61" t="str">
            <v>M</v>
          </cell>
          <cell r="N61" t="str">
            <v>N</v>
          </cell>
          <cell r="O61" t="str">
            <v/>
          </cell>
          <cell r="P61" t="str">
            <v>4850-MDB-202A</v>
          </cell>
          <cell r="Q61" t="str">
            <v>S</v>
          </cell>
          <cell r="S61">
            <v>6</v>
          </cell>
          <cell r="T61">
            <v>7.5</v>
          </cell>
          <cell r="X61">
            <v>0.88200000000000001</v>
          </cell>
          <cell r="Y61">
            <v>0.8</v>
          </cell>
        </row>
        <row r="62">
          <cell r="A62" t="str">
            <v>PEU-2</v>
          </cell>
          <cell r="B62" t="str">
            <v>41-PK-5051-1</v>
          </cell>
          <cell r="C62" t="str">
            <v>Compressor motor</v>
          </cell>
          <cell r="D62">
            <v>4104</v>
          </cell>
          <cell r="E62" t="str">
            <v>ISBL</v>
          </cell>
          <cell r="J62" t="str">
            <v>3</v>
          </cell>
          <cell r="K62">
            <v>690</v>
          </cell>
          <cell r="L62" t="str">
            <v>AC</v>
          </cell>
          <cell r="M62" t="str">
            <v>M</v>
          </cell>
          <cell r="N62" t="str">
            <v>N</v>
          </cell>
          <cell r="O62" t="str">
            <v>Soft Starter</v>
          </cell>
          <cell r="P62" t="str">
            <v>4850-MDB-202A</v>
          </cell>
          <cell r="Q62" t="str">
            <v>C</v>
          </cell>
          <cell r="S62">
            <v>230</v>
          </cell>
          <cell r="T62">
            <v>300</v>
          </cell>
          <cell r="X62">
            <v>0.95899999999999996</v>
          </cell>
          <cell r="Y62">
            <v>0.76666666666666672</v>
          </cell>
        </row>
        <row r="63">
          <cell r="A63" t="str">
            <v>PEU-2</v>
          </cell>
          <cell r="B63" t="str">
            <v>41-PK-5051-2A</v>
          </cell>
          <cell r="C63" t="str">
            <v>Oil pump motor</v>
          </cell>
          <cell r="D63">
            <v>4104</v>
          </cell>
          <cell r="E63" t="str">
            <v>ISBL</v>
          </cell>
          <cell r="J63" t="str">
            <v>3</v>
          </cell>
          <cell r="K63">
            <v>690</v>
          </cell>
          <cell r="L63" t="str">
            <v>AC</v>
          </cell>
          <cell r="M63" t="str">
            <v>M</v>
          </cell>
          <cell r="N63" t="str">
            <v>N</v>
          </cell>
          <cell r="O63" t="str">
            <v/>
          </cell>
          <cell r="P63" t="str">
            <v>4850-MDB-202A</v>
          </cell>
          <cell r="Q63" t="str">
            <v>C</v>
          </cell>
          <cell r="S63">
            <v>8.8000000000000007</v>
          </cell>
          <cell r="T63">
            <v>11</v>
          </cell>
          <cell r="X63">
            <v>0.89500000000000002</v>
          </cell>
          <cell r="Y63">
            <v>0.73333333333333328</v>
          </cell>
        </row>
        <row r="64">
          <cell r="A64" t="str">
            <v>PEU-2</v>
          </cell>
          <cell r="B64" t="str">
            <v>41-PK-5051-2B</v>
          </cell>
          <cell r="C64" t="str">
            <v>Oil pump motor</v>
          </cell>
          <cell r="D64">
            <v>4104</v>
          </cell>
          <cell r="E64" t="str">
            <v>ISBL</v>
          </cell>
          <cell r="J64" t="str">
            <v>3</v>
          </cell>
          <cell r="K64">
            <v>690</v>
          </cell>
          <cell r="L64" t="str">
            <v>AC</v>
          </cell>
          <cell r="M64" t="str">
            <v>M</v>
          </cell>
          <cell r="N64" t="str">
            <v>N</v>
          </cell>
          <cell r="O64" t="str">
            <v/>
          </cell>
          <cell r="P64" t="str">
            <v>4850-MDB-202A</v>
          </cell>
          <cell r="Q64" t="str">
            <v>S</v>
          </cell>
          <cell r="S64">
            <v>8.8000000000000007</v>
          </cell>
          <cell r="T64">
            <v>11</v>
          </cell>
          <cell r="X64">
            <v>0.89500000000000002</v>
          </cell>
          <cell r="Y64">
            <v>0.73333333333333328</v>
          </cell>
        </row>
        <row r="65">
          <cell r="A65" t="str">
            <v>PEU-2</v>
          </cell>
          <cell r="B65" t="str">
            <v>41-RF-6001</v>
          </cell>
          <cell r="C65" t="str">
            <v>Extruder Feed Tank Rotary Valve</v>
          </cell>
          <cell r="D65">
            <v>4102</v>
          </cell>
          <cell r="E65" t="str">
            <v>ISBL</v>
          </cell>
          <cell r="J65" t="str">
            <v>3</v>
          </cell>
          <cell r="K65">
            <v>690</v>
          </cell>
          <cell r="L65" t="str">
            <v>AC</v>
          </cell>
          <cell r="M65" t="str">
            <v>M</v>
          </cell>
          <cell r="N65" t="str">
            <v>N</v>
          </cell>
          <cell r="O65" t="str">
            <v>VSD</v>
          </cell>
          <cell r="P65" t="str">
            <v>4850-MDB-202B</v>
          </cell>
          <cell r="Q65" t="str">
            <v>C</v>
          </cell>
          <cell r="S65">
            <v>4.4000000000000004</v>
          </cell>
          <cell r="T65">
            <v>5.5</v>
          </cell>
          <cell r="X65">
            <v>0.87</v>
          </cell>
          <cell r="Y65">
            <v>0.8</v>
          </cell>
        </row>
        <row r="66">
          <cell r="A66" t="str">
            <v>PEU-2</v>
          </cell>
          <cell r="B66" t="str">
            <v>41-MX-6020</v>
          </cell>
          <cell r="C66" t="str">
            <v xml:space="preserve">Extruder Feed Mixer </v>
          </cell>
          <cell r="D66">
            <v>4102</v>
          </cell>
          <cell r="E66" t="str">
            <v>ISBL</v>
          </cell>
          <cell r="J66" t="str">
            <v>3</v>
          </cell>
          <cell r="K66">
            <v>690</v>
          </cell>
          <cell r="L66" t="str">
            <v>AC</v>
          </cell>
          <cell r="M66" t="str">
            <v>M</v>
          </cell>
          <cell r="N66" t="str">
            <v>N</v>
          </cell>
          <cell r="O66" t="str">
            <v>VSD</v>
          </cell>
          <cell r="P66" t="str">
            <v>4850-MDB-202A</v>
          </cell>
          <cell r="Q66" t="str">
            <v>C</v>
          </cell>
          <cell r="S66">
            <v>14.8</v>
          </cell>
          <cell r="T66">
            <v>18.5</v>
          </cell>
          <cell r="X66">
            <v>0.90700000000000003</v>
          </cell>
          <cell r="Y66">
            <v>0.8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 t="str">
            <v>ISBL</v>
          </cell>
          <cell r="J67" t="str">
            <v>3</v>
          </cell>
          <cell r="K67">
            <v>0</v>
          </cell>
          <cell r="L67" t="str">
            <v>AC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S67">
            <v>0</v>
          </cell>
          <cell r="T67">
            <v>0</v>
          </cell>
          <cell r="X67">
            <v>0</v>
          </cell>
          <cell r="Y67">
            <v>0</v>
          </cell>
        </row>
        <row r="68">
          <cell r="A68" t="str">
            <v>PEU-2</v>
          </cell>
          <cell r="B68" t="str">
            <v>41-PK-5040-1</v>
          </cell>
          <cell r="C68" t="str">
            <v xml:space="preserve">Dehexanizer Column Overhead Compressor </v>
          </cell>
          <cell r="D68">
            <v>4104</v>
          </cell>
          <cell r="E68" t="str">
            <v>ISBL</v>
          </cell>
          <cell r="J68" t="str">
            <v>3</v>
          </cell>
          <cell r="K68">
            <v>690</v>
          </cell>
          <cell r="L68" t="str">
            <v>AC</v>
          </cell>
          <cell r="M68" t="str">
            <v>M</v>
          </cell>
          <cell r="N68" t="str">
            <v>N</v>
          </cell>
          <cell r="O68" t="str">
            <v>Soft Starter</v>
          </cell>
          <cell r="P68" t="str">
            <v>4850-MDB-202A</v>
          </cell>
          <cell r="Q68" t="str">
            <v>C</v>
          </cell>
          <cell r="S68">
            <v>200</v>
          </cell>
          <cell r="T68">
            <v>250</v>
          </cell>
          <cell r="X68">
            <v>0.95899999999999996</v>
          </cell>
          <cell r="Y68">
            <v>0.8</v>
          </cell>
        </row>
        <row r="69">
          <cell r="A69" t="str">
            <v>PEU-2</v>
          </cell>
          <cell r="B69" t="str">
            <v>41-RF-5001</v>
          </cell>
          <cell r="C69" t="str">
            <v>Extruder Feed Tank Rotary Valve</v>
          </cell>
          <cell r="D69">
            <v>4102</v>
          </cell>
          <cell r="E69" t="str">
            <v>ISBL</v>
          </cell>
          <cell r="J69" t="str">
            <v>3</v>
          </cell>
          <cell r="K69">
            <v>690</v>
          </cell>
          <cell r="L69" t="str">
            <v>AC</v>
          </cell>
          <cell r="M69" t="str">
            <v>M</v>
          </cell>
          <cell r="N69" t="str">
            <v>N</v>
          </cell>
          <cell r="O69" t="str">
            <v>VSD</v>
          </cell>
          <cell r="P69" t="str">
            <v>4850-MDB-202B</v>
          </cell>
          <cell r="Q69" t="str">
            <v>C</v>
          </cell>
          <cell r="S69">
            <v>4.4000000000000004</v>
          </cell>
          <cell r="T69">
            <v>5.5</v>
          </cell>
          <cell r="X69">
            <v>0.87</v>
          </cell>
          <cell r="Y69">
            <v>0.8</v>
          </cell>
        </row>
        <row r="70">
          <cell r="A70" t="str">
            <v>PEU-2</v>
          </cell>
          <cell r="B70" t="str">
            <v>41-RF-5002</v>
          </cell>
          <cell r="C70" t="str">
            <v>Fluff Silo Rotary Valve</v>
          </cell>
          <cell r="D70">
            <v>4102</v>
          </cell>
          <cell r="E70" t="str">
            <v>ISBL</v>
          </cell>
          <cell r="J70" t="str">
            <v>3</v>
          </cell>
          <cell r="K70">
            <v>690</v>
          </cell>
          <cell r="L70" t="str">
            <v>AC</v>
          </cell>
          <cell r="M70" t="str">
            <v>M</v>
          </cell>
          <cell r="N70" t="str">
            <v>N</v>
          </cell>
          <cell r="O70" t="str">
            <v/>
          </cell>
          <cell r="P70" t="str">
            <v>4850-MDB-202B</v>
          </cell>
          <cell r="Q70" t="str">
            <v>C</v>
          </cell>
          <cell r="S70">
            <v>4.4000000000000004</v>
          </cell>
          <cell r="T70">
            <v>5.5</v>
          </cell>
          <cell r="X70">
            <v>0.87</v>
          </cell>
          <cell r="Y70">
            <v>0.8</v>
          </cell>
        </row>
        <row r="71">
          <cell r="A71" t="str">
            <v>PEU-2</v>
          </cell>
          <cell r="B71" t="str">
            <v>41-PK-6040-3</v>
          </cell>
          <cell r="C71" t="str">
            <v>Pelletizer Motor</v>
          </cell>
          <cell r="D71">
            <v>4107</v>
          </cell>
          <cell r="E71" t="str">
            <v>ISBL</v>
          </cell>
          <cell r="J71" t="str">
            <v>3</v>
          </cell>
          <cell r="K71">
            <v>690</v>
          </cell>
          <cell r="L71" t="str">
            <v>AC</v>
          </cell>
          <cell r="M71" t="str">
            <v>M</v>
          </cell>
          <cell r="N71" t="str">
            <v>N</v>
          </cell>
          <cell r="O71" t="str">
            <v>Soft Starter</v>
          </cell>
          <cell r="P71" t="str">
            <v>4850-MDB-202A</v>
          </cell>
          <cell r="Q71" t="str">
            <v>C</v>
          </cell>
          <cell r="S71">
            <v>270</v>
          </cell>
          <cell r="T71">
            <v>300</v>
          </cell>
          <cell r="X71">
            <v>0.95899999999999996</v>
          </cell>
          <cell r="Y71">
            <v>0.9</v>
          </cell>
        </row>
        <row r="72">
          <cell r="A72" t="str">
            <v>PEU-2</v>
          </cell>
          <cell r="B72" t="str">
            <v>41-PK-6040-4</v>
          </cell>
          <cell r="C72" t="str">
            <v>Barring Motor</v>
          </cell>
          <cell r="D72">
            <v>4107</v>
          </cell>
          <cell r="E72" t="str">
            <v>ISBL</v>
          </cell>
          <cell r="J72" t="str">
            <v>3</v>
          </cell>
          <cell r="K72">
            <v>690</v>
          </cell>
          <cell r="L72" t="str">
            <v>AC</v>
          </cell>
          <cell r="M72" t="str">
            <v>M</v>
          </cell>
          <cell r="N72" t="str">
            <v>N</v>
          </cell>
          <cell r="O72" t="str">
            <v>Soft Starter</v>
          </cell>
          <cell r="P72" t="str">
            <v>4850-MDB-202B</v>
          </cell>
          <cell r="Q72" t="str">
            <v>C</v>
          </cell>
          <cell r="S72">
            <v>81</v>
          </cell>
          <cell r="T72">
            <v>90</v>
          </cell>
          <cell r="X72">
            <v>0.94699999999999995</v>
          </cell>
          <cell r="Y72">
            <v>0.9</v>
          </cell>
        </row>
        <row r="73">
          <cell r="A73" t="str">
            <v>PEU-2</v>
          </cell>
          <cell r="B73" t="str">
            <v>41-PK-6040-5A</v>
          </cell>
          <cell r="C73" t="str">
            <v>Lube Oil Pump Motor</v>
          </cell>
          <cell r="D73">
            <v>4107</v>
          </cell>
          <cell r="E73" t="str">
            <v>ISBL</v>
          </cell>
          <cell r="J73" t="str">
            <v>3</v>
          </cell>
          <cell r="K73">
            <v>690</v>
          </cell>
          <cell r="L73" t="str">
            <v>AC</v>
          </cell>
          <cell r="M73" t="str">
            <v>M</v>
          </cell>
          <cell r="N73" t="str">
            <v>N</v>
          </cell>
          <cell r="O73" t="str">
            <v>Soft Starter</v>
          </cell>
          <cell r="P73" t="str">
            <v>4850-MDB-202A</v>
          </cell>
          <cell r="Q73" t="str">
            <v>C</v>
          </cell>
          <cell r="S73">
            <v>49.5</v>
          </cell>
          <cell r="T73">
            <v>55</v>
          </cell>
          <cell r="X73">
            <v>0.93899999999999995</v>
          </cell>
          <cell r="Y73">
            <v>0.9</v>
          </cell>
        </row>
        <row r="74">
          <cell r="A74" t="str">
            <v>PEU-2</v>
          </cell>
          <cell r="B74" t="str">
            <v>41-PK-6040-5B</v>
          </cell>
          <cell r="C74" t="str">
            <v>Lube Oil Pump Motor</v>
          </cell>
          <cell r="D74">
            <v>4107</v>
          </cell>
          <cell r="E74" t="str">
            <v>ISBL</v>
          </cell>
          <cell r="J74" t="str">
            <v>3</v>
          </cell>
          <cell r="K74">
            <v>690</v>
          </cell>
          <cell r="L74" t="str">
            <v>AC</v>
          </cell>
          <cell r="M74" t="str">
            <v>M</v>
          </cell>
          <cell r="N74" t="str">
            <v>N</v>
          </cell>
          <cell r="O74" t="str">
            <v>Soft Starter</v>
          </cell>
          <cell r="P74" t="str">
            <v>4850-MDB-202B</v>
          </cell>
          <cell r="Q74" t="str">
            <v>S</v>
          </cell>
          <cell r="S74">
            <v>49.5</v>
          </cell>
          <cell r="T74">
            <v>55</v>
          </cell>
          <cell r="X74">
            <v>0.93899999999999995</v>
          </cell>
          <cell r="Y74">
            <v>0.9</v>
          </cell>
        </row>
        <row r="75">
          <cell r="A75" t="str">
            <v>PEU-2</v>
          </cell>
          <cell r="B75" t="str">
            <v>41-PK-6040-8A</v>
          </cell>
          <cell r="C75" t="str">
            <v>Lube Oil Return Pump Motor</v>
          </cell>
          <cell r="D75">
            <v>4107</v>
          </cell>
          <cell r="E75" t="str">
            <v>ISBL</v>
          </cell>
          <cell r="J75" t="str">
            <v>3</v>
          </cell>
          <cell r="K75">
            <v>690</v>
          </cell>
          <cell r="L75" t="str">
            <v>AC</v>
          </cell>
          <cell r="M75" t="str">
            <v>M</v>
          </cell>
          <cell r="N75" t="str">
            <v>N</v>
          </cell>
          <cell r="O75" t="str">
            <v/>
          </cell>
          <cell r="P75" t="str">
            <v>4850-MDB-202A</v>
          </cell>
          <cell r="Q75" t="str">
            <v>C</v>
          </cell>
          <cell r="S75">
            <v>13.5</v>
          </cell>
          <cell r="T75">
            <v>15</v>
          </cell>
          <cell r="X75">
            <v>0.9</v>
          </cell>
          <cell r="Y75">
            <v>0.9</v>
          </cell>
        </row>
        <row r="76">
          <cell r="A76" t="str">
            <v>PEU-2</v>
          </cell>
          <cell r="B76" t="str">
            <v>41-PK-6040-8B</v>
          </cell>
          <cell r="C76" t="str">
            <v>Lube Oil Return Pump Motor</v>
          </cell>
          <cell r="D76">
            <v>4107</v>
          </cell>
          <cell r="E76" t="str">
            <v>ISBL</v>
          </cell>
          <cell r="J76" t="str">
            <v>3</v>
          </cell>
          <cell r="K76">
            <v>690</v>
          </cell>
          <cell r="L76" t="str">
            <v>AC</v>
          </cell>
          <cell r="M76" t="str">
            <v>M</v>
          </cell>
          <cell r="N76" t="str">
            <v>N</v>
          </cell>
          <cell r="O76" t="str">
            <v/>
          </cell>
          <cell r="P76" t="str">
            <v>4850-MDB-202B</v>
          </cell>
          <cell r="Q76" t="str">
            <v>S</v>
          </cell>
          <cell r="S76">
            <v>13.5</v>
          </cell>
          <cell r="T76">
            <v>15</v>
          </cell>
          <cell r="X76">
            <v>0.9</v>
          </cell>
          <cell r="Y76">
            <v>0.9</v>
          </cell>
        </row>
        <row r="77">
          <cell r="A77" t="str">
            <v>PEU-2</v>
          </cell>
          <cell r="B77" t="str">
            <v>41-PK-6040-9</v>
          </cell>
          <cell r="C77" t="str">
            <v>Hydraulic Oil Pump Motor for Mixer</v>
          </cell>
          <cell r="D77">
            <v>4107</v>
          </cell>
          <cell r="E77" t="str">
            <v>ISBL</v>
          </cell>
          <cell r="J77" t="str">
            <v>3</v>
          </cell>
          <cell r="K77">
            <v>690</v>
          </cell>
          <cell r="L77" t="str">
            <v>AC</v>
          </cell>
          <cell r="M77" t="str">
            <v>M</v>
          </cell>
          <cell r="N77" t="str">
            <v>N</v>
          </cell>
          <cell r="O77" t="str">
            <v/>
          </cell>
          <cell r="P77" t="str">
            <v>4850-MDB-202A</v>
          </cell>
          <cell r="Q77" t="str">
            <v>C</v>
          </cell>
          <cell r="S77">
            <v>40.5</v>
          </cell>
          <cell r="T77">
            <v>45</v>
          </cell>
          <cell r="X77">
            <v>0.93500000000000005</v>
          </cell>
          <cell r="Y77">
            <v>0.9</v>
          </cell>
        </row>
        <row r="78">
          <cell r="A78" t="str">
            <v>PEU-2</v>
          </cell>
          <cell r="B78" t="str">
            <v>41-PK-6040-10</v>
          </cell>
          <cell r="C78" t="str">
            <v>Hydraulic Oil Pump Motor for Screen Changer</v>
          </cell>
          <cell r="D78">
            <v>4107</v>
          </cell>
          <cell r="E78" t="str">
            <v>ISBL</v>
          </cell>
          <cell r="J78" t="str">
            <v>3</v>
          </cell>
          <cell r="K78">
            <v>690</v>
          </cell>
          <cell r="L78" t="str">
            <v>AC</v>
          </cell>
          <cell r="M78" t="str">
            <v>M</v>
          </cell>
          <cell r="N78" t="str">
            <v>N</v>
          </cell>
          <cell r="O78" t="str">
            <v/>
          </cell>
          <cell r="P78" t="str">
            <v>4850-MDB-202B</v>
          </cell>
          <cell r="Q78" t="str">
            <v>C</v>
          </cell>
          <cell r="S78">
            <v>27</v>
          </cell>
          <cell r="T78">
            <v>30</v>
          </cell>
          <cell r="X78">
            <v>0.92</v>
          </cell>
          <cell r="Y78">
            <v>0.9</v>
          </cell>
        </row>
        <row r="79">
          <cell r="A79" t="str">
            <v>PEU-2</v>
          </cell>
          <cell r="B79" t="str">
            <v>41-PK-6040-11A</v>
          </cell>
          <cell r="C79" t="str">
            <v>BCW Pump Motor</v>
          </cell>
          <cell r="D79">
            <v>4107</v>
          </cell>
          <cell r="E79" t="str">
            <v>ISBL</v>
          </cell>
          <cell r="J79" t="str">
            <v>3</v>
          </cell>
          <cell r="K79">
            <v>690</v>
          </cell>
          <cell r="L79" t="str">
            <v>AC</v>
          </cell>
          <cell r="M79" t="str">
            <v>M</v>
          </cell>
          <cell r="N79" t="str">
            <v>N</v>
          </cell>
          <cell r="O79" t="str">
            <v/>
          </cell>
          <cell r="P79" t="str">
            <v>4850-MDB-202A</v>
          </cell>
          <cell r="Q79" t="str">
            <v>C</v>
          </cell>
          <cell r="S79">
            <v>13.5</v>
          </cell>
          <cell r="T79">
            <v>15</v>
          </cell>
          <cell r="X79">
            <v>0.9</v>
          </cell>
          <cell r="Y79">
            <v>0.9</v>
          </cell>
        </row>
        <row r="80">
          <cell r="A80" t="str">
            <v>PEU-2</v>
          </cell>
          <cell r="B80" t="str">
            <v>41-PK-6040-11B</v>
          </cell>
          <cell r="C80" t="str">
            <v>BCW Pump Motor</v>
          </cell>
          <cell r="D80">
            <v>4107</v>
          </cell>
          <cell r="E80" t="str">
            <v>ISBL</v>
          </cell>
          <cell r="J80" t="str">
            <v>3</v>
          </cell>
          <cell r="K80">
            <v>690</v>
          </cell>
          <cell r="L80" t="str">
            <v>AC</v>
          </cell>
          <cell r="M80" t="str">
            <v>M</v>
          </cell>
          <cell r="N80" t="str">
            <v>N</v>
          </cell>
          <cell r="O80" t="str">
            <v/>
          </cell>
          <cell r="P80" t="str">
            <v>4850-MDB-202B</v>
          </cell>
          <cell r="Q80" t="str">
            <v>S</v>
          </cell>
          <cell r="S80">
            <v>13.5</v>
          </cell>
          <cell r="T80">
            <v>15</v>
          </cell>
          <cell r="X80">
            <v>0.9</v>
          </cell>
          <cell r="Y80">
            <v>0.9</v>
          </cell>
        </row>
        <row r="81">
          <cell r="A81" t="str">
            <v>PEU-2</v>
          </cell>
          <cell r="B81" t="str">
            <v>41-PK-6040-12A</v>
          </cell>
          <cell r="C81" t="str">
            <v>PCW Pump Motor</v>
          </cell>
          <cell r="D81">
            <v>4107</v>
          </cell>
          <cell r="E81" t="str">
            <v>ISBL</v>
          </cell>
          <cell r="J81" t="str">
            <v>3</v>
          </cell>
          <cell r="K81">
            <v>690</v>
          </cell>
          <cell r="L81" t="str">
            <v>AC</v>
          </cell>
          <cell r="M81" t="str">
            <v>M</v>
          </cell>
          <cell r="N81" t="str">
            <v>N</v>
          </cell>
          <cell r="O81" t="str">
            <v>Soft Starter</v>
          </cell>
          <cell r="P81" t="str">
            <v>4850-MDB-202A</v>
          </cell>
          <cell r="Q81" t="str">
            <v>C</v>
          </cell>
          <cell r="S81">
            <v>144</v>
          </cell>
          <cell r="T81">
            <v>160</v>
          </cell>
          <cell r="X81">
            <v>0.95699999999999996</v>
          </cell>
          <cell r="Y81">
            <v>0.9</v>
          </cell>
        </row>
        <row r="82">
          <cell r="A82" t="str">
            <v>PEU-2</v>
          </cell>
          <cell r="B82" t="str">
            <v>41-PK-6040-12B</v>
          </cell>
          <cell r="C82" t="str">
            <v>PCW Pump Motor</v>
          </cell>
          <cell r="D82">
            <v>4107</v>
          </cell>
          <cell r="E82" t="str">
            <v>ISBL</v>
          </cell>
          <cell r="J82" t="str">
            <v>3</v>
          </cell>
          <cell r="K82">
            <v>690</v>
          </cell>
          <cell r="L82" t="str">
            <v>AC</v>
          </cell>
          <cell r="M82" t="str">
            <v>M</v>
          </cell>
          <cell r="N82" t="str">
            <v>N</v>
          </cell>
          <cell r="O82" t="str">
            <v>Soft Starter</v>
          </cell>
          <cell r="P82" t="str">
            <v>4850-MDB-202B</v>
          </cell>
          <cell r="Q82" t="str">
            <v>S</v>
          </cell>
          <cell r="S82">
            <v>144</v>
          </cell>
          <cell r="T82">
            <v>160</v>
          </cell>
          <cell r="X82">
            <v>0.95699999999999996</v>
          </cell>
          <cell r="Y82">
            <v>0.9</v>
          </cell>
        </row>
        <row r="83">
          <cell r="A83" t="str">
            <v>PEU-2</v>
          </cell>
          <cell r="B83" t="str">
            <v>41-PK-6040-13</v>
          </cell>
          <cell r="C83" t="str">
            <v>Dryer Motor</v>
          </cell>
          <cell r="D83">
            <v>4107</v>
          </cell>
          <cell r="E83" t="str">
            <v>ISBL</v>
          </cell>
          <cell r="J83" t="str">
            <v>3</v>
          </cell>
          <cell r="K83">
            <v>690</v>
          </cell>
          <cell r="L83" t="str">
            <v>AC</v>
          </cell>
          <cell r="M83" t="str">
            <v>M</v>
          </cell>
          <cell r="N83" t="str">
            <v>N</v>
          </cell>
          <cell r="O83" t="str">
            <v>Soft Starter</v>
          </cell>
          <cell r="P83" t="str">
            <v>4850-MDB-202B</v>
          </cell>
          <cell r="Q83" t="str">
            <v>C</v>
          </cell>
          <cell r="S83">
            <v>81</v>
          </cell>
          <cell r="T83">
            <v>90</v>
          </cell>
          <cell r="X83">
            <v>0.94699999999999995</v>
          </cell>
          <cell r="Y83">
            <v>0.9</v>
          </cell>
        </row>
        <row r="84">
          <cell r="A84" t="str">
            <v>PEU-2</v>
          </cell>
          <cell r="B84" t="str">
            <v>41-PK-6040-14A</v>
          </cell>
          <cell r="C84" t="str">
            <v>Dryer Exhaust Fan Motor</v>
          </cell>
          <cell r="D84">
            <v>4107</v>
          </cell>
          <cell r="E84" t="str">
            <v>ISBL</v>
          </cell>
          <cell r="J84" t="str">
            <v>3</v>
          </cell>
          <cell r="K84">
            <v>690</v>
          </cell>
          <cell r="L84" t="str">
            <v>AC</v>
          </cell>
          <cell r="M84" t="str">
            <v>M</v>
          </cell>
          <cell r="N84" t="str">
            <v>N</v>
          </cell>
          <cell r="O84" t="str">
            <v/>
          </cell>
          <cell r="P84" t="str">
            <v>4850-MDB-202A</v>
          </cell>
          <cell r="Q84" t="str">
            <v>C</v>
          </cell>
          <cell r="S84">
            <v>19.8</v>
          </cell>
          <cell r="T84">
            <v>22</v>
          </cell>
          <cell r="X84">
            <v>0.91300000000000003</v>
          </cell>
          <cell r="Y84">
            <v>0.9</v>
          </cell>
        </row>
        <row r="85">
          <cell r="A85" t="str">
            <v>PEU-2</v>
          </cell>
          <cell r="B85" t="str">
            <v>41-PK-6040-14B</v>
          </cell>
          <cell r="C85" t="str">
            <v>Dryer Exhaust Fan Motor</v>
          </cell>
          <cell r="D85">
            <v>4107</v>
          </cell>
          <cell r="E85" t="str">
            <v>ISBL</v>
          </cell>
          <cell r="J85" t="str">
            <v>3</v>
          </cell>
          <cell r="K85">
            <v>690</v>
          </cell>
          <cell r="L85" t="str">
            <v>AC</v>
          </cell>
          <cell r="M85" t="str">
            <v>M</v>
          </cell>
          <cell r="N85" t="str">
            <v>N</v>
          </cell>
          <cell r="O85" t="str">
            <v/>
          </cell>
          <cell r="P85" t="str">
            <v>4850-MDB-202A</v>
          </cell>
          <cell r="Q85" t="str">
            <v>S</v>
          </cell>
          <cell r="S85">
            <v>19.8</v>
          </cell>
          <cell r="T85">
            <v>22</v>
          </cell>
          <cell r="X85">
            <v>0.91300000000000003</v>
          </cell>
          <cell r="Y85">
            <v>0.9</v>
          </cell>
        </row>
        <row r="86">
          <cell r="A86" t="str">
            <v>PEU-2</v>
          </cell>
          <cell r="B86" t="str">
            <v>41-PK-6040-15</v>
          </cell>
          <cell r="C86" t="str">
            <v>Vibrating Screen Classifier Motor</v>
          </cell>
          <cell r="D86">
            <v>4107</v>
          </cell>
          <cell r="E86" t="str">
            <v>ISBL</v>
          </cell>
          <cell r="J86" t="str">
            <v>3</v>
          </cell>
          <cell r="K86">
            <v>690</v>
          </cell>
          <cell r="L86" t="str">
            <v>AC</v>
          </cell>
          <cell r="M86" t="str">
            <v>M</v>
          </cell>
          <cell r="N86" t="str">
            <v>N</v>
          </cell>
          <cell r="O86" t="str">
            <v/>
          </cell>
          <cell r="P86" t="str">
            <v>4850-MDB-202B</v>
          </cell>
          <cell r="Q86" t="str">
            <v>C</v>
          </cell>
          <cell r="S86">
            <v>6.75</v>
          </cell>
          <cell r="T86">
            <v>7.5</v>
          </cell>
          <cell r="X86">
            <v>0.88200000000000001</v>
          </cell>
          <cell r="Y86">
            <v>0.9</v>
          </cell>
        </row>
        <row r="87">
          <cell r="A87" t="str">
            <v>PEU-2</v>
          </cell>
          <cell r="B87" t="str">
            <v>41-PK-6040-16A</v>
          </cell>
          <cell r="C87" t="str">
            <v>Hot Oil Pump Motor for Die Plate Heating</v>
          </cell>
          <cell r="D87">
            <v>4107</v>
          </cell>
          <cell r="E87" t="str">
            <v>ISBL</v>
          </cell>
          <cell r="J87" t="str">
            <v>3</v>
          </cell>
          <cell r="K87">
            <v>690</v>
          </cell>
          <cell r="L87" t="str">
            <v>AC</v>
          </cell>
          <cell r="M87" t="str">
            <v>M</v>
          </cell>
          <cell r="N87" t="str">
            <v>N</v>
          </cell>
          <cell r="O87" t="str">
            <v>Soft Starter</v>
          </cell>
          <cell r="P87" t="str">
            <v>4850-MDB-202A</v>
          </cell>
          <cell r="Q87" t="str">
            <v>C</v>
          </cell>
          <cell r="S87">
            <v>67.5</v>
          </cell>
          <cell r="T87">
            <v>75</v>
          </cell>
          <cell r="X87">
            <v>0.94299999999999995</v>
          </cell>
          <cell r="Y87">
            <v>0.9</v>
          </cell>
        </row>
        <row r="88">
          <cell r="A88" t="str">
            <v>PEU-2</v>
          </cell>
          <cell r="B88" t="str">
            <v>41-PK-6040-16B</v>
          </cell>
          <cell r="C88" t="str">
            <v>Hot Oil Pump Motor for Die Plate Heating</v>
          </cell>
          <cell r="D88">
            <v>4107</v>
          </cell>
          <cell r="E88" t="str">
            <v>ISBL</v>
          </cell>
          <cell r="J88" t="str">
            <v>3</v>
          </cell>
          <cell r="K88">
            <v>690</v>
          </cell>
          <cell r="L88" t="str">
            <v>AC</v>
          </cell>
          <cell r="M88" t="str">
            <v>M</v>
          </cell>
          <cell r="N88" t="str">
            <v>N</v>
          </cell>
          <cell r="O88" t="str">
            <v>Soft Starter</v>
          </cell>
          <cell r="P88" t="str">
            <v>4850-MDB-202B</v>
          </cell>
          <cell r="Q88" t="str">
            <v>S</v>
          </cell>
          <cell r="S88">
            <v>67.5</v>
          </cell>
          <cell r="T88">
            <v>75</v>
          </cell>
          <cell r="X88">
            <v>0.94299999999999995</v>
          </cell>
          <cell r="Y88">
            <v>0.9</v>
          </cell>
        </row>
        <row r="89">
          <cell r="A89" t="str">
            <v>PEU-2</v>
          </cell>
          <cell r="B89" t="str">
            <v>41-PK-6040-17A</v>
          </cell>
          <cell r="C89" t="str">
            <v>Hot Oil Pump Motor for Gear Pump Rotor Cooling</v>
          </cell>
          <cell r="D89">
            <v>4107</v>
          </cell>
          <cell r="E89" t="str">
            <v>ISBL</v>
          </cell>
          <cell r="J89" t="str">
            <v>3</v>
          </cell>
          <cell r="K89">
            <v>690</v>
          </cell>
          <cell r="L89" t="str">
            <v>AC</v>
          </cell>
          <cell r="M89" t="str">
            <v>M</v>
          </cell>
          <cell r="N89" t="str">
            <v>N</v>
          </cell>
          <cell r="O89" t="str">
            <v/>
          </cell>
          <cell r="P89" t="str">
            <v>4850-MDB-202A</v>
          </cell>
          <cell r="Q89" t="str">
            <v>C</v>
          </cell>
          <cell r="S89">
            <v>16</v>
          </cell>
          <cell r="T89">
            <v>20</v>
          </cell>
          <cell r="X89">
            <v>0.90700000000000003</v>
          </cell>
          <cell r="Y89">
            <v>0.90000000000000013</v>
          </cell>
        </row>
        <row r="90">
          <cell r="A90" t="str">
            <v>PEU-2</v>
          </cell>
          <cell r="B90" t="str">
            <v>41-PK-6040-17B</v>
          </cell>
          <cell r="C90" t="str">
            <v>Hot Oil Pump Motor for Gear Pump Rotor Cooling</v>
          </cell>
          <cell r="D90">
            <v>4107</v>
          </cell>
          <cell r="E90" t="str">
            <v>ISBL</v>
          </cell>
          <cell r="J90" t="str">
            <v>3</v>
          </cell>
          <cell r="K90">
            <v>690</v>
          </cell>
          <cell r="L90" t="str">
            <v>AC</v>
          </cell>
          <cell r="M90" t="str">
            <v>M</v>
          </cell>
          <cell r="N90" t="str">
            <v>N</v>
          </cell>
          <cell r="O90" t="str">
            <v/>
          </cell>
          <cell r="P90" t="str">
            <v>4850-MDB-202B</v>
          </cell>
          <cell r="Q90" t="str">
            <v>S</v>
          </cell>
          <cell r="S90">
            <v>16</v>
          </cell>
          <cell r="T90">
            <v>20</v>
          </cell>
          <cell r="X90">
            <v>0.90700000000000003</v>
          </cell>
          <cell r="Y90">
            <v>0.90000000000000013</v>
          </cell>
        </row>
        <row r="91">
          <cell r="A91" t="str">
            <v>PEU-2</v>
          </cell>
          <cell r="B91" t="str">
            <v>41-PK-6040-18A</v>
          </cell>
          <cell r="C91" t="str">
            <v>Hot Oil Pump Motor for Gear Pump Bearing Cooling</v>
          </cell>
          <cell r="D91">
            <v>4107</v>
          </cell>
          <cell r="E91" t="str">
            <v>ISBL</v>
          </cell>
          <cell r="J91" t="str">
            <v>3</v>
          </cell>
          <cell r="K91">
            <v>690</v>
          </cell>
          <cell r="L91" t="str">
            <v>AC</v>
          </cell>
          <cell r="M91" t="str">
            <v>M</v>
          </cell>
          <cell r="N91" t="str">
            <v>N</v>
          </cell>
          <cell r="O91" t="str">
            <v/>
          </cell>
          <cell r="P91" t="str">
            <v>4850-MDB-202A</v>
          </cell>
          <cell r="Q91" t="str">
            <v>C</v>
          </cell>
          <cell r="S91">
            <v>19.8</v>
          </cell>
          <cell r="T91">
            <v>22</v>
          </cell>
          <cell r="X91">
            <v>0.91300000000000003</v>
          </cell>
          <cell r="Y91">
            <v>0.90000000000000013</v>
          </cell>
        </row>
        <row r="92">
          <cell r="A92" t="str">
            <v>PEU-2</v>
          </cell>
          <cell r="B92" t="str">
            <v>41-PK-6040-18B</v>
          </cell>
          <cell r="C92" t="str">
            <v>Hot Oil Pump Motor for Gear Pump Bearing Cooling</v>
          </cell>
          <cell r="D92">
            <v>4107</v>
          </cell>
          <cell r="E92" t="str">
            <v>ISBL</v>
          </cell>
          <cell r="J92" t="str">
            <v>3</v>
          </cell>
          <cell r="K92">
            <v>690</v>
          </cell>
          <cell r="L92" t="str">
            <v>AC</v>
          </cell>
          <cell r="M92" t="str">
            <v>M</v>
          </cell>
          <cell r="N92" t="str">
            <v>N</v>
          </cell>
          <cell r="O92" t="str">
            <v/>
          </cell>
          <cell r="P92" t="str">
            <v>4850-MDB-202B</v>
          </cell>
          <cell r="Q92" t="str">
            <v>S</v>
          </cell>
          <cell r="S92">
            <v>19.8</v>
          </cell>
          <cell r="T92">
            <v>22</v>
          </cell>
          <cell r="X92">
            <v>0.91300000000000003</v>
          </cell>
          <cell r="Y92">
            <v>0.90000000000000013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 t="str">
            <v>ISBL</v>
          </cell>
          <cell r="J93" t="str">
            <v>3</v>
          </cell>
          <cell r="K93">
            <v>0</v>
          </cell>
          <cell r="L93" t="str">
            <v>AC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S93">
            <v>0</v>
          </cell>
          <cell r="T93">
            <v>0</v>
          </cell>
          <cell r="X93">
            <v>0</v>
          </cell>
          <cell r="Y93">
            <v>0</v>
          </cell>
        </row>
        <row r="94">
          <cell r="A94" t="str">
            <v>PEU-2</v>
          </cell>
          <cell r="B94" t="str">
            <v>41-PK-6040-31</v>
          </cell>
          <cell r="C94" t="str">
            <v>Gear Pump Motor Fan Motor</v>
          </cell>
          <cell r="D94">
            <v>4107</v>
          </cell>
          <cell r="E94" t="str">
            <v>ISBL</v>
          </cell>
          <cell r="J94" t="str">
            <v>3</v>
          </cell>
          <cell r="K94">
            <v>690</v>
          </cell>
          <cell r="L94" t="str">
            <v>AC</v>
          </cell>
          <cell r="M94" t="str">
            <v>M</v>
          </cell>
          <cell r="N94" t="str">
            <v>N</v>
          </cell>
          <cell r="O94" t="str">
            <v/>
          </cell>
          <cell r="P94" t="str">
            <v>4850-MDB-202A</v>
          </cell>
          <cell r="Q94" t="str">
            <v>C</v>
          </cell>
          <cell r="S94">
            <v>5.4</v>
          </cell>
          <cell r="T94">
            <v>6</v>
          </cell>
          <cell r="X94">
            <v>0.87</v>
          </cell>
          <cell r="Y94">
            <v>0.9</v>
          </cell>
        </row>
        <row r="95">
          <cell r="A95" t="str">
            <v>PEU-2</v>
          </cell>
          <cell r="B95" t="str">
            <v>41-PK-6040-32</v>
          </cell>
          <cell r="C95" t="str">
            <v>Hot Oil Pump Motor for Gear Pump &amp; S/C Heating</v>
          </cell>
          <cell r="D95">
            <v>4107</v>
          </cell>
          <cell r="E95" t="str">
            <v>ISBL</v>
          </cell>
          <cell r="J95" t="str">
            <v>3</v>
          </cell>
          <cell r="K95">
            <v>690</v>
          </cell>
          <cell r="L95" t="str">
            <v>AC</v>
          </cell>
          <cell r="M95" t="str">
            <v>M</v>
          </cell>
          <cell r="N95" t="str">
            <v>N</v>
          </cell>
          <cell r="O95" t="str">
            <v>Soft Starter</v>
          </cell>
          <cell r="P95" t="str">
            <v>4850-MDB-202B</v>
          </cell>
          <cell r="Q95" t="str">
            <v>C</v>
          </cell>
          <cell r="S95">
            <v>67.5</v>
          </cell>
          <cell r="T95">
            <v>75</v>
          </cell>
          <cell r="X95">
            <v>0.94299999999999995</v>
          </cell>
          <cell r="Y95">
            <v>0.9</v>
          </cell>
        </row>
        <row r="96">
          <cell r="A96" t="str">
            <v>PEU-2</v>
          </cell>
          <cell r="B96" t="str">
            <v>41-PK-6040-33</v>
          </cell>
          <cell r="C96" t="str">
            <v>Hot Oil Pump Motor for Gear Mixer Chamber Heating</v>
          </cell>
          <cell r="D96">
            <v>4107</v>
          </cell>
          <cell r="E96" t="str">
            <v>ISBL</v>
          </cell>
          <cell r="J96" t="str">
            <v>3</v>
          </cell>
          <cell r="K96">
            <v>690</v>
          </cell>
          <cell r="L96" t="str">
            <v>AC</v>
          </cell>
          <cell r="M96" t="str">
            <v>M</v>
          </cell>
          <cell r="N96" t="str">
            <v>N</v>
          </cell>
          <cell r="O96" t="str">
            <v/>
          </cell>
          <cell r="P96" t="str">
            <v>4850-MDB-202A</v>
          </cell>
          <cell r="Q96" t="str">
            <v>C</v>
          </cell>
          <cell r="S96">
            <v>45</v>
          </cell>
          <cell r="T96">
            <v>50</v>
          </cell>
          <cell r="X96">
            <v>0.93500000000000005</v>
          </cell>
          <cell r="Y96">
            <v>0.9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 t="str">
            <v>ISBL</v>
          </cell>
          <cell r="J97" t="str">
            <v>3</v>
          </cell>
          <cell r="K97">
            <v>0</v>
          </cell>
          <cell r="L97" t="str">
            <v>AC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  <cell r="T97">
            <v>0</v>
          </cell>
          <cell r="X97">
            <v>0</v>
          </cell>
          <cell r="Y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 t="str">
            <v>ISBL</v>
          </cell>
          <cell r="J98" t="str">
            <v>3</v>
          </cell>
          <cell r="K98">
            <v>0</v>
          </cell>
          <cell r="L98" t="str">
            <v>AC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  <cell r="T98">
            <v>0</v>
          </cell>
          <cell r="X98">
            <v>0</v>
          </cell>
          <cell r="Y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 t="str">
            <v>ISBL</v>
          </cell>
          <cell r="J99" t="str">
            <v>3</v>
          </cell>
          <cell r="K99">
            <v>0</v>
          </cell>
          <cell r="L99" t="str">
            <v>AC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  <cell r="T99">
            <v>0</v>
          </cell>
          <cell r="X99">
            <v>0</v>
          </cell>
          <cell r="Y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 t="str">
            <v>ISBL</v>
          </cell>
          <cell r="J100" t="str">
            <v>3</v>
          </cell>
          <cell r="K100">
            <v>0</v>
          </cell>
          <cell r="L100" t="str">
            <v>AC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  <cell r="T100">
            <v>0</v>
          </cell>
          <cell r="X100">
            <v>0</v>
          </cell>
          <cell r="Y100">
            <v>0</v>
          </cell>
        </row>
        <row r="101">
          <cell r="A101" t="str">
            <v>PEU-2</v>
          </cell>
          <cell r="B101" t="str">
            <v>41-P-5060A</v>
          </cell>
          <cell r="C101" t="str">
            <v>Deethanizer OVHD Accumulator Reflux Pump</v>
          </cell>
          <cell r="D101">
            <v>4104</v>
          </cell>
          <cell r="E101" t="str">
            <v>ISBL</v>
          </cell>
          <cell r="J101" t="str">
            <v>3</v>
          </cell>
          <cell r="K101">
            <v>690</v>
          </cell>
          <cell r="L101" t="str">
            <v>AC</v>
          </cell>
          <cell r="M101" t="str">
            <v>M</v>
          </cell>
          <cell r="N101" t="str">
            <v>N</v>
          </cell>
          <cell r="O101" t="str">
            <v/>
          </cell>
          <cell r="P101" t="str">
            <v>4850-MDB-203A</v>
          </cell>
          <cell r="Q101" t="str">
            <v>C</v>
          </cell>
          <cell r="S101">
            <v>18.7</v>
          </cell>
          <cell r="T101">
            <v>22</v>
          </cell>
          <cell r="X101">
            <v>0.91300000000000003</v>
          </cell>
          <cell r="Y101">
            <v>0.85</v>
          </cell>
        </row>
        <row r="102">
          <cell r="A102" t="str">
            <v>PEU-2</v>
          </cell>
          <cell r="B102" t="str">
            <v>46-P-8061A</v>
          </cell>
          <cell r="C102" t="str">
            <v>Demin. Water Booster Pump</v>
          </cell>
          <cell r="D102">
            <v>4101</v>
          </cell>
          <cell r="E102" t="str">
            <v>ISBL</v>
          </cell>
          <cell r="J102" t="str">
            <v>3</v>
          </cell>
          <cell r="K102">
            <v>690</v>
          </cell>
          <cell r="L102" t="str">
            <v>AC</v>
          </cell>
          <cell r="M102" t="str">
            <v>M</v>
          </cell>
          <cell r="N102" t="str">
            <v>N</v>
          </cell>
          <cell r="O102" t="str">
            <v/>
          </cell>
          <cell r="P102" t="str">
            <v>4850-MDB-203B</v>
          </cell>
          <cell r="Q102" t="str">
            <v>C</v>
          </cell>
          <cell r="S102">
            <v>9</v>
          </cell>
          <cell r="T102">
            <v>11</v>
          </cell>
          <cell r="X102">
            <v>0.89500000000000002</v>
          </cell>
          <cell r="Y102">
            <v>0.85</v>
          </cell>
        </row>
        <row r="103">
          <cell r="A103" t="str">
            <v>PEU-2</v>
          </cell>
          <cell r="B103" t="str">
            <v>63-P-0011A</v>
          </cell>
          <cell r="C103" t="str">
            <v>Glycol Water Circulation Pump</v>
          </cell>
          <cell r="D103">
            <v>4106</v>
          </cell>
          <cell r="E103" t="str">
            <v>ISBL</v>
          </cell>
          <cell r="J103" t="str">
            <v>3</v>
          </cell>
          <cell r="K103">
            <v>690</v>
          </cell>
          <cell r="L103" t="str">
            <v>AC</v>
          </cell>
          <cell r="M103" t="str">
            <v>M</v>
          </cell>
          <cell r="N103" t="str">
            <v>N</v>
          </cell>
          <cell r="O103" t="str">
            <v/>
          </cell>
          <cell r="P103" t="str">
            <v>4850-MDB-203A</v>
          </cell>
          <cell r="Q103" t="str">
            <v>C</v>
          </cell>
          <cell r="S103">
            <v>9.9</v>
          </cell>
          <cell r="T103">
            <v>11</v>
          </cell>
          <cell r="X103">
            <v>0.89500000000000002</v>
          </cell>
          <cell r="Y103">
            <v>0.85</v>
          </cell>
        </row>
        <row r="104">
          <cell r="A104" t="str">
            <v>PEU-2</v>
          </cell>
          <cell r="B104" t="str">
            <v>63-P-0011B</v>
          </cell>
          <cell r="C104" t="str">
            <v>Glycol Water Circulation Pump</v>
          </cell>
          <cell r="D104">
            <v>4106</v>
          </cell>
          <cell r="E104" t="str">
            <v>ISBL</v>
          </cell>
          <cell r="J104" t="str">
            <v>3</v>
          </cell>
          <cell r="K104">
            <v>690</v>
          </cell>
          <cell r="L104" t="str">
            <v>AC</v>
          </cell>
          <cell r="M104" t="str">
            <v>M</v>
          </cell>
          <cell r="N104" t="str">
            <v>N</v>
          </cell>
          <cell r="O104" t="str">
            <v/>
          </cell>
          <cell r="P104" t="str">
            <v>4850-MDB-203B</v>
          </cell>
          <cell r="Q104" t="str">
            <v>C</v>
          </cell>
          <cell r="S104">
            <v>9.9</v>
          </cell>
          <cell r="T104">
            <v>11</v>
          </cell>
          <cell r="X104">
            <v>0.89500000000000002</v>
          </cell>
          <cell r="Y104">
            <v>0.85</v>
          </cell>
        </row>
        <row r="105">
          <cell r="A105" t="str">
            <v>PEU-2</v>
          </cell>
          <cell r="B105" t="str">
            <v>63-P-0011C</v>
          </cell>
          <cell r="C105" t="str">
            <v>Glycol Water Circulation Pump</v>
          </cell>
          <cell r="D105">
            <v>4106</v>
          </cell>
          <cell r="E105" t="str">
            <v>ISBL</v>
          </cell>
          <cell r="J105" t="str">
            <v>3</v>
          </cell>
          <cell r="K105">
            <v>690</v>
          </cell>
          <cell r="L105" t="str">
            <v>AC</v>
          </cell>
          <cell r="M105" t="str">
            <v>M</v>
          </cell>
          <cell r="N105" t="str">
            <v>N</v>
          </cell>
          <cell r="O105" t="str">
            <v/>
          </cell>
          <cell r="P105" t="str">
            <v>4850-MDB-203A</v>
          </cell>
          <cell r="Q105" t="str">
            <v>S</v>
          </cell>
          <cell r="S105">
            <v>9.9</v>
          </cell>
          <cell r="T105">
            <v>11</v>
          </cell>
          <cell r="X105">
            <v>0.89500000000000002</v>
          </cell>
          <cell r="Y105">
            <v>0.85</v>
          </cell>
        </row>
        <row r="106">
          <cell r="A106" t="str">
            <v>PEU-2</v>
          </cell>
          <cell r="B106" t="str">
            <v>63-P-0012A</v>
          </cell>
          <cell r="C106" t="str">
            <v>Pressure Holding Pump</v>
          </cell>
          <cell r="D106" t="str">
            <v>x</v>
          </cell>
          <cell r="E106" t="str">
            <v>ISBL</v>
          </cell>
          <cell r="J106" t="str">
            <v>3</v>
          </cell>
          <cell r="K106">
            <v>690</v>
          </cell>
          <cell r="L106" t="str">
            <v>AC</v>
          </cell>
          <cell r="M106" t="str">
            <v>M</v>
          </cell>
          <cell r="N106" t="str">
            <v>N</v>
          </cell>
          <cell r="O106" t="str">
            <v/>
          </cell>
          <cell r="P106" t="str">
            <v>4850-MDB-203B</v>
          </cell>
          <cell r="Q106" t="str">
            <v>C</v>
          </cell>
          <cell r="S106">
            <v>9.9</v>
          </cell>
          <cell r="T106">
            <v>11</v>
          </cell>
          <cell r="X106">
            <v>0.89500000000000002</v>
          </cell>
          <cell r="Y106">
            <v>0.85</v>
          </cell>
        </row>
        <row r="107">
          <cell r="A107" t="str">
            <v>PEU-2</v>
          </cell>
          <cell r="B107" t="str">
            <v>63-P-0012B</v>
          </cell>
          <cell r="C107" t="str">
            <v>Pressure Holding Pump</v>
          </cell>
          <cell r="D107" t="str">
            <v>x</v>
          </cell>
          <cell r="E107" t="str">
            <v>ISBL</v>
          </cell>
          <cell r="J107" t="str">
            <v>3</v>
          </cell>
          <cell r="K107">
            <v>690</v>
          </cell>
          <cell r="L107" t="str">
            <v>AC</v>
          </cell>
          <cell r="M107" t="str">
            <v>M</v>
          </cell>
          <cell r="N107" t="str">
            <v>N</v>
          </cell>
          <cell r="O107" t="str">
            <v/>
          </cell>
          <cell r="P107" t="str">
            <v>4850-MDB-203A</v>
          </cell>
          <cell r="Q107" t="str">
            <v>S</v>
          </cell>
          <cell r="S107">
            <v>9.9</v>
          </cell>
          <cell r="T107">
            <v>11</v>
          </cell>
          <cell r="X107">
            <v>0.89500000000000002</v>
          </cell>
          <cell r="Y107">
            <v>0.85</v>
          </cell>
        </row>
        <row r="108">
          <cell r="A108" t="str">
            <v>PEU-2</v>
          </cell>
          <cell r="B108" t="str">
            <v>63-P-0021A</v>
          </cell>
          <cell r="C108" t="str">
            <v>Industrial Waste Water Pump</v>
          </cell>
          <cell r="D108" t="str">
            <v>x</v>
          </cell>
          <cell r="E108" t="str">
            <v>ISBL</v>
          </cell>
          <cell r="J108" t="str">
            <v>3</v>
          </cell>
          <cell r="K108">
            <v>690</v>
          </cell>
          <cell r="L108" t="str">
            <v>AC</v>
          </cell>
          <cell r="M108" t="str">
            <v>M</v>
          </cell>
          <cell r="N108" t="str">
            <v>N</v>
          </cell>
          <cell r="O108" t="str">
            <v/>
          </cell>
          <cell r="P108" t="str">
            <v>4850-MDB-203A</v>
          </cell>
          <cell r="Q108" t="str">
            <v>I</v>
          </cell>
          <cell r="S108">
            <v>27</v>
          </cell>
          <cell r="T108">
            <v>30</v>
          </cell>
          <cell r="X108">
            <v>0.92</v>
          </cell>
          <cell r="Y108">
            <v>0.85</v>
          </cell>
        </row>
        <row r="109">
          <cell r="A109" t="str">
            <v>PEU-2</v>
          </cell>
          <cell r="B109" t="str">
            <v>63-P-0021B</v>
          </cell>
          <cell r="C109" t="str">
            <v>Industrial Waste Water Pump</v>
          </cell>
          <cell r="D109" t="str">
            <v>x</v>
          </cell>
          <cell r="E109" t="str">
            <v>ISBL</v>
          </cell>
          <cell r="J109" t="str">
            <v>3</v>
          </cell>
          <cell r="K109">
            <v>690</v>
          </cell>
          <cell r="L109" t="str">
            <v>AC</v>
          </cell>
          <cell r="M109" t="str">
            <v>M</v>
          </cell>
          <cell r="N109" t="str">
            <v>N</v>
          </cell>
          <cell r="O109" t="str">
            <v/>
          </cell>
          <cell r="P109" t="str">
            <v>4850-MDB-203B</v>
          </cell>
          <cell r="Q109" t="str">
            <v>S</v>
          </cell>
          <cell r="S109">
            <v>27</v>
          </cell>
          <cell r="T109">
            <v>30</v>
          </cell>
          <cell r="X109">
            <v>0.92</v>
          </cell>
          <cell r="Y109">
            <v>0.85</v>
          </cell>
        </row>
        <row r="110">
          <cell r="A110" t="str">
            <v>PEU-2</v>
          </cell>
          <cell r="B110" t="str">
            <v>46-P-8071A</v>
          </cell>
          <cell r="C110" t="str">
            <v>Waste Storm Water Pump</v>
          </cell>
          <cell r="D110">
            <v>0</v>
          </cell>
          <cell r="E110" t="str">
            <v>ISBL</v>
          </cell>
          <cell r="J110" t="str">
            <v>3</v>
          </cell>
          <cell r="K110">
            <v>690</v>
          </cell>
          <cell r="L110" t="str">
            <v>AC</v>
          </cell>
          <cell r="M110" t="str">
            <v>M</v>
          </cell>
          <cell r="N110" t="str">
            <v>N</v>
          </cell>
          <cell r="O110" t="str">
            <v/>
          </cell>
          <cell r="P110" t="str">
            <v>4850-MDB-203A</v>
          </cell>
          <cell r="Q110" t="str">
            <v>I</v>
          </cell>
          <cell r="S110">
            <v>11.3</v>
          </cell>
          <cell r="T110">
            <v>15</v>
          </cell>
          <cell r="X110">
            <v>0.9</v>
          </cell>
          <cell r="Y110">
            <v>0.85</v>
          </cell>
        </row>
        <row r="111">
          <cell r="A111" t="str">
            <v>PEU-2</v>
          </cell>
          <cell r="B111" t="str">
            <v>46-P-8071B</v>
          </cell>
          <cell r="C111" t="str">
            <v>Waste Storm Water Pump</v>
          </cell>
          <cell r="D111">
            <v>0</v>
          </cell>
          <cell r="E111" t="str">
            <v>ISBL</v>
          </cell>
          <cell r="J111" t="str">
            <v>3</v>
          </cell>
          <cell r="K111">
            <v>690</v>
          </cell>
          <cell r="L111" t="str">
            <v>AC</v>
          </cell>
          <cell r="M111" t="str">
            <v>M</v>
          </cell>
          <cell r="N111" t="str">
            <v>N</v>
          </cell>
          <cell r="O111" t="str">
            <v/>
          </cell>
          <cell r="P111" t="str">
            <v>4850-MDB-203B</v>
          </cell>
          <cell r="Q111" t="str">
            <v>S</v>
          </cell>
          <cell r="S111">
            <v>11.3</v>
          </cell>
          <cell r="T111">
            <v>15</v>
          </cell>
          <cell r="X111">
            <v>0.9</v>
          </cell>
          <cell r="Y111">
            <v>0.85</v>
          </cell>
        </row>
        <row r="112">
          <cell r="A112" t="str">
            <v>PEU-2</v>
          </cell>
          <cell r="B112" t="str">
            <v>46-P-8072A</v>
          </cell>
          <cell r="C112" t="str">
            <v>Storm Water Pump</v>
          </cell>
          <cell r="D112">
            <v>0</v>
          </cell>
          <cell r="E112" t="str">
            <v>ISBL</v>
          </cell>
          <cell r="J112" t="str">
            <v>3</v>
          </cell>
          <cell r="K112">
            <v>690</v>
          </cell>
          <cell r="L112" t="str">
            <v>AC</v>
          </cell>
          <cell r="M112" t="str">
            <v>M</v>
          </cell>
          <cell r="N112" t="str">
            <v>N</v>
          </cell>
          <cell r="O112" t="str">
            <v/>
          </cell>
          <cell r="P112" t="str">
            <v>4850-MDB-203A</v>
          </cell>
          <cell r="Q112" t="str">
            <v>I</v>
          </cell>
          <cell r="S112">
            <v>8.3000000000000007</v>
          </cell>
          <cell r="T112">
            <v>11</v>
          </cell>
          <cell r="X112">
            <v>0.89500000000000002</v>
          </cell>
          <cell r="Y112">
            <v>0.85</v>
          </cell>
        </row>
        <row r="113">
          <cell r="A113" t="str">
            <v>PEU-2</v>
          </cell>
          <cell r="B113" t="str">
            <v>46-P-8072B</v>
          </cell>
          <cell r="C113" t="str">
            <v>Storm Water Pump</v>
          </cell>
          <cell r="D113">
            <v>0</v>
          </cell>
          <cell r="E113" t="str">
            <v>ISBL</v>
          </cell>
          <cell r="J113" t="str">
            <v>3</v>
          </cell>
          <cell r="K113">
            <v>690</v>
          </cell>
          <cell r="L113" t="str">
            <v>AC</v>
          </cell>
          <cell r="M113" t="str">
            <v>M</v>
          </cell>
          <cell r="N113" t="str">
            <v>N</v>
          </cell>
          <cell r="O113" t="str">
            <v/>
          </cell>
          <cell r="P113" t="str">
            <v>4850-MDB-203B</v>
          </cell>
          <cell r="Q113" t="str">
            <v>S</v>
          </cell>
          <cell r="S113">
            <v>8.3000000000000007</v>
          </cell>
          <cell r="T113">
            <v>11</v>
          </cell>
          <cell r="X113">
            <v>0.89500000000000002</v>
          </cell>
          <cell r="Y113">
            <v>0.85</v>
          </cell>
        </row>
        <row r="114">
          <cell r="A114" t="str">
            <v>PEU-2</v>
          </cell>
          <cell r="B114" t="str">
            <v>41-AG-3102</v>
          </cell>
          <cell r="C114" t="str">
            <v>PF Catalyst Slurry Mix Tank Agitator</v>
          </cell>
          <cell r="D114">
            <v>4105</v>
          </cell>
          <cell r="E114" t="str">
            <v>ISBL</v>
          </cell>
          <cell r="J114" t="str">
            <v>3</v>
          </cell>
          <cell r="K114">
            <v>690</v>
          </cell>
          <cell r="L114" t="str">
            <v>AC</v>
          </cell>
          <cell r="M114" t="str">
            <v>M</v>
          </cell>
          <cell r="N114" t="str">
            <v>N</v>
          </cell>
          <cell r="O114" t="str">
            <v/>
          </cell>
          <cell r="P114" t="str">
            <v>4850-MDB-203B</v>
          </cell>
          <cell r="Q114" t="str">
            <v>C</v>
          </cell>
          <cell r="S114">
            <v>24</v>
          </cell>
          <cell r="T114">
            <v>30</v>
          </cell>
          <cell r="X114">
            <v>0.92</v>
          </cell>
          <cell r="Y114">
            <v>0.85</v>
          </cell>
        </row>
        <row r="115">
          <cell r="A115" t="str">
            <v>PEU-2</v>
          </cell>
          <cell r="B115" t="str">
            <v>41-AG-3103A</v>
          </cell>
          <cell r="C115" t="str">
            <v>PF Catalyst Run Tank Agitator</v>
          </cell>
          <cell r="D115">
            <v>4105</v>
          </cell>
          <cell r="E115" t="str">
            <v>ISBL</v>
          </cell>
          <cell r="J115" t="str">
            <v>3</v>
          </cell>
          <cell r="K115">
            <v>690</v>
          </cell>
          <cell r="L115" t="str">
            <v>AC</v>
          </cell>
          <cell r="M115" t="str">
            <v>M</v>
          </cell>
          <cell r="N115" t="str">
            <v>N</v>
          </cell>
          <cell r="O115">
            <v>0</v>
          </cell>
          <cell r="P115" t="str">
            <v>4850-MDB-203A</v>
          </cell>
          <cell r="Q115" t="str">
            <v>C</v>
          </cell>
          <cell r="S115">
            <v>17.600000000000001</v>
          </cell>
          <cell r="T115">
            <v>22</v>
          </cell>
          <cell r="X115">
            <v>0.91300000000000003</v>
          </cell>
          <cell r="Y115">
            <v>0.85</v>
          </cell>
        </row>
        <row r="116">
          <cell r="A116" t="str">
            <v>PEU-2</v>
          </cell>
          <cell r="B116" t="str">
            <v>41-AG-3103B</v>
          </cell>
          <cell r="C116" t="str">
            <v>PF Catalyst Run Tank Agitator</v>
          </cell>
          <cell r="D116">
            <v>4105</v>
          </cell>
          <cell r="E116" t="str">
            <v>ISBL</v>
          </cell>
          <cell r="J116" t="str">
            <v>3</v>
          </cell>
          <cell r="K116">
            <v>690</v>
          </cell>
          <cell r="L116" t="str">
            <v>AC</v>
          </cell>
          <cell r="M116" t="str">
            <v>M</v>
          </cell>
          <cell r="N116" t="str">
            <v>N</v>
          </cell>
          <cell r="O116">
            <v>0</v>
          </cell>
          <cell r="P116" t="str">
            <v>4850-MDB-203B</v>
          </cell>
          <cell r="Q116" t="str">
            <v>C</v>
          </cell>
          <cell r="S116">
            <v>17.600000000000001</v>
          </cell>
          <cell r="T116">
            <v>22</v>
          </cell>
          <cell r="X116">
            <v>0.91300000000000003</v>
          </cell>
          <cell r="Y116">
            <v>0.85</v>
          </cell>
        </row>
        <row r="117">
          <cell r="A117" t="str">
            <v>PEU-2</v>
          </cell>
          <cell r="B117" t="str">
            <v>41-AG-3202A</v>
          </cell>
          <cell r="C117" t="str">
            <v>ZN Catalyst Slurry Mix/Run Tank Agitator</v>
          </cell>
          <cell r="D117">
            <v>4105</v>
          </cell>
          <cell r="E117" t="str">
            <v>ISBL</v>
          </cell>
          <cell r="J117" t="str">
            <v>3</v>
          </cell>
          <cell r="K117">
            <v>690</v>
          </cell>
          <cell r="L117" t="str">
            <v>AC</v>
          </cell>
          <cell r="M117" t="str">
            <v>M</v>
          </cell>
          <cell r="N117" t="str">
            <v>N</v>
          </cell>
          <cell r="O117">
            <v>0</v>
          </cell>
          <cell r="P117" t="str">
            <v>4850-MDB-203A</v>
          </cell>
          <cell r="Q117" t="str">
            <v>C</v>
          </cell>
          <cell r="S117">
            <v>24</v>
          </cell>
          <cell r="T117">
            <v>30</v>
          </cell>
          <cell r="X117">
            <v>0.92</v>
          </cell>
          <cell r="Y117">
            <v>0.85</v>
          </cell>
        </row>
        <row r="118">
          <cell r="A118" t="str">
            <v>PEU-2</v>
          </cell>
          <cell r="B118" t="str">
            <v>41-AG-3202B</v>
          </cell>
          <cell r="C118" t="str">
            <v>ZN Catalyst Slurry Mix/Run Tank Agitator</v>
          </cell>
          <cell r="D118">
            <v>4105</v>
          </cell>
          <cell r="E118" t="str">
            <v>ISBL</v>
          </cell>
          <cell r="J118" t="str">
            <v>3</v>
          </cell>
          <cell r="K118">
            <v>690</v>
          </cell>
          <cell r="L118" t="str">
            <v>AC</v>
          </cell>
          <cell r="M118" t="str">
            <v>M</v>
          </cell>
          <cell r="N118" t="str">
            <v>N</v>
          </cell>
          <cell r="O118">
            <v>0</v>
          </cell>
          <cell r="P118" t="str">
            <v>4850-MDB-203B</v>
          </cell>
          <cell r="Q118" t="str">
            <v>C</v>
          </cell>
          <cell r="S118">
            <v>24</v>
          </cell>
          <cell r="T118">
            <v>30</v>
          </cell>
          <cell r="X118">
            <v>0.92</v>
          </cell>
          <cell r="Y118">
            <v>0.85</v>
          </cell>
        </row>
        <row r="119">
          <cell r="A119" t="str">
            <v>PEU-2</v>
          </cell>
          <cell r="B119" t="str">
            <v>41-AG-3302A</v>
          </cell>
          <cell r="C119" t="str">
            <v>Metallocene Catalyst Slurry Mix/Run Tank Agitator</v>
          </cell>
          <cell r="D119">
            <v>4105</v>
          </cell>
          <cell r="E119" t="str">
            <v>ISBL</v>
          </cell>
          <cell r="J119" t="str">
            <v>3</v>
          </cell>
          <cell r="K119">
            <v>690</v>
          </cell>
          <cell r="L119" t="str">
            <v>AC</v>
          </cell>
          <cell r="M119" t="str">
            <v>M</v>
          </cell>
          <cell r="N119" t="str">
            <v>N</v>
          </cell>
          <cell r="O119">
            <v>0</v>
          </cell>
          <cell r="P119" t="str">
            <v>4850-MDB-203A</v>
          </cell>
          <cell r="Q119" t="str">
            <v>C</v>
          </cell>
          <cell r="S119">
            <v>17.600000000000001</v>
          </cell>
          <cell r="T119">
            <v>22</v>
          </cell>
          <cell r="X119">
            <v>0.91300000000000003</v>
          </cell>
          <cell r="Y119">
            <v>0.85</v>
          </cell>
        </row>
        <row r="120">
          <cell r="A120" t="str">
            <v>PEU-2</v>
          </cell>
          <cell r="B120" t="str">
            <v>41-AG-3302B</v>
          </cell>
          <cell r="C120" t="str">
            <v>Metallocene Catalyst Slurry Mix/Run Tank Agitator</v>
          </cell>
          <cell r="D120">
            <v>4105</v>
          </cell>
          <cell r="E120" t="str">
            <v>ISBL</v>
          </cell>
          <cell r="J120" t="str">
            <v>3</v>
          </cell>
          <cell r="K120">
            <v>690</v>
          </cell>
          <cell r="L120" t="str">
            <v>AC</v>
          </cell>
          <cell r="M120" t="str">
            <v>M</v>
          </cell>
          <cell r="N120" t="str">
            <v>N</v>
          </cell>
          <cell r="O120">
            <v>0</v>
          </cell>
          <cell r="P120" t="str">
            <v>4850-MDB-203B</v>
          </cell>
          <cell r="Q120" t="str">
            <v>C</v>
          </cell>
          <cell r="S120">
            <v>17.600000000000001</v>
          </cell>
          <cell r="T120">
            <v>22</v>
          </cell>
          <cell r="X120">
            <v>0.91300000000000003</v>
          </cell>
          <cell r="Y120">
            <v>0.85</v>
          </cell>
        </row>
        <row r="121">
          <cell r="A121" t="str">
            <v>PEU-2</v>
          </cell>
          <cell r="B121" t="str">
            <v>41-HO-1001</v>
          </cell>
          <cell r="C121" t="str">
            <v>Catalyst Activator Hoist</v>
          </cell>
          <cell r="D121">
            <v>4105</v>
          </cell>
          <cell r="E121" t="str">
            <v>ISBL</v>
          </cell>
          <cell r="J121" t="str">
            <v>3</v>
          </cell>
          <cell r="K121">
            <v>690</v>
          </cell>
          <cell r="L121" t="str">
            <v>AC</v>
          </cell>
          <cell r="M121" t="str">
            <v>F</v>
          </cell>
          <cell r="N121" t="str">
            <v>N</v>
          </cell>
          <cell r="O121">
            <v>0</v>
          </cell>
          <cell r="P121" t="str">
            <v>4850-MDB-203A</v>
          </cell>
          <cell r="Q121" t="str">
            <v>I</v>
          </cell>
          <cell r="S121">
            <v>2.64</v>
          </cell>
          <cell r="T121">
            <v>3.3</v>
          </cell>
          <cell r="X121">
            <v>1</v>
          </cell>
          <cell r="Y121">
            <v>0.85</v>
          </cell>
        </row>
        <row r="122">
          <cell r="A122" t="str">
            <v>PEU-2</v>
          </cell>
          <cell r="B122" t="str">
            <v>41-HO-3101</v>
          </cell>
          <cell r="C122" t="str">
            <v>PF Catalyst Mix Tank Hoist</v>
          </cell>
          <cell r="D122">
            <v>4105</v>
          </cell>
          <cell r="E122" t="str">
            <v>ISBL</v>
          </cell>
          <cell r="J122" t="str">
            <v>3</v>
          </cell>
          <cell r="K122">
            <v>690</v>
          </cell>
          <cell r="L122" t="str">
            <v>AC</v>
          </cell>
          <cell r="M122" t="str">
            <v>F</v>
          </cell>
          <cell r="N122" t="str">
            <v>N</v>
          </cell>
          <cell r="O122">
            <v>0</v>
          </cell>
          <cell r="P122" t="str">
            <v>4850-MDB-203B</v>
          </cell>
          <cell r="Q122" t="str">
            <v>I</v>
          </cell>
          <cell r="S122">
            <v>2.8</v>
          </cell>
          <cell r="T122">
            <v>3.5</v>
          </cell>
          <cell r="X122">
            <v>1</v>
          </cell>
          <cell r="Y122">
            <v>0.85</v>
          </cell>
        </row>
        <row r="123">
          <cell r="A123" t="str">
            <v>PEU-2</v>
          </cell>
          <cell r="B123" t="str">
            <v>41-HO-3102</v>
          </cell>
          <cell r="C123" t="str">
            <v>PF Catalyst Run Tank Hoist</v>
          </cell>
          <cell r="D123">
            <v>4105</v>
          </cell>
          <cell r="E123" t="str">
            <v>ISBL</v>
          </cell>
          <cell r="J123" t="str">
            <v>3</v>
          </cell>
          <cell r="K123">
            <v>690</v>
          </cell>
          <cell r="L123" t="str">
            <v>AC</v>
          </cell>
          <cell r="M123" t="str">
            <v>F</v>
          </cell>
          <cell r="N123" t="str">
            <v>N</v>
          </cell>
          <cell r="O123">
            <v>0</v>
          </cell>
          <cell r="P123" t="str">
            <v>4850-MDB-203A</v>
          </cell>
          <cell r="Q123" t="str">
            <v>I</v>
          </cell>
          <cell r="S123">
            <v>2.8</v>
          </cell>
          <cell r="T123">
            <v>3.5</v>
          </cell>
          <cell r="X123">
            <v>1</v>
          </cell>
          <cell r="Y123">
            <v>0.85</v>
          </cell>
        </row>
        <row r="124">
          <cell r="A124" t="str">
            <v>PEU-2</v>
          </cell>
          <cell r="B124" t="str">
            <v>41-HO-3202</v>
          </cell>
          <cell r="C124" t="str">
            <v xml:space="preserve">ZN Catalyst Mix/Run Tank Hoist </v>
          </cell>
          <cell r="D124">
            <v>4105</v>
          </cell>
          <cell r="E124" t="str">
            <v>ISBL</v>
          </cell>
          <cell r="J124" t="str">
            <v>3</v>
          </cell>
          <cell r="K124">
            <v>690</v>
          </cell>
          <cell r="L124" t="str">
            <v>AC</v>
          </cell>
          <cell r="M124" t="str">
            <v>F</v>
          </cell>
          <cell r="N124" t="str">
            <v>N</v>
          </cell>
          <cell r="O124">
            <v>0</v>
          </cell>
          <cell r="P124" t="str">
            <v>4850-MDB-203B</v>
          </cell>
          <cell r="Q124" t="str">
            <v>I</v>
          </cell>
          <cell r="S124">
            <v>2.8</v>
          </cell>
          <cell r="T124">
            <v>3.5</v>
          </cell>
          <cell r="X124">
            <v>1</v>
          </cell>
          <cell r="Y124">
            <v>0.85</v>
          </cell>
        </row>
        <row r="125">
          <cell r="A125" t="str">
            <v>PEU-2</v>
          </cell>
          <cell r="B125" t="str">
            <v>41-HO-3203</v>
          </cell>
          <cell r="C125" t="str">
            <v xml:space="preserve">ZN Catalyst Drum Hoist </v>
          </cell>
          <cell r="D125">
            <v>4105</v>
          </cell>
          <cell r="E125" t="str">
            <v>ISBL</v>
          </cell>
          <cell r="J125" t="str">
            <v>3</v>
          </cell>
          <cell r="K125">
            <v>690</v>
          </cell>
          <cell r="L125" t="str">
            <v>AC</v>
          </cell>
          <cell r="M125" t="str">
            <v>F</v>
          </cell>
          <cell r="N125" t="str">
            <v>N</v>
          </cell>
          <cell r="O125">
            <v>0</v>
          </cell>
          <cell r="P125" t="str">
            <v>4850-MDB-203A</v>
          </cell>
          <cell r="Q125" t="str">
            <v>I</v>
          </cell>
          <cell r="S125">
            <v>2.64</v>
          </cell>
          <cell r="T125">
            <v>3.3</v>
          </cell>
          <cell r="X125">
            <v>1</v>
          </cell>
          <cell r="Y125">
            <v>0.85</v>
          </cell>
        </row>
        <row r="126">
          <cell r="A126" t="str">
            <v>PEU-2</v>
          </cell>
          <cell r="B126" t="str">
            <v>41-HO-3302</v>
          </cell>
          <cell r="C126" t="str">
            <v xml:space="preserve">Metallocene Catalyst Mix/Run Tank Hoist </v>
          </cell>
          <cell r="D126">
            <v>4105</v>
          </cell>
          <cell r="E126" t="str">
            <v>ISBL</v>
          </cell>
          <cell r="J126" t="str">
            <v>3</v>
          </cell>
          <cell r="K126">
            <v>690</v>
          </cell>
          <cell r="L126" t="str">
            <v>AC</v>
          </cell>
          <cell r="M126" t="str">
            <v>F</v>
          </cell>
          <cell r="N126" t="str">
            <v>N</v>
          </cell>
          <cell r="O126">
            <v>0</v>
          </cell>
          <cell r="P126" t="str">
            <v>4850-MDB-203B</v>
          </cell>
          <cell r="Q126" t="str">
            <v>I</v>
          </cell>
          <cell r="S126">
            <v>2.8</v>
          </cell>
          <cell r="T126">
            <v>3.5</v>
          </cell>
          <cell r="X126">
            <v>1</v>
          </cell>
          <cell r="Y126">
            <v>0.85</v>
          </cell>
        </row>
        <row r="127">
          <cell r="A127" t="str">
            <v>PEU-2</v>
          </cell>
          <cell r="B127" t="str">
            <v>41-HO-3303</v>
          </cell>
          <cell r="C127" t="str">
            <v xml:space="preserve">Metallocene Catalyst Drum Hoist </v>
          </cell>
          <cell r="D127">
            <v>4105</v>
          </cell>
          <cell r="E127" t="str">
            <v>ISBL</v>
          </cell>
          <cell r="J127" t="str">
            <v>3</v>
          </cell>
          <cell r="K127">
            <v>690</v>
          </cell>
          <cell r="L127" t="str">
            <v>AC</v>
          </cell>
          <cell r="M127" t="str">
            <v>F</v>
          </cell>
          <cell r="N127" t="str">
            <v>N</v>
          </cell>
          <cell r="O127">
            <v>0</v>
          </cell>
          <cell r="P127" t="str">
            <v>4850-MDB-203A</v>
          </cell>
          <cell r="Q127" t="str">
            <v>I</v>
          </cell>
          <cell r="S127">
            <v>2.64</v>
          </cell>
          <cell r="T127">
            <v>3.3</v>
          </cell>
          <cell r="X127">
            <v>1</v>
          </cell>
          <cell r="Y127">
            <v>0.85</v>
          </cell>
        </row>
        <row r="128">
          <cell r="A128" t="str">
            <v>PEU-2</v>
          </cell>
          <cell r="B128" t="str">
            <v>41-HO-4101A</v>
          </cell>
          <cell r="C128" t="str">
            <v xml:space="preserve">Reactor A Elbow Hoist </v>
          </cell>
          <cell r="D128" t="str">
            <v>x</v>
          </cell>
          <cell r="E128" t="str">
            <v>ISBL</v>
          </cell>
          <cell r="J128" t="str">
            <v>3</v>
          </cell>
          <cell r="K128">
            <v>690</v>
          </cell>
          <cell r="L128" t="str">
            <v>AC</v>
          </cell>
          <cell r="M128" t="str">
            <v>F</v>
          </cell>
          <cell r="N128" t="str">
            <v>N</v>
          </cell>
          <cell r="O128">
            <v>0</v>
          </cell>
          <cell r="P128" t="str">
            <v>4850-MDB-203B</v>
          </cell>
          <cell r="Q128" t="str">
            <v>I</v>
          </cell>
          <cell r="S128">
            <v>4.8</v>
          </cell>
          <cell r="T128">
            <v>6</v>
          </cell>
          <cell r="X128">
            <v>1</v>
          </cell>
          <cell r="Y128">
            <v>0.85</v>
          </cell>
        </row>
        <row r="129">
          <cell r="A129" t="str">
            <v>PEU-2</v>
          </cell>
          <cell r="B129" t="str">
            <v>41-HO-4101B</v>
          </cell>
          <cell r="C129" t="str">
            <v xml:space="preserve">Reactor A Elbow Hoist </v>
          </cell>
          <cell r="D129" t="str">
            <v>x</v>
          </cell>
          <cell r="E129" t="str">
            <v>ISBL</v>
          </cell>
          <cell r="J129" t="str">
            <v>3</v>
          </cell>
          <cell r="K129">
            <v>690</v>
          </cell>
          <cell r="L129" t="str">
            <v>AC</v>
          </cell>
          <cell r="M129" t="str">
            <v>F</v>
          </cell>
          <cell r="N129" t="str">
            <v>N</v>
          </cell>
          <cell r="O129">
            <v>0</v>
          </cell>
          <cell r="P129" t="str">
            <v>4850-MDB-203A</v>
          </cell>
          <cell r="Q129" t="str">
            <v>I</v>
          </cell>
          <cell r="S129">
            <v>4.8</v>
          </cell>
          <cell r="T129">
            <v>6</v>
          </cell>
          <cell r="X129">
            <v>1</v>
          </cell>
          <cell r="Y129">
            <v>0.85</v>
          </cell>
        </row>
        <row r="130">
          <cell r="A130" t="str">
            <v>PEU-2</v>
          </cell>
          <cell r="B130" t="str">
            <v>41-HO-4201A</v>
          </cell>
          <cell r="C130" t="str">
            <v xml:space="preserve">Reactor B Elbow Hoist </v>
          </cell>
          <cell r="D130" t="str">
            <v>x</v>
          </cell>
          <cell r="E130" t="str">
            <v>ISBL</v>
          </cell>
          <cell r="J130" t="str">
            <v>3</v>
          </cell>
          <cell r="K130">
            <v>690</v>
          </cell>
          <cell r="L130" t="str">
            <v>AC</v>
          </cell>
          <cell r="M130" t="str">
            <v>F</v>
          </cell>
          <cell r="N130" t="str">
            <v>N</v>
          </cell>
          <cell r="O130">
            <v>0</v>
          </cell>
          <cell r="P130" t="str">
            <v>4850-MDB-203B</v>
          </cell>
          <cell r="Q130" t="str">
            <v>I</v>
          </cell>
          <cell r="S130">
            <v>4.8</v>
          </cell>
          <cell r="T130">
            <v>6</v>
          </cell>
          <cell r="X130">
            <v>1</v>
          </cell>
          <cell r="Y130">
            <v>0.85</v>
          </cell>
        </row>
        <row r="131">
          <cell r="A131" t="str">
            <v>PEU-2</v>
          </cell>
          <cell r="B131" t="str">
            <v>41-HO-4201B</v>
          </cell>
          <cell r="C131" t="str">
            <v xml:space="preserve">Reactor B Elbow Hoist </v>
          </cell>
          <cell r="D131" t="str">
            <v>x</v>
          </cell>
          <cell r="E131" t="str">
            <v>ISBL</v>
          </cell>
          <cell r="J131" t="str">
            <v>3</v>
          </cell>
          <cell r="K131">
            <v>690</v>
          </cell>
          <cell r="L131" t="str">
            <v>AC</v>
          </cell>
          <cell r="M131" t="str">
            <v>F</v>
          </cell>
          <cell r="N131" t="str">
            <v>N</v>
          </cell>
          <cell r="O131">
            <v>0</v>
          </cell>
          <cell r="P131" t="str">
            <v>4850-MDB-203A</v>
          </cell>
          <cell r="Q131" t="str">
            <v>I</v>
          </cell>
          <cell r="S131">
            <v>4.8</v>
          </cell>
          <cell r="T131">
            <v>6</v>
          </cell>
          <cell r="X131">
            <v>1</v>
          </cell>
          <cell r="Y131">
            <v>0.85</v>
          </cell>
        </row>
        <row r="132">
          <cell r="A132" t="str">
            <v>PEU-2</v>
          </cell>
          <cell r="B132" t="str">
            <v>41-HO-4221</v>
          </cell>
          <cell r="C132" t="str">
            <v xml:space="preserve">Flash Gas Filter Hoist </v>
          </cell>
          <cell r="D132" t="str">
            <v>x</v>
          </cell>
          <cell r="E132" t="str">
            <v>ISBL</v>
          </cell>
          <cell r="J132" t="str">
            <v>3</v>
          </cell>
          <cell r="K132">
            <v>690</v>
          </cell>
          <cell r="L132" t="str">
            <v>AC</v>
          </cell>
          <cell r="M132" t="str">
            <v>F</v>
          </cell>
          <cell r="N132" t="str">
            <v>N</v>
          </cell>
          <cell r="O132">
            <v>0</v>
          </cell>
          <cell r="P132" t="str">
            <v>4850-MDB-203B</v>
          </cell>
          <cell r="Q132" t="str">
            <v>I</v>
          </cell>
          <cell r="S132">
            <v>4.8</v>
          </cell>
          <cell r="T132">
            <v>6</v>
          </cell>
          <cell r="X132">
            <v>1</v>
          </cell>
          <cell r="Y132">
            <v>0.85</v>
          </cell>
        </row>
        <row r="133">
          <cell r="A133" t="str">
            <v>PEU-2</v>
          </cell>
          <cell r="B133" t="str">
            <v>41-HO-5001</v>
          </cell>
          <cell r="C133" t="str">
            <v>Purge Column Vent Filter Hoist</v>
          </cell>
          <cell r="D133" t="str">
            <v>x</v>
          </cell>
          <cell r="E133" t="str">
            <v>ISBL</v>
          </cell>
          <cell r="J133" t="str">
            <v>3</v>
          </cell>
          <cell r="K133">
            <v>690</v>
          </cell>
          <cell r="L133" t="str">
            <v>AC</v>
          </cell>
          <cell r="M133" t="str">
            <v>F</v>
          </cell>
          <cell r="N133" t="str">
            <v>N</v>
          </cell>
          <cell r="O133">
            <v>0</v>
          </cell>
          <cell r="P133" t="str">
            <v>4850-MDB-203A</v>
          </cell>
          <cell r="Q133" t="str">
            <v>I</v>
          </cell>
          <cell r="S133">
            <v>4.8</v>
          </cell>
          <cell r="T133">
            <v>6</v>
          </cell>
          <cell r="X133">
            <v>1</v>
          </cell>
          <cell r="Y133">
            <v>0.85</v>
          </cell>
        </row>
        <row r="134">
          <cell r="A134" t="str">
            <v>PEU-2</v>
          </cell>
          <cell r="B134" t="str">
            <v>41-HO-5002</v>
          </cell>
          <cell r="C134" t="str">
            <v>Dehexanizer Overhead Condenser Hoist</v>
          </cell>
          <cell r="D134" t="str">
            <v>x</v>
          </cell>
          <cell r="E134" t="str">
            <v>ISBL</v>
          </cell>
          <cell r="J134" t="str">
            <v>3</v>
          </cell>
          <cell r="K134">
            <v>690</v>
          </cell>
          <cell r="L134" t="str">
            <v>AC</v>
          </cell>
          <cell r="M134" t="str">
            <v>F</v>
          </cell>
          <cell r="N134" t="str">
            <v>N</v>
          </cell>
          <cell r="O134">
            <v>0</v>
          </cell>
          <cell r="P134" t="str">
            <v>4850-MDB-203B</v>
          </cell>
          <cell r="Q134" t="str">
            <v>I</v>
          </cell>
          <cell r="S134">
            <v>16.850000000000001</v>
          </cell>
          <cell r="T134">
            <v>18.5</v>
          </cell>
          <cell r="X134">
            <v>1</v>
          </cell>
          <cell r="Y134">
            <v>0.85</v>
          </cell>
        </row>
        <row r="135">
          <cell r="A135" t="str">
            <v>PEU-2</v>
          </cell>
          <cell r="B135" t="str">
            <v>41-HO-6045A</v>
          </cell>
          <cell r="C135" t="str">
            <v>Additive Super Sack Hoist</v>
          </cell>
          <cell r="D135" t="str">
            <v>x</v>
          </cell>
          <cell r="E135" t="str">
            <v>ISBL</v>
          </cell>
          <cell r="J135" t="str">
            <v>3</v>
          </cell>
          <cell r="K135">
            <v>690</v>
          </cell>
          <cell r="L135" t="str">
            <v>AC</v>
          </cell>
          <cell r="M135" t="str">
            <v>F</v>
          </cell>
          <cell r="N135" t="str">
            <v>N</v>
          </cell>
          <cell r="O135">
            <v>0</v>
          </cell>
          <cell r="P135" t="str">
            <v>4850-MDB-203A</v>
          </cell>
          <cell r="Q135" t="str">
            <v>I</v>
          </cell>
          <cell r="S135">
            <v>3.15</v>
          </cell>
          <cell r="T135">
            <v>3.5</v>
          </cell>
          <cell r="X135">
            <v>1</v>
          </cell>
          <cell r="Y135">
            <v>0.85</v>
          </cell>
        </row>
        <row r="136">
          <cell r="A136" t="str">
            <v>PEU-2</v>
          </cell>
          <cell r="B136" t="str">
            <v>41-HO-6045B</v>
          </cell>
          <cell r="C136" t="str">
            <v>Additive Super Sack Hoist</v>
          </cell>
          <cell r="D136" t="str">
            <v>x</v>
          </cell>
          <cell r="E136" t="str">
            <v>ISBL</v>
          </cell>
          <cell r="J136" t="str">
            <v>3</v>
          </cell>
          <cell r="K136">
            <v>690</v>
          </cell>
          <cell r="L136" t="str">
            <v>AC</v>
          </cell>
          <cell r="M136" t="str">
            <v>F</v>
          </cell>
          <cell r="N136" t="str">
            <v>N</v>
          </cell>
          <cell r="O136">
            <v>0</v>
          </cell>
          <cell r="P136" t="str">
            <v>4850-MDB-203B</v>
          </cell>
          <cell r="Q136" t="str">
            <v>I</v>
          </cell>
          <cell r="S136">
            <v>3.15</v>
          </cell>
          <cell r="T136">
            <v>3.5</v>
          </cell>
          <cell r="X136">
            <v>1</v>
          </cell>
          <cell r="Y136">
            <v>0.85</v>
          </cell>
        </row>
        <row r="137">
          <cell r="A137" t="str">
            <v>PEU-2</v>
          </cell>
          <cell r="B137" t="str">
            <v>41-HO-6045C</v>
          </cell>
          <cell r="C137" t="str">
            <v>Additive Super Sack Hoist</v>
          </cell>
          <cell r="D137" t="str">
            <v>x</v>
          </cell>
          <cell r="E137" t="str">
            <v>ISBL</v>
          </cell>
          <cell r="J137" t="str">
            <v>3</v>
          </cell>
          <cell r="K137">
            <v>690</v>
          </cell>
          <cell r="L137" t="str">
            <v>AC</v>
          </cell>
          <cell r="M137" t="str">
            <v>F</v>
          </cell>
          <cell r="N137" t="str">
            <v>N</v>
          </cell>
          <cell r="O137">
            <v>0</v>
          </cell>
          <cell r="P137" t="str">
            <v>4850-MDB-203A</v>
          </cell>
          <cell r="Q137" t="str">
            <v>I</v>
          </cell>
          <cell r="S137">
            <v>3.15</v>
          </cell>
          <cell r="T137">
            <v>3.5</v>
          </cell>
          <cell r="X137">
            <v>1</v>
          </cell>
          <cell r="Y137">
            <v>0.85</v>
          </cell>
        </row>
        <row r="138">
          <cell r="A138" t="str">
            <v>PEU-2</v>
          </cell>
          <cell r="B138" t="str">
            <v>41-HO-6045D</v>
          </cell>
          <cell r="C138" t="str">
            <v>Additive Super Sack Hoist</v>
          </cell>
          <cell r="D138" t="str">
            <v>x</v>
          </cell>
          <cell r="E138" t="str">
            <v>ISBL</v>
          </cell>
          <cell r="J138" t="str">
            <v>3</v>
          </cell>
          <cell r="K138">
            <v>690</v>
          </cell>
          <cell r="L138" t="str">
            <v>AC</v>
          </cell>
          <cell r="M138" t="str">
            <v>F</v>
          </cell>
          <cell r="N138" t="str">
            <v>N</v>
          </cell>
          <cell r="O138">
            <v>0</v>
          </cell>
          <cell r="P138" t="str">
            <v>4850-MDB-203B</v>
          </cell>
          <cell r="Q138" t="str">
            <v>I</v>
          </cell>
          <cell r="S138">
            <v>3.15</v>
          </cell>
          <cell r="T138">
            <v>3.5</v>
          </cell>
          <cell r="X138">
            <v>1</v>
          </cell>
          <cell r="Y138">
            <v>0.85</v>
          </cell>
        </row>
        <row r="139">
          <cell r="A139" t="str">
            <v>PEU-2</v>
          </cell>
          <cell r="B139" t="str">
            <v>41-HO-XXX1</v>
          </cell>
          <cell r="C139" t="str">
            <v xml:space="preserve">Electrical Hoist for Main Motor </v>
          </cell>
          <cell r="D139" t="str">
            <v>x</v>
          </cell>
          <cell r="E139" t="str">
            <v>ISBL</v>
          </cell>
          <cell r="J139" t="str">
            <v>3</v>
          </cell>
          <cell r="K139">
            <v>690</v>
          </cell>
          <cell r="L139" t="str">
            <v>AC</v>
          </cell>
          <cell r="M139" t="str">
            <v>F</v>
          </cell>
          <cell r="N139" t="str">
            <v>N</v>
          </cell>
          <cell r="O139">
            <v>0</v>
          </cell>
          <cell r="P139" t="str">
            <v>4850-MDB-203A</v>
          </cell>
          <cell r="Q139" t="str">
            <v>I</v>
          </cell>
          <cell r="S139">
            <v>11.87</v>
          </cell>
          <cell r="T139">
            <v>15.83</v>
          </cell>
          <cell r="X139">
            <v>1</v>
          </cell>
          <cell r="Y139">
            <v>0.85</v>
          </cell>
        </row>
        <row r="140">
          <cell r="A140" t="str">
            <v>PEU-2</v>
          </cell>
          <cell r="B140" t="str">
            <v>41-HO-XXX2</v>
          </cell>
          <cell r="C140" t="str">
            <v>Electrical Hoist for Auxiliary Motor</v>
          </cell>
          <cell r="D140" t="str">
            <v>x</v>
          </cell>
          <cell r="E140" t="str">
            <v>ISBL</v>
          </cell>
          <cell r="J140" t="str">
            <v>3</v>
          </cell>
          <cell r="K140">
            <v>690</v>
          </cell>
          <cell r="L140" t="str">
            <v>AC</v>
          </cell>
          <cell r="M140" t="str">
            <v>F</v>
          </cell>
          <cell r="N140" t="str">
            <v>N</v>
          </cell>
          <cell r="O140">
            <v>0</v>
          </cell>
          <cell r="P140" t="str">
            <v>4850-MDB-203B</v>
          </cell>
          <cell r="Q140" t="str">
            <v>I</v>
          </cell>
          <cell r="S140">
            <v>6.86</v>
          </cell>
          <cell r="T140">
            <v>9.15</v>
          </cell>
          <cell r="X140">
            <v>1</v>
          </cell>
          <cell r="Y140">
            <v>0.85</v>
          </cell>
        </row>
        <row r="141">
          <cell r="A141" t="str">
            <v>PEU-2</v>
          </cell>
          <cell r="B141" t="str">
            <v>41-HO-XXX3</v>
          </cell>
          <cell r="C141" t="str">
            <v>Electrical Hoist for Gear Box-1</v>
          </cell>
          <cell r="D141" t="str">
            <v>x</v>
          </cell>
          <cell r="E141" t="str">
            <v>ISBL</v>
          </cell>
          <cell r="J141" t="str">
            <v>3</v>
          </cell>
          <cell r="K141">
            <v>690</v>
          </cell>
          <cell r="L141" t="str">
            <v>AC</v>
          </cell>
          <cell r="M141" t="str">
            <v>F</v>
          </cell>
          <cell r="N141" t="str">
            <v>N</v>
          </cell>
          <cell r="O141">
            <v>0</v>
          </cell>
          <cell r="P141" t="str">
            <v>4850-MDB-203A</v>
          </cell>
          <cell r="Q141" t="str">
            <v>I</v>
          </cell>
          <cell r="S141">
            <v>10.33</v>
          </cell>
          <cell r="T141">
            <v>13.77</v>
          </cell>
          <cell r="X141">
            <v>1</v>
          </cell>
          <cell r="Y141">
            <v>0.85</v>
          </cell>
        </row>
        <row r="142">
          <cell r="A142" t="str">
            <v>PEU-2</v>
          </cell>
          <cell r="B142" t="str">
            <v>41-HO-XXX4</v>
          </cell>
          <cell r="C142" t="str">
            <v>Electrical Hoist for Gear Box-2</v>
          </cell>
          <cell r="D142" t="str">
            <v>x</v>
          </cell>
          <cell r="E142" t="str">
            <v>ISBL</v>
          </cell>
          <cell r="J142" t="str">
            <v>3</v>
          </cell>
          <cell r="K142">
            <v>690</v>
          </cell>
          <cell r="L142" t="str">
            <v>AC</v>
          </cell>
          <cell r="M142" t="str">
            <v>F</v>
          </cell>
          <cell r="N142" t="str">
            <v>N</v>
          </cell>
          <cell r="O142">
            <v>0</v>
          </cell>
          <cell r="P142" t="str">
            <v>4850-MDB-203B</v>
          </cell>
          <cell r="Q142" t="str">
            <v>I</v>
          </cell>
          <cell r="S142">
            <v>10.33</v>
          </cell>
          <cell r="T142">
            <v>13.77</v>
          </cell>
          <cell r="X142">
            <v>1</v>
          </cell>
          <cell r="Y142">
            <v>0.85</v>
          </cell>
        </row>
        <row r="143">
          <cell r="A143" t="str">
            <v>PEU-2</v>
          </cell>
          <cell r="B143" t="str">
            <v>41-HO-XXX5</v>
          </cell>
          <cell r="C143" t="str">
            <v>Electrical Hoist for Extruder Screw</v>
          </cell>
          <cell r="D143" t="str">
            <v>x</v>
          </cell>
          <cell r="E143" t="str">
            <v>ISBL</v>
          </cell>
          <cell r="J143" t="str">
            <v>3</v>
          </cell>
          <cell r="K143">
            <v>690</v>
          </cell>
          <cell r="L143" t="str">
            <v>AC</v>
          </cell>
          <cell r="M143" t="str">
            <v>F</v>
          </cell>
          <cell r="N143" t="str">
            <v>N</v>
          </cell>
          <cell r="O143">
            <v>0</v>
          </cell>
          <cell r="P143" t="str">
            <v>4850-MDB-203A</v>
          </cell>
          <cell r="Q143" t="str">
            <v>I</v>
          </cell>
          <cell r="S143">
            <v>8.4600000000000009</v>
          </cell>
          <cell r="T143">
            <v>11.28</v>
          </cell>
          <cell r="X143">
            <v>1</v>
          </cell>
          <cell r="Y143">
            <v>0.85</v>
          </cell>
        </row>
        <row r="144">
          <cell r="A144" t="str">
            <v>PEU-2</v>
          </cell>
          <cell r="B144" t="str">
            <v>41-HO-XXX6</v>
          </cell>
          <cell r="C144" t="str">
            <v>Electrical Hoist for Gear Pump</v>
          </cell>
          <cell r="D144">
            <v>4107</v>
          </cell>
          <cell r="E144" t="str">
            <v>ISBL</v>
          </cell>
          <cell r="J144" t="str">
            <v>3</v>
          </cell>
          <cell r="K144">
            <v>690</v>
          </cell>
          <cell r="L144" t="str">
            <v>AC</v>
          </cell>
          <cell r="M144" t="str">
            <v>F</v>
          </cell>
          <cell r="N144" t="str">
            <v>N</v>
          </cell>
          <cell r="O144">
            <v>0</v>
          </cell>
          <cell r="P144" t="str">
            <v>4850-MDB-203B</v>
          </cell>
          <cell r="Q144" t="str">
            <v>I</v>
          </cell>
          <cell r="S144">
            <v>3.77</v>
          </cell>
          <cell r="T144">
            <v>5.0199999999999996</v>
          </cell>
          <cell r="X144">
            <v>1</v>
          </cell>
          <cell r="Y144">
            <v>0.85</v>
          </cell>
        </row>
        <row r="145">
          <cell r="A145" t="str">
            <v>PEU-2</v>
          </cell>
          <cell r="B145" t="str">
            <v>41-HO-XXX7</v>
          </cell>
          <cell r="C145" t="str">
            <v>Electrical Hoist for Gear Pump Motor</v>
          </cell>
          <cell r="D145">
            <v>4107</v>
          </cell>
          <cell r="E145" t="str">
            <v>ISBL</v>
          </cell>
          <cell r="J145" t="str">
            <v>3</v>
          </cell>
          <cell r="K145">
            <v>690</v>
          </cell>
          <cell r="L145" t="str">
            <v>AC</v>
          </cell>
          <cell r="M145" t="str">
            <v>F</v>
          </cell>
          <cell r="N145" t="str">
            <v>N</v>
          </cell>
          <cell r="O145">
            <v>0</v>
          </cell>
          <cell r="P145" t="str">
            <v>4850-MDB-203A</v>
          </cell>
          <cell r="Q145" t="str">
            <v>I</v>
          </cell>
          <cell r="S145">
            <v>9.7100000000000009</v>
          </cell>
          <cell r="T145">
            <v>12.94</v>
          </cell>
          <cell r="X145">
            <v>1</v>
          </cell>
          <cell r="Y145">
            <v>0.85</v>
          </cell>
        </row>
        <row r="146">
          <cell r="A146" t="str">
            <v>PEU-2</v>
          </cell>
          <cell r="B146" t="str">
            <v>41-HO-XXX8</v>
          </cell>
          <cell r="C146" t="str">
            <v>Electrical Hoist for  FLT</v>
          </cell>
          <cell r="D146" t="str">
            <v>x</v>
          </cell>
          <cell r="E146" t="str">
            <v>ISBL</v>
          </cell>
          <cell r="J146" t="str">
            <v>3</v>
          </cell>
          <cell r="K146">
            <v>690</v>
          </cell>
          <cell r="L146" t="str">
            <v>AC</v>
          </cell>
          <cell r="M146" t="str">
            <v>F</v>
          </cell>
          <cell r="N146" t="str">
            <v>N</v>
          </cell>
          <cell r="O146">
            <v>0</v>
          </cell>
          <cell r="P146" t="str">
            <v>4850-MDB-203B</v>
          </cell>
          <cell r="Q146" t="str">
            <v>I</v>
          </cell>
          <cell r="S146">
            <v>4.54</v>
          </cell>
          <cell r="T146">
            <v>6.05</v>
          </cell>
          <cell r="X146">
            <v>1</v>
          </cell>
          <cell r="Y146">
            <v>0.85</v>
          </cell>
        </row>
        <row r="147">
          <cell r="A147" t="str">
            <v>PEU-2</v>
          </cell>
          <cell r="B147" t="str">
            <v>41-HO-XXX9</v>
          </cell>
          <cell r="C147" t="str">
            <v>Electrical Hoist for  41-SE-6042</v>
          </cell>
          <cell r="D147" t="str">
            <v>x</v>
          </cell>
          <cell r="E147" t="str">
            <v>ISBL</v>
          </cell>
          <cell r="J147" t="str">
            <v>3</v>
          </cell>
          <cell r="K147">
            <v>690</v>
          </cell>
          <cell r="L147" t="str">
            <v>AC</v>
          </cell>
          <cell r="M147" t="str">
            <v>F</v>
          </cell>
          <cell r="N147" t="str">
            <v>N</v>
          </cell>
          <cell r="O147">
            <v>0</v>
          </cell>
          <cell r="P147" t="str">
            <v>4850-MDB-203A</v>
          </cell>
          <cell r="Q147" t="str">
            <v>I</v>
          </cell>
          <cell r="S147">
            <v>4.54</v>
          </cell>
          <cell r="T147">
            <v>6.05</v>
          </cell>
          <cell r="X147">
            <v>1</v>
          </cell>
          <cell r="Y147">
            <v>0.85</v>
          </cell>
        </row>
        <row r="148">
          <cell r="A148" t="str">
            <v>PEU-2</v>
          </cell>
          <cell r="B148" t="str">
            <v>41-HO-XXX10</v>
          </cell>
          <cell r="C148" t="str">
            <v>Electrical Hoist for 41-MI-6041</v>
          </cell>
          <cell r="D148" t="str">
            <v>x</v>
          </cell>
          <cell r="E148" t="str">
            <v>ISBL</v>
          </cell>
          <cell r="J148" t="str">
            <v>3</v>
          </cell>
          <cell r="K148">
            <v>690</v>
          </cell>
          <cell r="L148" t="str">
            <v>AC</v>
          </cell>
          <cell r="M148" t="str">
            <v>F</v>
          </cell>
          <cell r="N148" t="str">
            <v>N</v>
          </cell>
          <cell r="O148">
            <v>0</v>
          </cell>
          <cell r="P148" t="str">
            <v>4850-MDB-203B</v>
          </cell>
          <cell r="Q148" t="str">
            <v>I</v>
          </cell>
          <cell r="S148">
            <v>4.54</v>
          </cell>
          <cell r="T148">
            <v>6.05</v>
          </cell>
          <cell r="X148">
            <v>1</v>
          </cell>
          <cell r="Y148">
            <v>0.85</v>
          </cell>
        </row>
        <row r="149">
          <cell r="A149" t="str">
            <v>LAO</v>
          </cell>
          <cell r="B149" t="str">
            <v>67-HO-XXX1A</v>
          </cell>
          <cell r="C149" t="str">
            <v>Pump around Cooler A/B/C/D Bundle Hoist</v>
          </cell>
          <cell r="D149">
            <v>0</v>
          </cell>
          <cell r="E149" t="str">
            <v>ISBL</v>
          </cell>
          <cell r="J149" t="str">
            <v>3</v>
          </cell>
          <cell r="K149">
            <v>690</v>
          </cell>
          <cell r="L149" t="str">
            <v>AC</v>
          </cell>
          <cell r="M149" t="str">
            <v>F</v>
          </cell>
          <cell r="N149" t="str">
            <v>N</v>
          </cell>
          <cell r="O149">
            <v>0</v>
          </cell>
          <cell r="P149" t="str">
            <v>4850-MDB-203A</v>
          </cell>
          <cell r="Q149" t="str">
            <v>I</v>
          </cell>
          <cell r="S149">
            <v>16.649999999999999</v>
          </cell>
          <cell r="T149">
            <v>18.5</v>
          </cell>
          <cell r="X149">
            <v>1</v>
          </cell>
          <cell r="Y149">
            <v>0.85</v>
          </cell>
        </row>
        <row r="150">
          <cell r="A150" t="str">
            <v>LAO</v>
          </cell>
          <cell r="B150" t="str">
            <v>67-HO-XXX1B</v>
          </cell>
          <cell r="C150" t="str">
            <v>Pump around Cooler A/B/C/D Bundle Hoist</v>
          </cell>
          <cell r="D150">
            <v>0</v>
          </cell>
          <cell r="E150" t="str">
            <v>ISBL</v>
          </cell>
          <cell r="J150" t="str">
            <v>3</v>
          </cell>
          <cell r="K150">
            <v>690</v>
          </cell>
          <cell r="L150" t="str">
            <v>AC</v>
          </cell>
          <cell r="M150" t="str">
            <v>F</v>
          </cell>
          <cell r="N150" t="str">
            <v>N</v>
          </cell>
          <cell r="O150">
            <v>0</v>
          </cell>
          <cell r="P150" t="str">
            <v>4850-MDB-203B</v>
          </cell>
          <cell r="Q150" t="str">
            <v>I</v>
          </cell>
          <cell r="S150">
            <v>16.649999999999999</v>
          </cell>
          <cell r="T150">
            <v>18.5</v>
          </cell>
          <cell r="X150">
            <v>1</v>
          </cell>
          <cell r="Y150">
            <v>0.85</v>
          </cell>
        </row>
        <row r="151">
          <cell r="A151" t="str">
            <v>LAO</v>
          </cell>
          <cell r="B151" t="str">
            <v>67-HO-XXX1C</v>
          </cell>
          <cell r="C151" t="str">
            <v>Pump around Cooler A/B/C/D Bundle Hoist</v>
          </cell>
          <cell r="D151">
            <v>0</v>
          </cell>
          <cell r="E151" t="str">
            <v>ISBL</v>
          </cell>
          <cell r="J151" t="str">
            <v>3</v>
          </cell>
          <cell r="K151">
            <v>690</v>
          </cell>
          <cell r="L151" t="str">
            <v>AC</v>
          </cell>
          <cell r="M151" t="str">
            <v>F</v>
          </cell>
          <cell r="N151" t="str">
            <v>N</v>
          </cell>
          <cell r="O151">
            <v>0</v>
          </cell>
          <cell r="P151" t="str">
            <v>4850-MDB-203A</v>
          </cell>
          <cell r="Q151" t="str">
            <v>I</v>
          </cell>
          <cell r="S151">
            <v>16.649999999999999</v>
          </cell>
          <cell r="T151">
            <v>18.5</v>
          </cell>
          <cell r="X151">
            <v>1</v>
          </cell>
          <cell r="Y151">
            <v>0.85</v>
          </cell>
        </row>
        <row r="152">
          <cell r="A152" t="str">
            <v>LAO</v>
          </cell>
          <cell r="B152" t="str">
            <v>67-HO-XXX1D</v>
          </cell>
          <cell r="C152" t="str">
            <v>Pump around Cooler A/B/C/D Bundle Hoist</v>
          </cell>
          <cell r="D152">
            <v>0</v>
          </cell>
          <cell r="E152" t="str">
            <v>ISBL</v>
          </cell>
          <cell r="J152" t="str">
            <v>3</v>
          </cell>
          <cell r="K152">
            <v>690</v>
          </cell>
          <cell r="L152" t="str">
            <v>AC</v>
          </cell>
          <cell r="M152" t="str">
            <v>F</v>
          </cell>
          <cell r="N152" t="str">
            <v>N</v>
          </cell>
          <cell r="O152">
            <v>0</v>
          </cell>
          <cell r="P152" t="str">
            <v>4850-MDB-203B</v>
          </cell>
          <cell r="Q152" t="str">
            <v>I</v>
          </cell>
          <cell r="S152">
            <v>16.649999999999999</v>
          </cell>
          <cell r="T152">
            <v>18.5</v>
          </cell>
          <cell r="X152">
            <v>1</v>
          </cell>
          <cell r="Y152">
            <v>0.85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 t="str">
            <v>ISBL</v>
          </cell>
          <cell r="J153" t="str">
            <v>3</v>
          </cell>
          <cell r="K153">
            <v>0</v>
          </cell>
          <cell r="L153" t="str">
            <v>AC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  <cell r="T153">
            <v>0</v>
          </cell>
          <cell r="X153">
            <v>0</v>
          </cell>
          <cell r="Y153">
            <v>0</v>
          </cell>
        </row>
        <row r="154">
          <cell r="A154">
            <v>0</v>
          </cell>
          <cell r="B154" t="str">
            <v>MR-021-1</v>
          </cell>
          <cell r="C154" t="str">
            <v>Control &amp; Electrical Elevator Traction Motor(for Elevator)</v>
          </cell>
          <cell r="D154" t="str">
            <v>x</v>
          </cell>
          <cell r="E154" t="str">
            <v>ISBL</v>
          </cell>
          <cell r="J154" t="str">
            <v>3</v>
          </cell>
          <cell r="K154">
            <v>690</v>
          </cell>
          <cell r="L154" t="str">
            <v>AC</v>
          </cell>
          <cell r="M154" t="str">
            <v>F</v>
          </cell>
          <cell r="N154" t="str">
            <v>N</v>
          </cell>
          <cell r="O154" t="str">
            <v/>
          </cell>
          <cell r="P154" t="str">
            <v>4850-MDB-203A</v>
          </cell>
          <cell r="Q154" t="str">
            <v>C</v>
          </cell>
          <cell r="S154">
            <v>11.700000000000001</v>
          </cell>
          <cell r="T154">
            <v>13</v>
          </cell>
          <cell r="X154">
            <v>1</v>
          </cell>
          <cell r="Y154">
            <v>0.85</v>
          </cell>
        </row>
        <row r="155">
          <cell r="A155">
            <v>0</v>
          </cell>
          <cell r="B155" t="str">
            <v>MR-021-2</v>
          </cell>
          <cell r="C155" t="str">
            <v>Control &amp; Electrical Elevator Traction Motor (for Elevator)</v>
          </cell>
          <cell r="D155" t="str">
            <v>x</v>
          </cell>
          <cell r="E155" t="str">
            <v>ISBL</v>
          </cell>
          <cell r="J155" t="str">
            <v>3</v>
          </cell>
          <cell r="K155">
            <v>690</v>
          </cell>
          <cell r="L155" t="str">
            <v>AC</v>
          </cell>
          <cell r="M155" t="str">
            <v>F</v>
          </cell>
          <cell r="N155" t="str">
            <v>N</v>
          </cell>
          <cell r="O155" t="str">
            <v/>
          </cell>
          <cell r="P155" t="str">
            <v>4850-MDB-203A</v>
          </cell>
          <cell r="Q155" t="str">
            <v>C</v>
          </cell>
          <cell r="S155">
            <v>11.700000000000001</v>
          </cell>
          <cell r="T155">
            <v>13</v>
          </cell>
          <cell r="X155">
            <v>1</v>
          </cell>
          <cell r="Y155">
            <v>0.85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 t="str">
            <v>ISBL</v>
          </cell>
          <cell r="J156" t="str">
            <v>3</v>
          </cell>
          <cell r="K156">
            <v>0</v>
          </cell>
          <cell r="L156" t="str">
            <v>AC</v>
          </cell>
          <cell r="M156">
            <v>0</v>
          </cell>
          <cell r="N156">
            <v>0</v>
          </cell>
          <cell r="O156" t="str">
            <v/>
          </cell>
          <cell r="P156">
            <v>0</v>
          </cell>
          <cell r="Q156">
            <v>0</v>
          </cell>
          <cell r="S156">
            <v>0</v>
          </cell>
          <cell r="T156">
            <v>0</v>
          </cell>
          <cell r="X156">
            <v>0</v>
          </cell>
          <cell r="Y156">
            <v>0</v>
          </cell>
        </row>
        <row r="157">
          <cell r="A157" t="str">
            <v>-</v>
          </cell>
          <cell r="B157" t="str">
            <v>MR-022-1</v>
          </cell>
          <cell r="C157" t="str">
            <v>HIGH PRESSURE WATER PUMP</v>
          </cell>
          <cell r="D157" t="str">
            <v>x</v>
          </cell>
          <cell r="E157" t="str">
            <v>ISBL</v>
          </cell>
          <cell r="J157" t="str">
            <v>3</v>
          </cell>
          <cell r="K157">
            <v>690</v>
          </cell>
          <cell r="L157" t="str">
            <v>AC</v>
          </cell>
          <cell r="M157" t="str">
            <v>M</v>
          </cell>
          <cell r="N157" t="str">
            <v>N</v>
          </cell>
          <cell r="O157" t="str">
            <v>Soft Starter</v>
          </cell>
          <cell r="P157" t="str">
            <v>4850-MDB-203A</v>
          </cell>
          <cell r="Q157" t="str">
            <v>C</v>
          </cell>
          <cell r="S157">
            <v>90</v>
          </cell>
          <cell r="T157">
            <v>100</v>
          </cell>
          <cell r="X157">
            <v>0.94699999999999995</v>
          </cell>
          <cell r="Y157">
            <v>0.85</v>
          </cell>
        </row>
        <row r="158">
          <cell r="A158" t="str">
            <v>-</v>
          </cell>
          <cell r="B158" t="str">
            <v>MR-022-2</v>
          </cell>
          <cell r="C158" t="str">
            <v>HYDROJETTING EQUIPMENT</v>
          </cell>
          <cell r="D158" t="str">
            <v>x</v>
          </cell>
          <cell r="E158" t="str">
            <v>ISBL</v>
          </cell>
          <cell r="J158" t="str">
            <v>3</v>
          </cell>
          <cell r="K158">
            <v>690</v>
          </cell>
          <cell r="L158" t="str">
            <v>AC</v>
          </cell>
          <cell r="M158" t="str">
            <v>M</v>
          </cell>
          <cell r="N158" t="str">
            <v>N</v>
          </cell>
          <cell r="O158" t="str">
            <v>Soft Starter</v>
          </cell>
          <cell r="P158" t="str">
            <v>4850-MDB-203B</v>
          </cell>
          <cell r="Q158" t="str">
            <v>C</v>
          </cell>
          <cell r="S158">
            <v>198</v>
          </cell>
          <cell r="T158">
            <v>220</v>
          </cell>
          <cell r="X158">
            <v>0.95899999999999996</v>
          </cell>
          <cell r="Y158">
            <v>0.85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 t="str">
            <v>ISBL</v>
          </cell>
          <cell r="J159" t="str">
            <v>3</v>
          </cell>
          <cell r="K159">
            <v>0</v>
          </cell>
          <cell r="L159" t="str">
            <v>AC</v>
          </cell>
          <cell r="M159">
            <v>0</v>
          </cell>
          <cell r="N159">
            <v>0</v>
          </cell>
          <cell r="O159" t="str">
            <v/>
          </cell>
          <cell r="P159">
            <v>0</v>
          </cell>
          <cell r="Q159">
            <v>0</v>
          </cell>
          <cell r="S159">
            <v>0</v>
          </cell>
          <cell r="T159">
            <v>0</v>
          </cell>
          <cell r="X159">
            <v>0</v>
          </cell>
          <cell r="Y159">
            <v>0</v>
          </cell>
        </row>
        <row r="160">
          <cell r="A160" t="str">
            <v>PEU-2</v>
          </cell>
          <cell r="B160" t="str">
            <v>41-P-5060B</v>
          </cell>
          <cell r="C160" t="str">
            <v>Deethanizer OVHD Accumulator Reflux Pump</v>
          </cell>
          <cell r="D160">
            <v>4104</v>
          </cell>
          <cell r="E160" t="str">
            <v>ISBL</v>
          </cell>
          <cell r="J160" t="str">
            <v>3</v>
          </cell>
          <cell r="K160">
            <v>690</v>
          </cell>
          <cell r="L160" t="str">
            <v>AC</v>
          </cell>
          <cell r="M160" t="str">
            <v>M</v>
          </cell>
          <cell r="N160" t="str">
            <v>N</v>
          </cell>
          <cell r="O160" t="str">
            <v/>
          </cell>
          <cell r="P160" t="str">
            <v>4850-MDB-203A</v>
          </cell>
          <cell r="Q160" t="str">
            <v>S</v>
          </cell>
          <cell r="S160">
            <v>18.7</v>
          </cell>
          <cell r="T160">
            <v>22</v>
          </cell>
          <cell r="X160">
            <v>0.91300000000000003</v>
          </cell>
          <cell r="Y160">
            <v>0.85</v>
          </cell>
        </row>
        <row r="161">
          <cell r="A161" t="str">
            <v>PEU-2</v>
          </cell>
          <cell r="B161" t="str">
            <v>46-P-8061B</v>
          </cell>
          <cell r="C161" t="str">
            <v>Demin. Water Booster Pump</v>
          </cell>
          <cell r="D161">
            <v>4101</v>
          </cell>
          <cell r="E161" t="str">
            <v>ISBL</v>
          </cell>
          <cell r="J161" t="str">
            <v>3</v>
          </cell>
          <cell r="K161">
            <v>690</v>
          </cell>
          <cell r="L161" t="str">
            <v>AC</v>
          </cell>
          <cell r="M161" t="str">
            <v>M</v>
          </cell>
          <cell r="N161" t="str">
            <v>N</v>
          </cell>
          <cell r="O161" t="str">
            <v/>
          </cell>
          <cell r="P161" t="str">
            <v>4850-MDB-203B</v>
          </cell>
          <cell r="Q161" t="str">
            <v>S</v>
          </cell>
          <cell r="S161">
            <v>9</v>
          </cell>
          <cell r="T161">
            <v>11</v>
          </cell>
          <cell r="X161">
            <v>0.89500000000000002</v>
          </cell>
          <cell r="Y161">
            <v>0.85</v>
          </cell>
        </row>
        <row r="162">
          <cell r="A162" t="str">
            <v>PEU-2</v>
          </cell>
          <cell r="B162" t="str">
            <v>46-P-8062A</v>
          </cell>
          <cell r="C162" t="str">
            <v>Condensate Knockout Pot Pump</v>
          </cell>
          <cell r="D162">
            <v>4101</v>
          </cell>
          <cell r="E162" t="str">
            <v>ISBL</v>
          </cell>
          <cell r="J162" t="str">
            <v>3</v>
          </cell>
          <cell r="K162">
            <v>690</v>
          </cell>
          <cell r="L162" t="str">
            <v>AC</v>
          </cell>
          <cell r="M162" t="str">
            <v>M</v>
          </cell>
          <cell r="N162" t="str">
            <v>N</v>
          </cell>
          <cell r="O162" t="str">
            <v/>
          </cell>
          <cell r="P162" t="str">
            <v>4850-MDB-203A</v>
          </cell>
          <cell r="Q162" t="str">
            <v>C</v>
          </cell>
          <cell r="S162">
            <v>25</v>
          </cell>
          <cell r="T162">
            <v>37</v>
          </cell>
          <cell r="X162">
            <v>0.93</v>
          </cell>
          <cell r="Y162">
            <v>0.85</v>
          </cell>
        </row>
        <row r="163">
          <cell r="A163" t="str">
            <v>PEU-2</v>
          </cell>
          <cell r="B163" t="str">
            <v>46-P-8062B</v>
          </cell>
          <cell r="C163" t="str">
            <v>Condensate Knockout Pot Pump</v>
          </cell>
          <cell r="D163">
            <v>4101</v>
          </cell>
          <cell r="E163" t="str">
            <v>ISBL</v>
          </cell>
          <cell r="J163" t="str">
            <v>3</v>
          </cell>
          <cell r="K163">
            <v>690</v>
          </cell>
          <cell r="L163" t="str">
            <v>AC</v>
          </cell>
          <cell r="M163" t="str">
            <v>M</v>
          </cell>
          <cell r="N163" t="str">
            <v>N</v>
          </cell>
          <cell r="O163" t="str">
            <v/>
          </cell>
          <cell r="P163" t="str">
            <v>4850-MDB-203B</v>
          </cell>
          <cell r="Q163" t="str">
            <v>S</v>
          </cell>
          <cell r="S163">
            <v>25</v>
          </cell>
          <cell r="T163">
            <v>37</v>
          </cell>
          <cell r="X163">
            <v>0.93</v>
          </cell>
          <cell r="Y163">
            <v>0.85</v>
          </cell>
        </row>
        <row r="164">
          <cell r="A164" t="str">
            <v>PEU-2</v>
          </cell>
          <cell r="B164" t="str">
            <v>41-PK-6040-21</v>
          </cell>
          <cell r="C164" t="str">
            <v>Hot Oil Heater for Die Plate Heating</v>
          </cell>
          <cell r="D164">
            <v>4107</v>
          </cell>
          <cell r="E164" t="str">
            <v>ISBL</v>
          </cell>
          <cell r="J164" t="str">
            <v>3</v>
          </cell>
          <cell r="K164">
            <v>690</v>
          </cell>
          <cell r="L164" t="str">
            <v>AC</v>
          </cell>
          <cell r="M164" t="str">
            <v>M</v>
          </cell>
          <cell r="N164" t="str">
            <v>N</v>
          </cell>
          <cell r="O164" t="str">
            <v>Soft Starter</v>
          </cell>
          <cell r="P164" t="str">
            <v>4850-MDB-203A</v>
          </cell>
          <cell r="Q164" t="str">
            <v>C</v>
          </cell>
          <cell r="S164">
            <v>504</v>
          </cell>
          <cell r="T164">
            <v>560</v>
          </cell>
          <cell r="X164">
            <v>0.95899999999999996</v>
          </cell>
          <cell r="Y164">
            <v>0.85</v>
          </cell>
        </row>
        <row r="165">
          <cell r="A165" t="str">
            <v>PEU-2</v>
          </cell>
          <cell r="B165" t="str">
            <v>41-PK-6040-22</v>
          </cell>
          <cell r="C165" t="str">
            <v>Lube Oil Heater for Mixer</v>
          </cell>
          <cell r="D165">
            <v>4107</v>
          </cell>
          <cell r="E165" t="str">
            <v>ISBL</v>
          </cell>
          <cell r="J165" t="str">
            <v>3</v>
          </cell>
          <cell r="K165">
            <v>690</v>
          </cell>
          <cell r="L165" t="str">
            <v>AC</v>
          </cell>
          <cell r="M165" t="str">
            <v>M</v>
          </cell>
          <cell r="N165" t="str">
            <v>N</v>
          </cell>
          <cell r="O165" t="str">
            <v>Soft Starter</v>
          </cell>
          <cell r="P165" t="str">
            <v>4850-MDB-203B</v>
          </cell>
          <cell r="Q165" t="str">
            <v>I</v>
          </cell>
          <cell r="S165">
            <v>58.5</v>
          </cell>
          <cell r="T165">
            <v>65</v>
          </cell>
          <cell r="X165">
            <v>0.93899999999999995</v>
          </cell>
          <cell r="Y165">
            <v>0.85</v>
          </cell>
        </row>
        <row r="166">
          <cell r="A166" t="str">
            <v>PEU-2</v>
          </cell>
          <cell r="B166" t="str">
            <v>41-PK-6040-23</v>
          </cell>
          <cell r="C166" t="str">
            <v>Lube Oil Heater for Mixer Motor</v>
          </cell>
          <cell r="D166">
            <v>4107</v>
          </cell>
          <cell r="E166" t="str">
            <v>ISBL</v>
          </cell>
          <cell r="J166" t="str">
            <v>3</v>
          </cell>
          <cell r="K166">
            <v>690</v>
          </cell>
          <cell r="L166" t="str">
            <v>AC</v>
          </cell>
          <cell r="M166" t="str">
            <v>M</v>
          </cell>
          <cell r="N166" t="str">
            <v>N</v>
          </cell>
          <cell r="O166" t="str">
            <v/>
          </cell>
          <cell r="P166" t="str">
            <v>4850-MDB-203B</v>
          </cell>
          <cell r="Q166" t="str">
            <v>I</v>
          </cell>
          <cell r="S166">
            <v>4.5</v>
          </cell>
          <cell r="T166">
            <v>5</v>
          </cell>
          <cell r="X166">
            <v>0.85</v>
          </cell>
          <cell r="Y166">
            <v>0.85</v>
          </cell>
        </row>
        <row r="167">
          <cell r="A167" t="str">
            <v>PEU-2</v>
          </cell>
          <cell r="B167" t="str">
            <v>46-P-8061</v>
          </cell>
          <cell r="C167" t="str">
            <v>High Pressure Nitrogen Compressor</v>
          </cell>
          <cell r="D167">
            <v>4101</v>
          </cell>
          <cell r="E167" t="str">
            <v>ISBL</v>
          </cell>
          <cell r="J167" t="str">
            <v>3</v>
          </cell>
          <cell r="K167">
            <v>690</v>
          </cell>
          <cell r="L167" t="str">
            <v>AC</v>
          </cell>
          <cell r="M167" t="str">
            <v>M</v>
          </cell>
          <cell r="N167" t="str">
            <v>N</v>
          </cell>
          <cell r="O167" t="str">
            <v/>
          </cell>
          <cell r="P167" t="str">
            <v>4850-MDB-203B</v>
          </cell>
          <cell r="Q167" t="str">
            <v>C</v>
          </cell>
          <cell r="S167">
            <v>33.300000000000004</v>
          </cell>
          <cell r="T167">
            <v>37</v>
          </cell>
          <cell r="X167">
            <v>0.93</v>
          </cell>
          <cell r="Y167">
            <v>0.85</v>
          </cell>
        </row>
        <row r="168">
          <cell r="A168" t="str">
            <v>PEU-2</v>
          </cell>
          <cell r="B168" t="str">
            <v>41-PK-2401-4A</v>
          </cell>
          <cell r="C168" t="str">
            <v>Main/Aux. Lube Oil Pump Motor</v>
          </cell>
          <cell r="D168">
            <v>4103</v>
          </cell>
          <cell r="E168" t="str">
            <v>ISBL</v>
          </cell>
          <cell r="J168" t="str">
            <v>3</v>
          </cell>
          <cell r="K168">
            <v>690</v>
          </cell>
          <cell r="L168" t="str">
            <v>AC</v>
          </cell>
          <cell r="M168" t="str">
            <v>M</v>
          </cell>
          <cell r="N168" t="str">
            <v>N</v>
          </cell>
          <cell r="O168" t="str">
            <v/>
          </cell>
          <cell r="P168" t="str">
            <v>4850-MDB-203A</v>
          </cell>
          <cell r="Q168" t="str">
            <v>C</v>
          </cell>
          <cell r="S168">
            <v>12</v>
          </cell>
          <cell r="T168">
            <v>15</v>
          </cell>
          <cell r="X168">
            <v>0.9</v>
          </cell>
          <cell r="Y168">
            <v>0.85</v>
          </cell>
        </row>
        <row r="169">
          <cell r="A169" t="str">
            <v>PEU-2</v>
          </cell>
          <cell r="B169" t="str">
            <v>41-PK-2401-4B</v>
          </cell>
          <cell r="C169" t="str">
            <v>Main/Aux. Lube Oil Pump Motor</v>
          </cell>
          <cell r="D169">
            <v>4103</v>
          </cell>
          <cell r="E169" t="str">
            <v>ISBL</v>
          </cell>
          <cell r="J169" t="str">
            <v>3</v>
          </cell>
          <cell r="K169">
            <v>690</v>
          </cell>
          <cell r="L169" t="str">
            <v>AC</v>
          </cell>
          <cell r="M169" t="str">
            <v>M</v>
          </cell>
          <cell r="N169" t="str">
            <v>N</v>
          </cell>
          <cell r="O169" t="str">
            <v/>
          </cell>
          <cell r="P169" t="str">
            <v>4850-MDB-203A</v>
          </cell>
          <cell r="Q169" t="str">
            <v>C</v>
          </cell>
          <cell r="S169">
            <v>12</v>
          </cell>
          <cell r="T169">
            <v>15</v>
          </cell>
          <cell r="X169">
            <v>0.9</v>
          </cell>
          <cell r="Y169">
            <v>0.85</v>
          </cell>
        </row>
        <row r="170">
          <cell r="A170" t="str">
            <v>PEU-2</v>
          </cell>
          <cell r="B170" t="str">
            <v>41-PK-2401-4C</v>
          </cell>
          <cell r="C170" t="str">
            <v>Main/Aux. Lube Oil Pump Motor</v>
          </cell>
          <cell r="D170">
            <v>4103</v>
          </cell>
          <cell r="E170" t="str">
            <v>ISBL</v>
          </cell>
          <cell r="J170" t="str">
            <v>3</v>
          </cell>
          <cell r="K170">
            <v>690</v>
          </cell>
          <cell r="L170" t="str">
            <v>AC</v>
          </cell>
          <cell r="M170" t="str">
            <v>M</v>
          </cell>
          <cell r="N170" t="str">
            <v>N</v>
          </cell>
          <cell r="O170" t="str">
            <v/>
          </cell>
          <cell r="P170" t="str">
            <v>4850-MDB-203A</v>
          </cell>
          <cell r="Q170" t="str">
            <v>S</v>
          </cell>
          <cell r="S170">
            <v>12</v>
          </cell>
          <cell r="T170">
            <v>15</v>
          </cell>
          <cell r="X170">
            <v>0.9</v>
          </cell>
          <cell r="Y170">
            <v>0.85</v>
          </cell>
        </row>
        <row r="171">
          <cell r="A171" t="str">
            <v>PEU-2</v>
          </cell>
          <cell r="B171" t="str">
            <v>41-PK-2401-4D</v>
          </cell>
          <cell r="C171" t="str">
            <v>Main/Aux. Lube Oil Pump Motor</v>
          </cell>
          <cell r="D171">
            <v>4103</v>
          </cell>
          <cell r="E171" t="str">
            <v>ISBL</v>
          </cell>
          <cell r="J171" t="str">
            <v>3</v>
          </cell>
          <cell r="K171">
            <v>690</v>
          </cell>
          <cell r="L171" t="str">
            <v>AC</v>
          </cell>
          <cell r="M171" t="str">
            <v>M</v>
          </cell>
          <cell r="N171" t="str">
            <v>N</v>
          </cell>
          <cell r="O171" t="str">
            <v/>
          </cell>
          <cell r="P171" t="str">
            <v>4850-MDB-203A</v>
          </cell>
          <cell r="Q171" t="str">
            <v>S</v>
          </cell>
          <cell r="S171">
            <v>12</v>
          </cell>
          <cell r="T171">
            <v>15</v>
          </cell>
          <cell r="X171">
            <v>0.9</v>
          </cell>
          <cell r="Y171">
            <v>0.85</v>
          </cell>
        </row>
        <row r="172">
          <cell r="A172" t="str">
            <v>PEU-2</v>
          </cell>
          <cell r="B172" t="str">
            <v>41-PK-6040-19</v>
          </cell>
          <cell r="C172" t="str">
            <v>Hot Oil Heater for Gear Pump Rotor Cooling</v>
          </cell>
          <cell r="D172">
            <v>4107</v>
          </cell>
          <cell r="E172" t="str">
            <v>ISBL</v>
          </cell>
          <cell r="J172" t="str">
            <v>3</v>
          </cell>
          <cell r="K172">
            <v>690</v>
          </cell>
          <cell r="L172" t="str">
            <v>AC</v>
          </cell>
          <cell r="M172" t="str">
            <v>M</v>
          </cell>
          <cell r="N172" t="str">
            <v>N</v>
          </cell>
          <cell r="O172" t="str">
            <v/>
          </cell>
          <cell r="P172" t="str">
            <v>4850-MDB-203A</v>
          </cell>
          <cell r="Q172" t="str">
            <v>C</v>
          </cell>
          <cell r="S172">
            <v>36</v>
          </cell>
          <cell r="T172">
            <v>40</v>
          </cell>
          <cell r="X172">
            <v>0.93</v>
          </cell>
          <cell r="Y172">
            <v>0.85</v>
          </cell>
        </row>
        <row r="173">
          <cell r="A173" t="str">
            <v>PEU-2</v>
          </cell>
          <cell r="B173" t="str">
            <v>41-PK-6040-20</v>
          </cell>
          <cell r="C173" t="str">
            <v>Hot Oil Heater for Gear Pump Bearing Cooling</v>
          </cell>
          <cell r="D173">
            <v>4107</v>
          </cell>
          <cell r="E173" t="str">
            <v>ISBL</v>
          </cell>
          <cell r="J173" t="str">
            <v>3</v>
          </cell>
          <cell r="K173">
            <v>690</v>
          </cell>
          <cell r="L173" t="str">
            <v>AC</v>
          </cell>
          <cell r="M173" t="str">
            <v>M</v>
          </cell>
          <cell r="N173" t="str">
            <v>N</v>
          </cell>
          <cell r="O173" t="str">
            <v/>
          </cell>
          <cell r="P173" t="str">
            <v>4850-MDB-203B</v>
          </cell>
          <cell r="Q173" t="str">
            <v>C</v>
          </cell>
          <cell r="S173">
            <v>36</v>
          </cell>
          <cell r="T173">
            <v>40</v>
          </cell>
          <cell r="X173">
            <v>0.93</v>
          </cell>
          <cell r="Y173">
            <v>0.85</v>
          </cell>
        </row>
        <row r="174">
          <cell r="A174" t="str">
            <v>PEU-2</v>
          </cell>
          <cell r="B174" t="str">
            <v>46-P-8064A</v>
          </cell>
          <cell r="C174" t="str">
            <v>Potable Water Booster Pump</v>
          </cell>
          <cell r="D174">
            <v>4102</v>
          </cell>
          <cell r="E174" t="str">
            <v>ISBL</v>
          </cell>
          <cell r="J174" t="str">
            <v>3</v>
          </cell>
          <cell r="K174">
            <v>690</v>
          </cell>
          <cell r="L174" t="str">
            <v>AC</v>
          </cell>
          <cell r="M174" t="str">
            <v>M</v>
          </cell>
          <cell r="N174" t="str">
            <v>N</v>
          </cell>
          <cell r="O174" t="str">
            <v/>
          </cell>
          <cell r="P174" t="str">
            <v>4850-MDB-203A</v>
          </cell>
          <cell r="Q174" t="str">
            <v>I</v>
          </cell>
          <cell r="S174">
            <v>10</v>
          </cell>
          <cell r="T174">
            <v>15</v>
          </cell>
          <cell r="X174">
            <v>0.9</v>
          </cell>
          <cell r="Y174">
            <v>0.85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 t="str">
            <v>ISBL</v>
          </cell>
          <cell r="J175" t="str">
            <v>3</v>
          </cell>
          <cell r="K175">
            <v>0</v>
          </cell>
          <cell r="L175" t="str">
            <v>AC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S175">
            <v>0</v>
          </cell>
          <cell r="T175">
            <v>0</v>
          </cell>
          <cell r="X175">
            <v>0</v>
          </cell>
          <cell r="Y175">
            <v>0</v>
          </cell>
        </row>
        <row r="176">
          <cell r="A176" t="str">
            <v>PEU-2</v>
          </cell>
          <cell r="B176" t="str">
            <v>46-P-8069B</v>
          </cell>
          <cell r="C176" t="str">
            <v>Pellet Hydrosieve Pump</v>
          </cell>
          <cell r="D176">
            <v>4107</v>
          </cell>
          <cell r="E176" t="str">
            <v>ISBL</v>
          </cell>
          <cell r="J176" t="str">
            <v>3</v>
          </cell>
          <cell r="K176">
            <v>690</v>
          </cell>
          <cell r="L176" t="str">
            <v>AC</v>
          </cell>
          <cell r="M176" t="str">
            <v>M</v>
          </cell>
          <cell r="N176" t="str">
            <v>N</v>
          </cell>
          <cell r="O176" t="str">
            <v/>
          </cell>
          <cell r="P176" t="str">
            <v>4850-MDB-203A</v>
          </cell>
          <cell r="Q176" t="str">
            <v>S</v>
          </cell>
          <cell r="S176">
            <v>3.8</v>
          </cell>
          <cell r="T176">
            <v>5.5</v>
          </cell>
          <cell r="X176">
            <v>0.87</v>
          </cell>
          <cell r="Y176">
            <v>0.85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 t="str">
            <v>ISBL</v>
          </cell>
          <cell r="J177" t="str">
            <v>3</v>
          </cell>
          <cell r="K177">
            <v>0</v>
          </cell>
          <cell r="L177" t="str">
            <v>AC</v>
          </cell>
          <cell r="M177">
            <v>0</v>
          </cell>
          <cell r="N177">
            <v>0</v>
          </cell>
          <cell r="O177" t="str">
            <v/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X177">
            <v>0</v>
          </cell>
          <cell r="Y177">
            <v>0</v>
          </cell>
        </row>
        <row r="178">
          <cell r="A178" t="str">
            <v>PEU-2</v>
          </cell>
          <cell r="B178" t="str">
            <v>46-P-8064B</v>
          </cell>
          <cell r="C178" t="str">
            <v>Potable Water Booster Pump</v>
          </cell>
          <cell r="D178">
            <v>4102</v>
          </cell>
          <cell r="E178" t="str">
            <v>ISBL</v>
          </cell>
          <cell r="J178" t="str">
            <v>3</v>
          </cell>
          <cell r="K178">
            <v>690</v>
          </cell>
          <cell r="L178" t="str">
            <v>AC</v>
          </cell>
          <cell r="M178" t="str">
            <v>M</v>
          </cell>
          <cell r="N178" t="str">
            <v>N</v>
          </cell>
          <cell r="O178" t="str">
            <v/>
          </cell>
          <cell r="P178" t="str">
            <v>4850-MDB-203B</v>
          </cell>
          <cell r="Q178" t="str">
            <v>S</v>
          </cell>
          <cell r="S178">
            <v>10</v>
          </cell>
          <cell r="T178">
            <v>15</v>
          </cell>
          <cell r="X178">
            <v>0.9</v>
          </cell>
          <cell r="Y178">
            <v>0.85</v>
          </cell>
        </row>
        <row r="179">
          <cell r="A179" t="str">
            <v>PEU-2</v>
          </cell>
          <cell r="B179" t="str">
            <v>46-P-8069A</v>
          </cell>
          <cell r="C179" t="str">
            <v>Pellet Hydrosieve Pump</v>
          </cell>
          <cell r="D179">
            <v>4107</v>
          </cell>
          <cell r="E179" t="str">
            <v>ISBL</v>
          </cell>
          <cell r="J179" t="str">
            <v>3</v>
          </cell>
          <cell r="K179">
            <v>690</v>
          </cell>
          <cell r="L179" t="str">
            <v>AC</v>
          </cell>
          <cell r="M179" t="str">
            <v>M</v>
          </cell>
          <cell r="N179" t="str">
            <v>N</v>
          </cell>
          <cell r="O179" t="str">
            <v/>
          </cell>
          <cell r="P179" t="str">
            <v>4850-MDB-203B</v>
          </cell>
          <cell r="Q179" t="str">
            <v>I</v>
          </cell>
          <cell r="S179">
            <v>3.8</v>
          </cell>
          <cell r="T179">
            <v>5.5</v>
          </cell>
          <cell r="X179">
            <v>0.87</v>
          </cell>
          <cell r="Y179">
            <v>0.85</v>
          </cell>
        </row>
        <row r="180">
          <cell r="A180" t="str">
            <v>PEU-2</v>
          </cell>
          <cell r="B180" t="str">
            <v>46-P-8070</v>
          </cell>
          <cell r="C180" t="str">
            <v>Pellet Sump Pump</v>
          </cell>
          <cell r="D180">
            <v>4107</v>
          </cell>
          <cell r="E180" t="str">
            <v>ISBL</v>
          </cell>
          <cell r="J180" t="str">
            <v>3</v>
          </cell>
          <cell r="K180">
            <v>690</v>
          </cell>
          <cell r="L180" t="str">
            <v>AC</v>
          </cell>
          <cell r="M180" t="str">
            <v>M</v>
          </cell>
          <cell r="N180" t="str">
            <v>N</v>
          </cell>
          <cell r="O180" t="str">
            <v/>
          </cell>
          <cell r="P180" t="str">
            <v>4850-MDB-203B</v>
          </cell>
          <cell r="Q180" t="str">
            <v>I</v>
          </cell>
          <cell r="S180">
            <v>18</v>
          </cell>
          <cell r="T180">
            <v>22</v>
          </cell>
          <cell r="X180">
            <v>0.91300000000000003</v>
          </cell>
          <cell r="Y180">
            <v>0.85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 t="str">
            <v>ISBL</v>
          </cell>
          <cell r="J181" t="str">
            <v>3</v>
          </cell>
          <cell r="K181">
            <v>0</v>
          </cell>
          <cell r="L181" t="str">
            <v>AC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S181">
            <v>0</v>
          </cell>
          <cell r="T181">
            <v>0</v>
          </cell>
          <cell r="X181">
            <v>0</v>
          </cell>
          <cell r="Y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 t="str">
            <v>ISBL</v>
          </cell>
          <cell r="J182" t="str">
            <v>3</v>
          </cell>
          <cell r="K182">
            <v>0</v>
          </cell>
          <cell r="L182" t="str">
            <v>AC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S182">
            <v>0</v>
          </cell>
          <cell r="T182">
            <v>0</v>
          </cell>
          <cell r="X182">
            <v>0</v>
          </cell>
          <cell r="Y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 t="str">
            <v>ISBL</v>
          </cell>
          <cell r="J183" t="str">
            <v>3</v>
          </cell>
          <cell r="K183">
            <v>0</v>
          </cell>
          <cell r="L183" t="str">
            <v>AC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S183">
            <v>0</v>
          </cell>
          <cell r="T183">
            <v>0</v>
          </cell>
          <cell r="X183">
            <v>0</v>
          </cell>
          <cell r="Y183">
            <v>0</v>
          </cell>
        </row>
        <row r="184">
          <cell r="A184" t="str">
            <v>PEU-2</v>
          </cell>
          <cell r="B184" t="str">
            <v>41-P-2032A</v>
          </cell>
          <cell r="C184" t="str">
            <v>Hexene Feed Pump</v>
          </cell>
          <cell r="D184">
            <v>4104</v>
          </cell>
          <cell r="E184" t="str">
            <v>ISBL</v>
          </cell>
          <cell r="J184" t="str">
            <v>3</v>
          </cell>
          <cell r="K184">
            <v>690</v>
          </cell>
          <cell r="L184" t="str">
            <v>AC</v>
          </cell>
          <cell r="M184" t="str">
            <v>M</v>
          </cell>
          <cell r="N184" t="str">
            <v>N</v>
          </cell>
          <cell r="O184" t="str">
            <v>Soft Starter</v>
          </cell>
          <cell r="P184" t="str">
            <v>4850-MDB-204A</v>
          </cell>
          <cell r="Q184" t="str">
            <v>C</v>
          </cell>
          <cell r="S184">
            <v>93.9</v>
          </cell>
          <cell r="T184">
            <v>110</v>
          </cell>
          <cell r="X184">
            <v>0.95199999999999996</v>
          </cell>
          <cell r="Y184">
            <v>0.85</v>
          </cell>
        </row>
        <row r="185">
          <cell r="A185" t="str">
            <v>PEU-2</v>
          </cell>
          <cell r="B185" t="str">
            <v>41-P-2032B</v>
          </cell>
          <cell r="C185" t="str">
            <v>Hexene Feed Pump</v>
          </cell>
          <cell r="D185">
            <v>4104</v>
          </cell>
          <cell r="E185" t="str">
            <v>ISBL</v>
          </cell>
          <cell r="J185" t="str">
            <v>3</v>
          </cell>
          <cell r="K185">
            <v>690</v>
          </cell>
          <cell r="L185" t="str">
            <v>AC</v>
          </cell>
          <cell r="M185" t="str">
            <v>M</v>
          </cell>
          <cell r="N185" t="str">
            <v>N</v>
          </cell>
          <cell r="O185" t="str">
            <v>Soft Starter</v>
          </cell>
          <cell r="P185" t="str">
            <v>4850-MDB-204B</v>
          </cell>
          <cell r="Q185" t="str">
            <v>S</v>
          </cell>
          <cell r="S185">
            <v>93.9</v>
          </cell>
          <cell r="T185">
            <v>110</v>
          </cell>
          <cell r="X185">
            <v>0.95199999999999996</v>
          </cell>
          <cell r="Y185">
            <v>0.85</v>
          </cell>
        </row>
        <row r="186">
          <cell r="A186" t="str">
            <v>PEU-2</v>
          </cell>
          <cell r="B186" t="str">
            <v>41-P-4142A</v>
          </cell>
          <cell r="C186" t="str">
            <v>Olefin Free Isobutane Pump</v>
          </cell>
          <cell r="D186">
            <v>4103</v>
          </cell>
          <cell r="E186" t="str">
            <v>ISBL</v>
          </cell>
          <cell r="J186" t="str">
            <v>3</v>
          </cell>
          <cell r="K186">
            <v>690</v>
          </cell>
          <cell r="L186" t="str">
            <v>AC</v>
          </cell>
          <cell r="M186" t="str">
            <v>M</v>
          </cell>
          <cell r="N186" t="str">
            <v>N</v>
          </cell>
          <cell r="O186" t="str">
            <v>Soft Starter</v>
          </cell>
          <cell r="P186" t="str">
            <v>4850-MDB-204A</v>
          </cell>
          <cell r="Q186" t="str">
            <v>C</v>
          </cell>
          <cell r="S186">
            <v>162</v>
          </cell>
          <cell r="T186">
            <v>180</v>
          </cell>
          <cell r="X186">
            <v>0.95699999999999996</v>
          </cell>
          <cell r="Y186">
            <v>0.85</v>
          </cell>
        </row>
        <row r="187">
          <cell r="A187" t="str">
            <v>PEU-2</v>
          </cell>
          <cell r="B187" t="str">
            <v>41-P-4242A</v>
          </cell>
          <cell r="C187" t="str">
            <v>Recycle Isobutane Pump</v>
          </cell>
          <cell r="D187">
            <v>4103</v>
          </cell>
          <cell r="E187" t="str">
            <v>ISBL</v>
          </cell>
          <cell r="J187" t="str">
            <v>3</v>
          </cell>
          <cell r="K187">
            <v>690</v>
          </cell>
          <cell r="L187" t="str">
            <v>AC</v>
          </cell>
          <cell r="M187" t="str">
            <v>M</v>
          </cell>
          <cell r="N187" t="str">
            <v>N</v>
          </cell>
          <cell r="O187" t="str">
            <v>Soft Starter</v>
          </cell>
          <cell r="P187" t="str">
            <v>4850-MDB-204A</v>
          </cell>
          <cell r="Q187" t="str">
            <v>C</v>
          </cell>
          <cell r="S187">
            <v>180</v>
          </cell>
          <cell r="T187">
            <v>200</v>
          </cell>
          <cell r="X187">
            <v>0.95899999999999996</v>
          </cell>
          <cell r="Y187">
            <v>0.85</v>
          </cell>
        </row>
        <row r="188">
          <cell r="A188" t="str">
            <v>PEU-2</v>
          </cell>
          <cell r="B188" t="str">
            <v>41-P-5041A</v>
          </cell>
          <cell r="C188" t="str">
            <v>Dehexanizer Column OVHD Accumulator Reflux Pump</v>
          </cell>
          <cell r="D188">
            <v>4104</v>
          </cell>
          <cell r="E188" t="str">
            <v>ISBL</v>
          </cell>
          <cell r="J188" t="str">
            <v>3</v>
          </cell>
          <cell r="K188">
            <v>690</v>
          </cell>
          <cell r="L188" t="str">
            <v>AC</v>
          </cell>
          <cell r="M188" t="str">
            <v>M</v>
          </cell>
          <cell r="N188" t="str">
            <v>N</v>
          </cell>
          <cell r="O188" t="str">
            <v>Soft Starter</v>
          </cell>
          <cell r="P188" t="str">
            <v>4850-MDB-204B</v>
          </cell>
          <cell r="Q188" t="str">
            <v>C</v>
          </cell>
          <cell r="S188">
            <v>180</v>
          </cell>
          <cell r="T188">
            <v>200</v>
          </cell>
          <cell r="X188">
            <v>0.95899999999999996</v>
          </cell>
          <cell r="Y188">
            <v>0.85</v>
          </cell>
        </row>
        <row r="189">
          <cell r="A189" t="str">
            <v>PEU-2</v>
          </cell>
          <cell r="B189" t="str">
            <v>41-P-4142B</v>
          </cell>
          <cell r="C189" t="str">
            <v>Olefin Free Isobutane Pump</v>
          </cell>
          <cell r="D189">
            <v>4103</v>
          </cell>
          <cell r="E189" t="str">
            <v>ISBL</v>
          </cell>
          <cell r="J189" t="str">
            <v>3</v>
          </cell>
          <cell r="K189">
            <v>690</v>
          </cell>
          <cell r="L189" t="str">
            <v>AC</v>
          </cell>
          <cell r="M189" t="str">
            <v>M</v>
          </cell>
          <cell r="N189" t="str">
            <v>N</v>
          </cell>
          <cell r="O189" t="str">
            <v>Soft Starter</v>
          </cell>
          <cell r="P189" t="str">
            <v>4850-MDB-204B</v>
          </cell>
          <cell r="Q189" t="str">
            <v>S</v>
          </cell>
          <cell r="S189">
            <v>162</v>
          </cell>
          <cell r="T189">
            <v>180</v>
          </cell>
          <cell r="X189">
            <v>0.95699999999999996</v>
          </cell>
          <cell r="Y189">
            <v>0.85</v>
          </cell>
        </row>
        <row r="190">
          <cell r="A190" t="str">
            <v>PEU-2</v>
          </cell>
          <cell r="B190" t="str">
            <v>41-P-5041B</v>
          </cell>
          <cell r="C190" t="str">
            <v>Dehexanizer Column OVHD Accumulator Reflux Pump</v>
          </cell>
          <cell r="D190">
            <v>4104</v>
          </cell>
          <cell r="E190" t="str">
            <v>ISBL</v>
          </cell>
          <cell r="J190" t="str">
            <v>3</v>
          </cell>
          <cell r="K190">
            <v>690</v>
          </cell>
          <cell r="L190" t="str">
            <v>AC</v>
          </cell>
          <cell r="M190" t="str">
            <v>M</v>
          </cell>
          <cell r="N190" t="str">
            <v>N</v>
          </cell>
          <cell r="O190" t="str">
            <v>Soft Starter</v>
          </cell>
          <cell r="P190" t="str">
            <v>4850-MDB-204B</v>
          </cell>
          <cell r="Q190" t="str">
            <v>S</v>
          </cell>
          <cell r="S190">
            <v>180</v>
          </cell>
          <cell r="T190">
            <v>200</v>
          </cell>
          <cell r="X190">
            <v>0.95899999999999996</v>
          </cell>
          <cell r="Y190">
            <v>0.85</v>
          </cell>
        </row>
        <row r="191">
          <cell r="A191" t="str">
            <v>PEU-2</v>
          </cell>
          <cell r="B191" t="str">
            <v>41-P-4242B</v>
          </cell>
          <cell r="C191" t="str">
            <v>Recycle Isobutane Pump</v>
          </cell>
          <cell r="D191">
            <v>4103</v>
          </cell>
          <cell r="E191" t="str">
            <v>ISBL</v>
          </cell>
          <cell r="J191" t="str">
            <v>3</v>
          </cell>
          <cell r="K191">
            <v>690</v>
          </cell>
          <cell r="L191" t="str">
            <v>AC</v>
          </cell>
          <cell r="M191" t="str">
            <v>M</v>
          </cell>
          <cell r="N191" t="str">
            <v>N</v>
          </cell>
          <cell r="O191" t="str">
            <v>Soft Starter</v>
          </cell>
          <cell r="P191" t="str">
            <v>4850-MDB-204B</v>
          </cell>
          <cell r="Q191" t="str">
            <v>S</v>
          </cell>
          <cell r="S191">
            <v>180</v>
          </cell>
          <cell r="T191">
            <v>200</v>
          </cell>
          <cell r="X191">
            <v>0.95899999999999996</v>
          </cell>
          <cell r="Y191">
            <v>0.85</v>
          </cell>
        </row>
        <row r="192">
          <cell r="A192" t="str">
            <v>PEU-2</v>
          </cell>
          <cell r="B192" t="str">
            <v>41-P-2031A</v>
          </cell>
          <cell r="C192" t="str">
            <v>Hexene Make-up Pump</v>
          </cell>
          <cell r="D192">
            <v>4104</v>
          </cell>
          <cell r="E192" t="str">
            <v>ISBL</v>
          </cell>
          <cell r="J192" t="str">
            <v>3</v>
          </cell>
          <cell r="K192">
            <v>690</v>
          </cell>
          <cell r="L192" t="str">
            <v>AC</v>
          </cell>
          <cell r="M192" t="str">
            <v>M</v>
          </cell>
          <cell r="N192" t="str">
            <v>N</v>
          </cell>
          <cell r="O192" t="str">
            <v/>
          </cell>
          <cell r="P192" t="str">
            <v>4850-MDB-204A</v>
          </cell>
          <cell r="Q192" t="str">
            <v>C</v>
          </cell>
          <cell r="S192">
            <v>11.25</v>
          </cell>
          <cell r="T192">
            <v>15</v>
          </cell>
          <cell r="X192">
            <v>0.9</v>
          </cell>
          <cell r="Y192">
            <v>0.85</v>
          </cell>
        </row>
        <row r="193">
          <cell r="A193" t="str">
            <v>PEU-2</v>
          </cell>
          <cell r="B193" t="str">
            <v>41-P-2031B</v>
          </cell>
          <cell r="C193" t="str">
            <v>Hexene Make-up Pump</v>
          </cell>
          <cell r="D193">
            <v>4104</v>
          </cell>
          <cell r="E193" t="str">
            <v>ISBL</v>
          </cell>
          <cell r="J193" t="str">
            <v>3</v>
          </cell>
          <cell r="K193">
            <v>690</v>
          </cell>
          <cell r="L193" t="str">
            <v>AC</v>
          </cell>
          <cell r="M193" t="str">
            <v>M</v>
          </cell>
          <cell r="N193" t="str">
            <v>N</v>
          </cell>
          <cell r="O193" t="str">
            <v/>
          </cell>
          <cell r="P193" t="str">
            <v>4850-MDB-204B</v>
          </cell>
          <cell r="Q193" t="str">
            <v>S</v>
          </cell>
          <cell r="S193">
            <v>11.25</v>
          </cell>
          <cell r="T193">
            <v>15</v>
          </cell>
          <cell r="X193">
            <v>0.9</v>
          </cell>
          <cell r="Y193">
            <v>0.85</v>
          </cell>
        </row>
        <row r="194">
          <cell r="A194" t="str">
            <v>PEU-2</v>
          </cell>
          <cell r="B194" t="str">
            <v>41-P-4020A</v>
          </cell>
          <cell r="C194" t="str">
            <v>Flush Pump</v>
          </cell>
          <cell r="D194">
            <v>4103</v>
          </cell>
          <cell r="E194" t="str">
            <v>ISBL</v>
          </cell>
          <cell r="J194" t="str">
            <v>3</v>
          </cell>
          <cell r="K194">
            <v>690</v>
          </cell>
          <cell r="L194" t="str">
            <v>AC</v>
          </cell>
          <cell r="M194" t="str">
            <v>M</v>
          </cell>
          <cell r="N194" t="str">
            <v>N</v>
          </cell>
          <cell r="O194" t="str">
            <v/>
          </cell>
          <cell r="P194" t="str">
            <v>4850-MDB-204A</v>
          </cell>
          <cell r="Q194" t="str">
            <v>C</v>
          </cell>
          <cell r="S194">
            <v>5.625</v>
          </cell>
          <cell r="T194">
            <v>7.5</v>
          </cell>
          <cell r="X194">
            <v>0.88200000000000001</v>
          </cell>
          <cell r="Y194">
            <v>0.85</v>
          </cell>
        </row>
        <row r="195">
          <cell r="A195" t="str">
            <v>PEU-2</v>
          </cell>
          <cell r="B195" t="str">
            <v>41-P-4103A</v>
          </cell>
          <cell r="C195" t="str">
            <v>Reactor A Thrust Bearing L.O. Pump</v>
          </cell>
          <cell r="D195">
            <v>4102</v>
          </cell>
          <cell r="E195" t="str">
            <v>ISBL</v>
          </cell>
          <cell r="J195" t="str">
            <v>3</v>
          </cell>
          <cell r="K195">
            <v>690</v>
          </cell>
          <cell r="L195" t="str">
            <v>AC</v>
          </cell>
          <cell r="M195" t="str">
            <v>M</v>
          </cell>
          <cell r="N195" t="str">
            <v>N</v>
          </cell>
          <cell r="O195" t="str">
            <v/>
          </cell>
          <cell r="P195" t="str">
            <v>4850-MDB-204A</v>
          </cell>
          <cell r="Q195" t="str">
            <v>C</v>
          </cell>
          <cell r="S195">
            <v>4.5</v>
          </cell>
          <cell r="T195">
            <v>5.5</v>
          </cell>
          <cell r="X195">
            <v>0.87</v>
          </cell>
          <cell r="Y195">
            <v>0.85</v>
          </cell>
        </row>
        <row r="196">
          <cell r="A196" t="str">
            <v>PEU-2</v>
          </cell>
          <cell r="B196" t="str">
            <v>41-P-4203A</v>
          </cell>
          <cell r="C196" t="str">
            <v>Reactor B Thrust Bearing L.O. Pump</v>
          </cell>
          <cell r="D196">
            <v>4102</v>
          </cell>
          <cell r="E196" t="str">
            <v>ISBL</v>
          </cell>
          <cell r="J196" t="str">
            <v>3</v>
          </cell>
          <cell r="K196">
            <v>690</v>
          </cell>
          <cell r="L196" t="str">
            <v>AC</v>
          </cell>
          <cell r="M196" t="str">
            <v>M</v>
          </cell>
          <cell r="N196" t="str">
            <v>N</v>
          </cell>
          <cell r="O196" t="str">
            <v/>
          </cell>
          <cell r="P196" t="str">
            <v>4850-MDB-204A</v>
          </cell>
          <cell r="Q196" t="str">
            <v>C</v>
          </cell>
          <cell r="S196">
            <v>4.5</v>
          </cell>
          <cell r="T196">
            <v>5.5</v>
          </cell>
          <cell r="X196">
            <v>0.87</v>
          </cell>
          <cell r="Y196">
            <v>0.85</v>
          </cell>
        </row>
        <row r="197">
          <cell r="A197" t="str">
            <v>PEU-2</v>
          </cell>
          <cell r="B197" t="str">
            <v>41-P-4224A</v>
          </cell>
          <cell r="C197" t="str">
            <v>Flashline Condensate Pump</v>
          </cell>
          <cell r="D197">
            <v>4102</v>
          </cell>
          <cell r="E197" t="str">
            <v>ISBL</v>
          </cell>
          <cell r="J197" t="str">
            <v>3</v>
          </cell>
          <cell r="K197">
            <v>690</v>
          </cell>
          <cell r="L197" t="str">
            <v>AC</v>
          </cell>
          <cell r="M197" t="str">
            <v>M</v>
          </cell>
          <cell r="N197" t="str">
            <v>N</v>
          </cell>
          <cell r="O197" t="str">
            <v/>
          </cell>
          <cell r="P197" t="str">
            <v>4850-MDB-204A</v>
          </cell>
          <cell r="Q197" t="str">
            <v>C</v>
          </cell>
          <cell r="S197">
            <v>2.7750000000000004</v>
          </cell>
          <cell r="T197">
            <v>3.7</v>
          </cell>
          <cell r="X197">
            <v>0.83799999999999997</v>
          </cell>
          <cell r="Y197">
            <v>0.85</v>
          </cell>
        </row>
        <row r="198">
          <cell r="A198" t="str">
            <v>PEU-2</v>
          </cell>
          <cell r="B198" t="str">
            <v>41-P-4020B</v>
          </cell>
          <cell r="C198" t="str">
            <v>Flush Pump</v>
          </cell>
          <cell r="D198">
            <v>4103</v>
          </cell>
          <cell r="E198" t="str">
            <v>ISBL</v>
          </cell>
          <cell r="J198" t="str">
            <v>3</v>
          </cell>
          <cell r="K198">
            <v>690</v>
          </cell>
          <cell r="L198" t="str">
            <v>AC</v>
          </cell>
          <cell r="M198" t="str">
            <v>M</v>
          </cell>
          <cell r="N198" t="str">
            <v>N</v>
          </cell>
          <cell r="O198" t="str">
            <v/>
          </cell>
          <cell r="P198" t="str">
            <v>4850-MDB-204B</v>
          </cell>
          <cell r="Q198" t="str">
            <v>S</v>
          </cell>
          <cell r="S198">
            <v>5.625</v>
          </cell>
          <cell r="T198">
            <v>7.5</v>
          </cell>
          <cell r="X198">
            <v>0.88200000000000001</v>
          </cell>
          <cell r="Y198">
            <v>0.85</v>
          </cell>
        </row>
        <row r="199">
          <cell r="A199" t="str">
            <v>PEU-2</v>
          </cell>
          <cell r="B199" t="str">
            <v>41-P-4103B</v>
          </cell>
          <cell r="C199" t="str">
            <v>Reactor A Thrust Bearing L.O. Pump</v>
          </cell>
          <cell r="D199">
            <v>4102</v>
          </cell>
          <cell r="E199" t="str">
            <v>ISBL</v>
          </cell>
          <cell r="J199" t="str">
            <v>3</v>
          </cell>
          <cell r="K199">
            <v>690</v>
          </cell>
          <cell r="L199" t="str">
            <v>AC</v>
          </cell>
          <cell r="M199" t="str">
            <v>M</v>
          </cell>
          <cell r="N199" t="str">
            <v>N</v>
          </cell>
          <cell r="O199" t="str">
            <v/>
          </cell>
          <cell r="P199" t="str">
            <v>4850-MDB-204B</v>
          </cell>
          <cell r="Q199" t="str">
            <v>S</v>
          </cell>
          <cell r="S199">
            <v>4.5</v>
          </cell>
          <cell r="T199">
            <v>5.5</v>
          </cell>
          <cell r="X199">
            <v>0.87</v>
          </cell>
          <cell r="Y199">
            <v>0.85</v>
          </cell>
        </row>
        <row r="200">
          <cell r="A200" t="str">
            <v>PEU-2</v>
          </cell>
          <cell r="B200" t="str">
            <v>41-P-4203B</v>
          </cell>
          <cell r="C200" t="str">
            <v>Reactor B Thrust Bearing L.O. Pump</v>
          </cell>
          <cell r="D200">
            <v>4102</v>
          </cell>
          <cell r="E200" t="str">
            <v>ISBL</v>
          </cell>
          <cell r="J200" t="str">
            <v>3</v>
          </cell>
          <cell r="K200">
            <v>690</v>
          </cell>
          <cell r="L200" t="str">
            <v>AC</v>
          </cell>
          <cell r="M200" t="str">
            <v>M</v>
          </cell>
          <cell r="N200" t="str">
            <v>N</v>
          </cell>
          <cell r="O200" t="str">
            <v/>
          </cell>
          <cell r="P200" t="str">
            <v>4850-MDB-204B</v>
          </cell>
          <cell r="Q200" t="str">
            <v>S</v>
          </cell>
          <cell r="S200">
            <v>4.5</v>
          </cell>
          <cell r="T200">
            <v>5.5</v>
          </cell>
          <cell r="X200">
            <v>0.87</v>
          </cell>
          <cell r="Y200">
            <v>0.85</v>
          </cell>
        </row>
        <row r="201">
          <cell r="A201" t="str">
            <v>PEU-2</v>
          </cell>
          <cell r="B201" t="str">
            <v>41-P-4224B</v>
          </cell>
          <cell r="C201" t="str">
            <v>Flashline Condensate Pump</v>
          </cell>
          <cell r="D201">
            <v>4102</v>
          </cell>
          <cell r="E201" t="str">
            <v>ISBL</v>
          </cell>
          <cell r="J201" t="str">
            <v>3</v>
          </cell>
          <cell r="K201">
            <v>690</v>
          </cell>
          <cell r="L201" t="str">
            <v>AC</v>
          </cell>
          <cell r="M201" t="str">
            <v>M</v>
          </cell>
          <cell r="N201" t="str">
            <v>N</v>
          </cell>
          <cell r="O201" t="str">
            <v/>
          </cell>
          <cell r="P201" t="str">
            <v>4850-MDB-204B</v>
          </cell>
          <cell r="Q201" t="str">
            <v>S</v>
          </cell>
          <cell r="S201">
            <v>2.7750000000000004</v>
          </cell>
          <cell r="T201">
            <v>3.7</v>
          </cell>
          <cell r="X201">
            <v>0.83799999999999997</v>
          </cell>
          <cell r="Y201">
            <v>0.85</v>
          </cell>
        </row>
        <row r="202">
          <cell r="A202">
            <v>0</v>
          </cell>
          <cell r="B202" t="str">
            <v>E-6042</v>
          </cell>
          <cell r="C202" t="str">
            <v>Die Plate Hot Oil Heater</v>
          </cell>
          <cell r="D202" t="str">
            <v>x</v>
          </cell>
          <cell r="E202" t="str">
            <v>ISBL</v>
          </cell>
          <cell r="J202" t="str">
            <v>3</v>
          </cell>
          <cell r="K202">
            <v>690</v>
          </cell>
          <cell r="L202" t="str">
            <v>AC</v>
          </cell>
          <cell r="M202" t="str">
            <v>F</v>
          </cell>
          <cell r="N202" t="str">
            <v>N</v>
          </cell>
          <cell r="O202" t="str">
            <v/>
          </cell>
          <cell r="P202" t="str">
            <v>4850-MDB-204B</v>
          </cell>
          <cell r="Q202" t="str">
            <v>C</v>
          </cell>
          <cell r="S202">
            <v>448</v>
          </cell>
          <cell r="T202">
            <v>560</v>
          </cell>
          <cell r="X202">
            <v>1</v>
          </cell>
          <cell r="Y202">
            <v>0.85</v>
          </cell>
        </row>
        <row r="203">
          <cell r="A203">
            <v>0</v>
          </cell>
          <cell r="B203" t="str">
            <v>MR-025-1A</v>
          </cell>
          <cell r="C203" t="str">
            <v>Lube Oil Pump</v>
          </cell>
          <cell r="D203" t="str">
            <v>x</v>
          </cell>
          <cell r="E203" t="str">
            <v>ISBL</v>
          </cell>
          <cell r="J203" t="str">
            <v>3</v>
          </cell>
          <cell r="K203">
            <v>690</v>
          </cell>
          <cell r="L203" t="str">
            <v>AC</v>
          </cell>
          <cell r="M203" t="str">
            <v>M</v>
          </cell>
          <cell r="N203" t="str">
            <v>N</v>
          </cell>
          <cell r="O203" t="str">
            <v/>
          </cell>
          <cell r="P203" t="str">
            <v>4850-MDB-204B</v>
          </cell>
          <cell r="Q203" t="str">
            <v>S</v>
          </cell>
          <cell r="S203">
            <v>9.9</v>
          </cell>
          <cell r="T203">
            <v>11</v>
          </cell>
          <cell r="X203">
            <v>0.89500000000000002</v>
          </cell>
          <cell r="Y203">
            <v>0.85</v>
          </cell>
        </row>
        <row r="204">
          <cell r="A204">
            <v>0</v>
          </cell>
          <cell r="B204" t="str">
            <v>MR-025-1B</v>
          </cell>
          <cell r="C204" t="str">
            <v>Lube Oil Pump</v>
          </cell>
          <cell r="D204" t="str">
            <v>x</v>
          </cell>
          <cell r="E204" t="str">
            <v>ISBL</v>
          </cell>
          <cell r="J204" t="str">
            <v>3</v>
          </cell>
          <cell r="K204">
            <v>690</v>
          </cell>
          <cell r="L204" t="str">
            <v>AC</v>
          </cell>
          <cell r="M204" t="str">
            <v>M</v>
          </cell>
          <cell r="N204" t="str">
            <v>N</v>
          </cell>
          <cell r="O204" t="str">
            <v/>
          </cell>
          <cell r="P204" t="str">
            <v>4850-MDB-204B</v>
          </cell>
          <cell r="Q204" t="str">
            <v>S</v>
          </cell>
          <cell r="S204">
            <v>9.9</v>
          </cell>
          <cell r="T204">
            <v>11</v>
          </cell>
          <cell r="X204">
            <v>0.89500000000000002</v>
          </cell>
          <cell r="Y204">
            <v>0.85</v>
          </cell>
        </row>
        <row r="205">
          <cell r="A205">
            <v>0</v>
          </cell>
          <cell r="B205" t="str">
            <v>MR-025-2A</v>
          </cell>
          <cell r="C205" t="str">
            <v>Lube Oil Heater</v>
          </cell>
          <cell r="D205" t="str">
            <v>x</v>
          </cell>
          <cell r="E205" t="str">
            <v>ISBL</v>
          </cell>
          <cell r="J205" t="str">
            <v>3</v>
          </cell>
          <cell r="K205">
            <v>690</v>
          </cell>
          <cell r="L205" t="str">
            <v>AC</v>
          </cell>
          <cell r="M205" t="str">
            <v>M</v>
          </cell>
          <cell r="N205" t="str">
            <v>N</v>
          </cell>
          <cell r="O205" t="str">
            <v/>
          </cell>
          <cell r="P205" t="str">
            <v>4850-MDB-204B</v>
          </cell>
          <cell r="Q205" t="str">
            <v>I</v>
          </cell>
          <cell r="S205">
            <v>4.5</v>
          </cell>
          <cell r="T205">
            <v>5</v>
          </cell>
          <cell r="X205">
            <v>0.85</v>
          </cell>
          <cell r="Y205">
            <v>0.85</v>
          </cell>
        </row>
        <row r="206">
          <cell r="A206">
            <v>0</v>
          </cell>
          <cell r="B206" t="str">
            <v>MR-025-2B</v>
          </cell>
          <cell r="C206" t="str">
            <v>Lube Oil Heater</v>
          </cell>
          <cell r="D206" t="str">
            <v>x</v>
          </cell>
          <cell r="E206" t="str">
            <v>ISBL</v>
          </cell>
          <cell r="J206" t="str">
            <v>3</v>
          </cell>
          <cell r="K206">
            <v>690</v>
          </cell>
          <cell r="L206" t="str">
            <v>AC</v>
          </cell>
          <cell r="M206" t="str">
            <v>F</v>
          </cell>
          <cell r="N206" t="str">
            <v>N</v>
          </cell>
          <cell r="O206" t="str">
            <v/>
          </cell>
          <cell r="P206" t="str">
            <v>4850-MDB-204A</v>
          </cell>
          <cell r="Q206" t="str">
            <v>I</v>
          </cell>
          <cell r="S206">
            <v>4.5</v>
          </cell>
          <cell r="T206">
            <v>5</v>
          </cell>
          <cell r="X206">
            <v>1</v>
          </cell>
          <cell r="Y206">
            <v>0.85</v>
          </cell>
        </row>
        <row r="207">
          <cell r="A207">
            <v>0</v>
          </cell>
          <cell r="B207" t="str">
            <v>MR-025-3A</v>
          </cell>
          <cell r="C207" t="str">
            <v>Lube Oil Pump</v>
          </cell>
          <cell r="D207" t="str">
            <v>x</v>
          </cell>
          <cell r="E207" t="str">
            <v>ISBL</v>
          </cell>
          <cell r="J207" t="str">
            <v>3</v>
          </cell>
          <cell r="K207">
            <v>690</v>
          </cell>
          <cell r="L207" t="str">
            <v>AC</v>
          </cell>
          <cell r="M207" t="str">
            <v>M</v>
          </cell>
          <cell r="N207" t="str">
            <v>N</v>
          </cell>
          <cell r="O207" t="str">
            <v/>
          </cell>
          <cell r="P207" t="str">
            <v>4850-MDB-204A</v>
          </cell>
          <cell r="Q207" t="str">
            <v>S</v>
          </cell>
          <cell r="S207">
            <v>9.9</v>
          </cell>
          <cell r="T207">
            <v>11</v>
          </cell>
          <cell r="X207">
            <v>0.89500000000000002</v>
          </cell>
          <cell r="Y207">
            <v>0.85</v>
          </cell>
        </row>
        <row r="208">
          <cell r="A208">
            <v>0</v>
          </cell>
          <cell r="B208" t="str">
            <v>MR-025-3B</v>
          </cell>
          <cell r="C208" t="str">
            <v>Lube Oil Pump</v>
          </cell>
          <cell r="D208" t="str">
            <v>x</v>
          </cell>
          <cell r="E208" t="str">
            <v>ISBL</v>
          </cell>
          <cell r="J208" t="str">
            <v>3</v>
          </cell>
          <cell r="K208">
            <v>690</v>
          </cell>
          <cell r="L208" t="str">
            <v>AC</v>
          </cell>
          <cell r="M208" t="str">
            <v>M</v>
          </cell>
          <cell r="N208" t="str">
            <v>N</v>
          </cell>
          <cell r="O208" t="str">
            <v/>
          </cell>
          <cell r="P208" t="str">
            <v>4850-MDB-204B</v>
          </cell>
          <cell r="Q208" t="str">
            <v>S</v>
          </cell>
          <cell r="S208">
            <v>9.9</v>
          </cell>
          <cell r="T208">
            <v>11</v>
          </cell>
          <cell r="X208">
            <v>0.89500000000000002</v>
          </cell>
          <cell r="Y208">
            <v>0.85</v>
          </cell>
        </row>
        <row r="209">
          <cell r="A209">
            <v>0</v>
          </cell>
          <cell r="B209" t="str">
            <v>MR-025-3C</v>
          </cell>
          <cell r="C209" t="str">
            <v>Lube Oil Pump</v>
          </cell>
          <cell r="D209" t="str">
            <v>x</v>
          </cell>
          <cell r="E209" t="str">
            <v>ISBL</v>
          </cell>
          <cell r="J209" t="str">
            <v>3</v>
          </cell>
          <cell r="K209">
            <v>690</v>
          </cell>
          <cell r="L209" t="str">
            <v>AC</v>
          </cell>
          <cell r="M209" t="str">
            <v>M</v>
          </cell>
          <cell r="N209" t="str">
            <v>N</v>
          </cell>
          <cell r="O209" t="str">
            <v/>
          </cell>
          <cell r="P209" t="str">
            <v>4850-MDB-204A</v>
          </cell>
          <cell r="Q209" t="str">
            <v>S</v>
          </cell>
          <cell r="S209">
            <v>9.9</v>
          </cell>
          <cell r="T209">
            <v>11</v>
          </cell>
          <cell r="X209">
            <v>0.89500000000000002</v>
          </cell>
          <cell r="Y209">
            <v>0.85</v>
          </cell>
        </row>
        <row r="210">
          <cell r="A210">
            <v>0</v>
          </cell>
          <cell r="B210" t="str">
            <v>MR-025-4A</v>
          </cell>
          <cell r="C210" t="str">
            <v>Lube Oil Heater</v>
          </cell>
          <cell r="D210" t="str">
            <v>x</v>
          </cell>
          <cell r="E210" t="str">
            <v>ISBL</v>
          </cell>
          <cell r="J210" t="str">
            <v>3</v>
          </cell>
          <cell r="K210">
            <v>690</v>
          </cell>
          <cell r="L210" t="str">
            <v>AC</v>
          </cell>
          <cell r="M210" t="str">
            <v>F</v>
          </cell>
          <cell r="N210" t="str">
            <v>N</v>
          </cell>
          <cell r="O210" t="str">
            <v/>
          </cell>
          <cell r="P210" t="str">
            <v>4850-MDB-204B</v>
          </cell>
          <cell r="Q210" t="str">
            <v>I</v>
          </cell>
          <cell r="S210">
            <v>4.5</v>
          </cell>
          <cell r="T210">
            <v>5</v>
          </cell>
          <cell r="X210">
            <v>1</v>
          </cell>
          <cell r="Y210">
            <v>0.85</v>
          </cell>
        </row>
        <row r="211">
          <cell r="A211">
            <v>0</v>
          </cell>
          <cell r="B211" t="str">
            <v>MR-025-4B</v>
          </cell>
          <cell r="C211" t="str">
            <v>Lube Oil Heater</v>
          </cell>
          <cell r="D211" t="str">
            <v>x</v>
          </cell>
          <cell r="E211" t="str">
            <v>ISBL</v>
          </cell>
          <cell r="J211" t="str">
            <v>3</v>
          </cell>
          <cell r="K211">
            <v>690</v>
          </cell>
          <cell r="L211" t="str">
            <v>AC</v>
          </cell>
          <cell r="M211" t="str">
            <v>F</v>
          </cell>
          <cell r="N211" t="str">
            <v>N</v>
          </cell>
          <cell r="O211" t="str">
            <v/>
          </cell>
          <cell r="P211" t="str">
            <v>4850-MDB-204A</v>
          </cell>
          <cell r="Q211" t="str">
            <v>I</v>
          </cell>
          <cell r="S211">
            <v>4.5</v>
          </cell>
          <cell r="T211">
            <v>5</v>
          </cell>
          <cell r="X211">
            <v>1</v>
          </cell>
          <cell r="Y211">
            <v>0.85</v>
          </cell>
        </row>
        <row r="212">
          <cell r="A212">
            <v>0</v>
          </cell>
          <cell r="B212" t="str">
            <v>MR-025-4C</v>
          </cell>
          <cell r="C212" t="str">
            <v>Lube Oil Heater</v>
          </cell>
          <cell r="D212" t="str">
            <v>x</v>
          </cell>
          <cell r="E212" t="str">
            <v>ISBL</v>
          </cell>
          <cell r="J212" t="str">
            <v>3</v>
          </cell>
          <cell r="K212">
            <v>690</v>
          </cell>
          <cell r="L212" t="str">
            <v>AC</v>
          </cell>
          <cell r="M212" t="str">
            <v>F</v>
          </cell>
          <cell r="N212" t="str">
            <v>N</v>
          </cell>
          <cell r="O212" t="str">
            <v/>
          </cell>
          <cell r="P212" t="str">
            <v>4850-MDB-204B</v>
          </cell>
          <cell r="Q212" t="str">
            <v>S</v>
          </cell>
          <cell r="S212">
            <v>4.5</v>
          </cell>
          <cell r="T212">
            <v>5</v>
          </cell>
          <cell r="X212">
            <v>1</v>
          </cell>
          <cell r="Y212">
            <v>0.85</v>
          </cell>
        </row>
        <row r="213">
          <cell r="A213" t="str">
            <v>LAO</v>
          </cell>
          <cell r="B213" t="str">
            <v xml:space="preserve">51-E-1004 </v>
          </cell>
          <cell r="C213" t="str">
            <v>Nitrogen Heater</v>
          </cell>
          <cell r="D213">
            <v>5102</v>
          </cell>
          <cell r="E213" t="str">
            <v>ISBL</v>
          </cell>
          <cell r="J213" t="str">
            <v>3</v>
          </cell>
          <cell r="K213">
            <v>690</v>
          </cell>
          <cell r="L213" t="str">
            <v>AC</v>
          </cell>
          <cell r="M213" t="str">
            <v>F</v>
          </cell>
          <cell r="N213" t="str">
            <v>N</v>
          </cell>
          <cell r="O213" t="str">
            <v/>
          </cell>
          <cell r="P213" t="str">
            <v>4850-MDB-204A</v>
          </cell>
          <cell r="Q213" t="str">
            <v>C</v>
          </cell>
          <cell r="S213">
            <v>157.5</v>
          </cell>
          <cell r="T213">
            <v>175</v>
          </cell>
          <cell r="X213">
            <v>1</v>
          </cell>
          <cell r="Y213">
            <v>1</v>
          </cell>
        </row>
        <row r="214">
          <cell r="A214" t="str">
            <v>LAO</v>
          </cell>
          <cell r="B214" t="str">
            <v xml:space="preserve">51-E-1008 </v>
          </cell>
          <cell r="C214" t="str">
            <v>Gear Motor of TFE for Thin Film Evaporator</v>
          </cell>
          <cell r="D214" t="str">
            <v>x</v>
          </cell>
          <cell r="E214" t="str">
            <v>ISBL</v>
          </cell>
          <cell r="J214" t="str">
            <v>3</v>
          </cell>
          <cell r="K214">
            <v>690</v>
          </cell>
          <cell r="L214" t="str">
            <v>AC</v>
          </cell>
          <cell r="M214" t="str">
            <v>F</v>
          </cell>
          <cell r="N214" t="str">
            <v>N</v>
          </cell>
          <cell r="O214" t="str">
            <v/>
          </cell>
          <cell r="P214" t="str">
            <v>4850-MDB-204B</v>
          </cell>
          <cell r="Q214" t="str">
            <v>C</v>
          </cell>
          <cell r="S214">
            <v>19.8</v>
          </cell>
          <cell r="T214">
            <v>22</v>
          </cell>
          <cell r="X214">
            <v>1</v>
          </cell>
          <cell r="Y214">
            <v>1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 t="str">
            <v>ISBL</v>
          </cell>
          <cell r="J215" t="str">
            <v>3</v>
          </cell>
          <cell r="K215">
            <v>0</v>
          </cell>
          <cell r="L215" t="str">
            <v>AC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S215">
            <v>0</v>
          </cell>
          <cell r="T215">
            <v>0</v>
          </cell>
          <cell r="X215">
            <v>0</v>
          </cell>
          <cell r="Y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 t="str">
            <v>ISBL</v>
          </cell>
          <cell r="J216" t="str">
            <v>3</v>
          </cell>
          <cell r="K216">
            <v>0</v>
          </cell>
          <cell r="L216" t="str">
            <v>AC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S216">
            <v>0</v>
          </cell>
          <cell r="T216">
            <v>0</v>
          </cell>
          <cell r="X216">
            <v>0</v>
          </cell>
          <cell r="Y216">
            <v>0</v>
          </cell>
        </row>
        <row r="217">
          <cell r="A217">
            <v>0</v>
          </cell>
          <cell r="B217" t="str">
            <v>51-P-1004</v>
          </cell>
          <cell r="C217" t="str">
            <v>Passivation Pump</v>
          </cell>
          <cell r="D217">
            <v>5101</v>
          </cell>
          <cell r="E217" t="str">
            <v>ISBL</v>
          </cell>
          <cell r="J217" t="str">
            <v>3</v>
          </cell>
          <cell r="K217">
            <v>690</v>
          </cell>
          <cell r="L217" t="str">
            <v>AC</v>
          </cell>
          <cell r="M217" t="str">
            <v>M</v>
          </cell>
          <cell r="N217" t="str">
            <v>N</v>
          </cell>
          <cell r="O217" t="str">
            <v/>
          </cell>
          <cell r="P217" t="str">
            <v>4850-MDB-205A</v>
          </cell>
          <cell r="Q217" t="str">
            <v>C</v>
          </cell>
          <cell r="S217">
            <v>4.95</v>
          </cell>
          <cell r="T217">
            <v>5.5</v>
          </cell>
          <cell r="X217">
            <v>0.87</v>
          </cell>
          <cell r="Y217">
            <v>0.85</v>
          </cell>
        </row>
        <row r="218">
          <cell r="A218">
            <v>0</v>
          </cell>
          <cell r="B218" t="str">
            <v>51-P-1006A</v>
          </cell>
          <cell r="C218" t="str">
            <v>Reactor Effluent Pumps</v>
          </cell>
          <cell r="D218">
            <v>5102</v>
          </cell>
          <cell r="E218" t="str">
            <v>ISBL</v>
          </cell>
          <cell r="J218" t="str">
            <v>3</v>
          </cell>
          <cell r="K218">
            <v>690</v>
          </cell>
          <cell r="L218" t="str">
            <v>AC</v>
          </cell>
          <cell r="M218" t="str">
            <v>M</v>
          </cell>
          <cell r="N218" t="str">
            <v>N</v>
          </cell>
          <cell r="O218" t="str">
            <v/>
          </cell>
          <cell r="P218" t="str">
            <v>4850-MDB-205B</v>
          </cell>
          <cell r="Q218" t="str">
            <v>C</v>
          </cell>
          <cell r="S218">
            <v>8.25</v>
          </cell>
          <cell r="T218">
            <v>11</v>
          </cell>
          <cell r="X218">
            <v>0.89500000000000002</v>
          </cell>
          <cell r="Y218">
            <v>0.85</v>
          </cell>
        </row>
        <row r="219">
          <cell r="A219">
            <v>0</v>
          </cell>
          <cell r="B219" t="str">
            <v>51-P-1006B</v>
          </cell>
          <cell r="C219" t="str">
            <v>Reactor Effluent Pumps</v>
          </cell>
          <cell r="D219">
            <v>5102</v>
          </cell>
          <cell r="E219" t="str">
            <v>ISBL</v>
          </cell>
          <cell r="J219" t="str">
            <v>3</v>
          </cell>
          <cell r="K219">
            <v>690</v>
          </cell>
          <cell r="L219" t="str">
            <v>AC</v>
          </cell>
          <cell r="M219" t="str">
            <v>M</v>
          </cell>
          <cell r="N219" t="str">
            <v>N</v>
          </cell>
          <cell r="O219" t="str">
            <v/>
          </cell>
          <cell r="P219" t="str">
            <v>4850-MDB-205A</v>
          </cell>
          <cell r="Q219" t="str">
            <v>S</v>
          </cell>
          <cell r="S219">
            <v>8.25</v>
          </cell>
          <cell r="T219">
            <v>11</v>
          </cell>
          <cell r="X219">
            <v>0.89500000000000002</v>
          </cell>
          <cell r="Y219">
            <v>0.85</v>
          </cell>
        </row>
        <row r="220">
          <cell r="A220">
            <v>0</v>
          </cell>
          <cell r="B220" t="str">
            <v>51-P-2002A</v>
          </cell>
          <cell r="C220" t="str">
            <v>Recycle Column Reflux Pumps</v>
          </cell>
          <cell r="D220">
            <v>5102</v>
          </cell>
          <cell r="E220" t="str">
            <v>ISBL</v>
          </cell>
          <cell r="J220" t="str">
            <v>3</v>
          </cell>
          <cell r="K220">
            <v>690</v>
          </cell>
          <cell r="L220" t="str">
            <v>AC</v>
          </cell>
          <cell r="M220" t="str">
            <v>M</v>
          </cell>
          <cell r="N220" t="str">
            <v>N</v>
          </cell>
          <cell r="O220" t="str">
            <v/>
          </cell>
          <cell r="P220" t="str">
            <v>4850-MDB-205B</v>
          </cell>
          <cell r="Q220" t="str">
            <v>C</v>
          </cell>
          <cell r="S220">
            <v>3</v>
          </cell>
          <cell r="T220">
            <v>4</v>
          </cell>
          <cell r="X220">
            <v>0.85</v>
          </cell>
          <cell r="Y220">
            <v>0.85</v>
          </cell>
        </row>
        <row r="221">
          <cell r="A221">
            <v>0</v>
          </cell>
          <cell r="B221" t="str">
            <v>51-P-2002B</v>
          </cell>
          <cell r="C221" t="str">
            <v>Recycle Column Reflux Pumps</v>
          </cell>
          <cell r="D221">
            <v>5102</v>
          </cell>
          <cell r="E221" t="str">
            <v>ISBL</v>
          </cell>
          <cell r="J221" t="str">
            <v>3</v>
          </cell>
          <cell r="K221">
            <v>690</v>
          </cell>
          <cell r="L221" t="str">
            <v>AC</v>
          </cell>
          <cell r="M221" t="str">
            <v>M</v>
          </cell>
          <cell r="N221" t="str">
            <v>N</v>
          </cell>
          <cell r="O221" t="str">
            <v/>
          </cell>
          <cell r="P221" t="str">
            <v>4850-MDB-205A</v>
          </cell>
          <cell r="Q221" t="str">
            <v>S</v>
          </cell>
          <cell r="S221">
            <v>3</v>
          </cell>
          <cell r="T221">
            <v>4</v>
          </cell>
          <cell r="X221">
            <v>0.85</v>
          </cell>
          <cell r="Y221">
            <v>0.85</v>
          </cell>
        </row>
        <row r="222">
          <cell r="A222">
            <v>0</v>
          </cell>
          <cell r="B222" t="str">
            <v>51-P-2004A</v>
          </cell>
          <cell r="C222" t="str">
            <v>Butene-1 Column Reflux Pumps</v>
          </cell>
          <cell r="D222">
            <v>5102</v>
          </cell>
          <cell r="E222" t="str">
            <v>ISBL</v>
          </cell>
          <cell r="J222" t="str">
            <v>3</v>
          </cell>
          <cell r="K222">
            <v>690</v>
          </cell>
          <cell r="L222" t="str">
            <v>AC</v>
          </cell>
          <cell r="M222" t="str">
            <v>M</v>
          </cell>
          <cell r="N222" t="str">
            <v>N</v>
          </cell>
          <cell r="O222" t="str">
            <v/>
          </cell>
          <cell r="P222" t="str">
            <v>4850-MDB-205B</v>
          </cell>
          <cell r="Q222" t="str">
            <v>C</v>
          </cell>
          <cell r="S222">
            <v>5.625</v>
          </cell>
          <cell r="T222">
            <v>7.5</v>
          </cell>
          <cell r="X222">
            <v>0.88200000000000001</v>
          </cell>
          <cell r="Y222">
            <v>0.85</v>
          </cell>
        </row>
        <row r="223">
          <cell r="A223">
            <v>0</v>
          </cell>
          <cell r="B223" t="str">
            <v>51-P-2004B</v>
          </cell>
          <cell r="C223" t="str">
            <v>Butene-1 Column Reflux Pumps</v>
          </cell>
          <cell r="D223">
            <v>5102</v>
          </cell>
          <cell r="E223" t="str">
            <v>ISBL</v>
          </cell>
          <cell r="J223" t="str">
            <v>3</v>
          </cell>
          <cell r="K223">
            <v>690</v>
          </cell>
          <cell r="L223" t="str">
            <v>AC</v>
          </cell>
          <cell r="M223" t="str">
            <v>M</v>
          </cell>
          <cell r="N223" t="str">
            <v>N</v>
          </cell>
          <cell r="O223" t="str">
            <v/>
          </cell>
          <cell r="P223" t="str">
            <v>4850-MDB-205A</v>
          </cell>
          <cell r="Q223" t="str">
            <v>S</v>
          </cell>
          <cell r="S223">
            <v>5.625</v>
          </cell>
          <cell r="T223">
            <v>7.5</v>
          </cell>
          <cell r="X223">
            <v>0.88200000000000001</v>
          </cell>
          <cell r="Y223">
            <v>0.85</v>
          </cell>
        </row>
        <row r="224">
          <cell r="A224">
            <v>0</v>
          </cell>
          <cell r="B224" t="str">
            <v>51-P-2007A</v>
          </cell>
          <cell r="C224" t="str">
            <v>Butene-1 Product Pumps</v>
          </cell>
          <cell r="D224">
            <v>5102</v>
          </cell>
          <cell r="E224" t="str">
            <v>ISBL</v>
          </cell>
          <cell r="J224" t="str">
            <v>3</v>
          </cell>
          <cell r="K224">
            <v>690</v>
          </cell>
          <cell r="L224" t="str">
            <v>AC</v>
          </cell>
          <cell r="M224" t="str">
            <v>M</v>
          </cell>
          <cell r="N224" t="str">
            <v>N</v>
          </cell>
          <cell r="O224" t="str">
            <v/>
          </cell>
          <cell r="P224" t="str">
            <v>4850-MDB-205B</v>
          </cell>
          <cell r="Q224" t="str">
            <v>C</v>
          </cell>
          <cell r="S224">
            <v>13.875</v>
          </cell>
          <cell r="T224">
            <v>18.5</v>
          </cell>
          <cell r="X224">
            <v>0.90700000000000003</v>
          </cell>
          <cell r="Y224">
            <v>0.85</v>
          </cell>
        </row>
        <row r="225">
          <cell r="A225">
            <v>0</v>
          </cell>
          <cell r="B225" t="str">
            <v>51-P-2007B</v>
          </cell>
          <cell r="C225" t="str">
            <v>Butene-1 Product Pumps</v>
          </cell>
          <cell r="D225">
            <v>5101</v>
          </cell>
          <cell r="E225" t="str">
            <v>ISBL</v>
          </cell>
          <cell r="J225" t="str">
            <v>3</v>
          </cell>
          <cell r="K225">
            <v>690</v>
          </cell>
          <cell r="L225" t="str">
            <v>AC</v>
          </cell>
          <cell r="M225" t="str">
            <v>M</v>
          </cell>
          <cell r="N225" t="str">
            <v>N</v>
          </cell>
          <cell r="O225" t="str">
            <v/>
          </cell>
          <cell r="P225" t="str">
            <v>4850-MDB-205A</v>
          </cell>
          <cell r="Q225" t="str">
            <v>C</v>
          </cell>
          <cell r="S225">
            <v>13.875</v>
          </cell>
          <cell r="T225">
            <v>18.5</v>
          </cell>
          <cell r="X225">
            <v>0.90700000000000003</v>
          </cell>
          <cell r="Y225">
            <v>0.85</v>
          </cell>
        </row>
        <row r="226">
          <cell r="A226">
            <v>0</v>
          </cell>
          <cell r="B226" t="str">
            <v>51-P-2007C</v>
          </cell>
          <cell r="C226" t="str">
            <v>Butene-1 Product Pumps</v>
          </cell>
          <cell r="D226">
            <v>5101</v>
          </cell>
          <cell r="E226" t="str">
            <v>ISBL</v>
          </cell>
          <cell r="J226" t="str">
            <v>3</v>
          </cell>
          <cell r="K226">
            <v>690</v>
          </cell>
          <cell r="L226" t="str">
            <v>AC</v>
          </cell>
          <cell r="M226" t="str">
            <v>M</v>
          </cell>
          <cell r="N226" t="str">
            <v>N</v>
          </cell>
          <cell r="O226" t="str">
            <v/>
          </cell>
          <cell r="P226" t="str">
            <v>4850-MDB-205B</v>
          </cell>
          <cell r="Q226" t="str">
            <v>S</v>
          </cell>
          <cell r="S226">
            <v>13.875</v>
          </cell>
          <cell r="T226">
            <v>18.5</v>
          </cell>
          <cell r="X226">
            <v>0.90700000000000003</v>
          </cell>
          <cell r="Y226">
            <v>0.85</v>
          </cell>
        </row>
        <row r="227">
          <cell r="A227">
            <v>0</v>
          </cell>
          <cell r="B227" t="str">
            <v>51-P-2006A</v>
          </cell>
          <cell r="C227" t="str">
            <v>C5+ Product Pumps</v>
          </cell>
          <cell r="D227">
            <v>5101</v>
          </cell>
          <cell r="E227" t="str">
            <v>ISBL</v>
          </cell>
          <cell r="J227" t="str">
            <v>3</v>
          </cell>
          <cell r="K227">
            <v>690</v>
          </cell>
          <cell r="L227" t="str">
            <v>AC</v>
          </cell>
          <cell r="M227" t="str">
            <v>M</v>
          </cell>
          <cell r="N227" t="str">
            <v>N</v>
          </cell>
          <cell r="O227" t="str">
            <v/>
          </cell>
          <cell r="P227" t="str">
            <v>4850-MDB-205A</v>
          </cell>
          <cell r="Q227" t="str">
            <v>C</v>
          </cell>
          <cell r="S227">
            <v>5.6</v>
          </cell>
          <cell r="T227">
            <v>7.5</v>
          </cell>
          <cell r="X227">
            <v>0.88200000000000001</v>
          </cell>
          <cell r="Y227">
            <v>0.85</v>
          </cell>
        </row>
        <row r="228">
          <cell r="A228">
            <v>0</v>
          </cell>
          <cell r="B228" t="str">
            <v>51-P-2006B</v>
          </cell>
          <cell r="C228" t="str">
            <v>C5+ Product Pumps</v>
          </cell>
          <cell r="D228">
            <v>5101</v>
          </cell>
          <cell r="E228" t="str">
            <v>ISBL</v>
          </cell>
          <cell r="J228" t="str">
            <v>3</v>
          </cell>
          <cell r="K228">
            <v>690</v>
          </cell>
          <cell r="L228" t="str">
            <v>AC</v>
          </cell>
          <cell r="M228" t="str">
            <v>M</v>
          </cell>
          <cell r="N228" t="str">
            <v>N</v>
          </cell>
          <cell r="O228" t="str">
            <v/>
          </cell>
          <cell r="P228" t="str">
            <v>4850-MDB-205B</v>
          </cell>
          <cell r="Q228" t="str">
            <v>S</v>
          </cell>
          <cell r="S228">
            <v>5.6</v>
          </cell>
          <cell r="T228">
            <v>7.5</v>
          </cell>
          <cell r="X228">
            <v>0.88200000000000001</v>
          </cell>
          <cell r="Y228">
            <v>0.85</v>
          </cell>
        </row>
        <row r="229">
          <cell r="A229">
            <v>0</v>
          </cell>
          <cell r="B229" t="str">
            <v>51-P-2001A</v>
          </cell>
          <cell r="C229" t="str">
            <v>Recycle Column Feed Pumps</v>
          </cell>
          <cell r="D229">
            <v>5102</v>
          </cell>
          <cell r="E229" t="str">
            <v>ISBL</v>
          </cell>
          <cell r="J229" t="str">
            <v>3</v>
          </cell>
          <cell r="K229">
            <v>690</v>
          </cell>
          <cell r="L229" t="str">
            <v>AC</v>
          </cell>
          <cell r="M229" t="str">
            <v>M</v>
          </cell>
          <cell r="N229" t="str">
            <v>N</v>
          </cell>
          <cell r="O229" t="str">
            <v/>
          </cell>
          <cell r="P229" t="str">
            <v>4850-MDB-205A</v>
          </cell>
          <cell r="Q229" t="str">
            <v>C</v>
          </cell>
          <cell r="S229">
            <v>23.3</v>
          </cell>
          <cell r="T229">
            <v>30</v>
          </cell>
          <cell r="X229">
            <v>0.92</v>
          </cell>
          <cell r="Y229">
            <v>0.85</v>
          </cell>
        </row>
        <row r="230">
          <cell r="A230">
            <v>0</v>
          </cell>
          <cell r="B230" t="str">
            <v>51-P-2001B</v>
          </cell>
          <cell r="C230" t="str">
            <v>Recycle Column Feed Pumps</v>
          </cell>
          <cell r="D230">
            <v>5102</v>
          </cell>
          <cell r="E230" t="str">
            <v>ISBL</v>
          </cell>
          <cell r="J230" t="str">
            <v>3</v>
          </cell>
          <cell r="K230">
            <v>690</v>
          </cell>
          <cell r="L230" t="str">
            <v>AC</v>
          </cell>
          <cell r="M230" t="str">
            <v>M</v>
          </cell>
          <cell r="N230" t="str">
            <v>N</v>
          </cell>
          <cell r="O230" t="str">
            <v/>
          </cell>
          <cell r="P230" t="str">
            <v>4850-MDB-205B</v>
          </cell>
          <cell r="Q230" t="str">
            <v>S</v>
          </cell>
          <cell r="S230">
            <v>23.3</v>
          </cell>
          <cell r="T230">
            <v>30</v>
          </cell>
          <cell r="X230">
            <v>0.92</v>
          </cell>
          <cell r="Y230">
            <v>0.85</v>
          </cell>
        </row>
        <row r="231">
          <cell r="A231">
            <v>0</v>
          </cell>
          <cell r="B231" t="str">
            <v>56-P-1001A</v>
          </cell>
          <cell r="C231" t="str">
            <v>Condensate Knockout Pot Pump</v>
          </cell>
          <cell r="D231">
            <v>5101</v>
          </cell>
          <cell r="E231" t="str">
            <v>ISBL</v>
          </cell>
          <cell r="J231" t="str">
            <v>3</v>
          </cell>
          <cell r="K231">
            <v>690</v>
          </cell>
          <cell r="L231" t="str">
            <v>AC</v>
          </cell>
          <cell r="M231" t="str">
            <v>M</v>
          </cell>
          <cell r="N231" t="str">
            <v>N</v>
          </cell>
          <cell r="O231">
            <v>0</v>
          </cell>
          <cell r="P231" t="str">
            <v>4850-MDB-205A</v>
          </cell>
          <cell r="Q231" t="str">
            <v>C</v>
          </cell>
          <cell r="S231">
            <v>18</v>
          </cell>
          <cell r="T231">
            <v>20</v>
          </cell>
          <cell r="X231">
            <v>0.90700000000000003</v>
          </cell>
          <cell r="Y231">
            <v>0.85</v>
          </cell>
        </row>
        <row r="232">
          <cell r="A232">
            <v>0</v>
          </cell>
          <cell r="B232" t="str">
            <v>56-P-1001B</v>
          </cell>
          <cell r="C232" t="str">
            <v>Condensate Knockout Pot Pump</v>
          </cell>
          <cell r="D232">
            <v>5101</v>
          </cell>
          <cell r="E232" t="str">
            <v>ISBL</v>
          </cell>
          <cell r="J232" t="str">
            <v>3</v>
          </cell>
          <cell r="K232">
            <v>690</v>
          </cell>
          <cell r="L232" t="str">
            <v>AC</v>
          </cell>
          <cell r="M232" t="str">
            <v>M</v>
          </cell>
          <cell r="N232" t="str">
            <v>N</v>
          </cell>
          <cell r="O232">
            <v>0</v>
          </cell>
          <cell r="P232" t="str">
            <v>4850-MDB-205B</v>
          </cell>
          <cell r="Q232" t="str">
            <v>S</v>
          </cell>
          <cell r="S232">
            <v>18</v>
          </cell>
          <cell r="T232">
            <v>20</v>
          </cell>
          <cell r="X232">
            <v>0.90700000000000003</v>
          </cell>
          <cell r="Y232">
            <v>0.85</v>
          </cell>
        </row>
        <row r="233">
          <cell r="A233">
            <v>0</v>
          </cell>
          <cell r="B233" t="str">
            <v>56-P-8001A</v>
          </cell>
          <cell r="C233" t="str">
            <v>Waste Storm Water Pump</v>
          </cell>
          <cell r="D233" t="str">
            <v>x</v>
          </cell>
          <cell r="E233" t="str">
            <v>ISBL</v>
          </cell>
          <cell r="J233" t="str">
            <v>3</v>
          </cell>
          <cell r="K233">
            <v>690</v>
          </cell>
          <cell r="L233" t="str">
            <v>AC</v>
          </cell>
          <cell r="M233" t="str">
            <v>M</v>
          </cell>
          <cell r="N233" t="str">
            <v>N</v>
          </cell>
          <cell r="O233">
            <v>0</v>
          </cell>
          <cell r="P233" t="str">
            <v>4850-MDB-205A</v>
          </cell>
          <cell r="Q233" t="str">
            <v>I</v>
          </cell>
          <cell r="S233">
            <v>27</v>
          </cell>
          <cell r="T233">
            <v>30</v>
          </cell>
          <cell r="X233">
            <v>0.92</v>
          </cell>
          <cell r="Y233">
            <v>0.85</v>
          </cell>
        </row>
        <row r="234">
          <cell r="A234">
            <v>0</v>
          </cell>
          <cell r="B234" t="str">
            <v>56-P-8001B</v>
          </cell>
          <cell r="C234" t="str">
            <v>Waste Storm Water Pump</v>
          </cell>
          <cell r="D234" t="str">
            <v>x</v>
          </cell>
          <cell r="E234" t="str">
            <v>ISBL</v>
          </cell>
          <cell r="J234" t="str">
            <v>3</v>
          </cell>
          <cell r="K234">
            <v>690</v>
          </cell>
          <cell r="L234" t="str">
            <v>AC</v>
          </cell>
          <cell r="M234" t="str">
            <v>M</v>
          </cell>
          <cell r="N234" t="str">
            <v>N</v>
          </cell>
          <cell r="O234">
            <v>0</v>
          </cell>
          <cell r="P234" t="str">
            <v>4850-MDB-205B</v>
          </cell>
          <cell r="Q234" t="str">
            <v>S</v>
          </cell>
          <cell r="S234">
            <v>27</v>
          </cell>
          <cell r="T234">
            <v>30</v>
          </cell>
          <cell r="X234">
            <v>0.92</v>
          </cell>
          <cell r="Y234">
            <v>0.85</v>
          </cell>
        </row>
        <row r="235">
          <cell r="A235">
            <v>0</v>
          </cell>
          <cell r="B235" t="str">
            <v>51-P-1005A</v>
          </cell>
          <cell r="C235" t="str">
            <v>Pumpout Pumps</v>
          </cell>
          <cell r="D235">
            <v>5101</v>
          </cell>
          <cell r="E235" t="str">
            <v>ISBL</v>
          </cell>
          <cell r="J235" t="str">
            <v>3</v>
          </cell>
          <cell r="K235">
            <v>690</v>
          </cell>
          <cell r="L235" t="str">
            <v>AC</v>
          </cell>
          <cell r="M235" t="str">
            <v>M</v>
          </cell>
          <cell r="N235" t="str">
            <v>N</v>
          </cell>
          <cell r="O235" t="str">
            <v/>
          </cell>
          <cell r="P235" t="str">
            <v>4850-MDB-205B</v>
          </cell>
          <cell r="Q235" t="str">
            <v>I</v>
          </cell>
          <cell r="S235">
            <v>2.1</v>
          </cell>
          <cell r="T235">
            <v>3</v>
          </cell>
          <cell r="X235">
            <v>0.82099999999999995</v>
          </cell>
          <cell r="Y235">
            <v>0.85</v>
          </cell>
        </row>
        <row r="236">
          <cell r="A236">
            <v>0</v>
          </cell>
          <cell r="B236" t="str">
            <v>51-P-1005B</v>
          </cell>
          <cell r="C236" t="str">
            <v>Pumpout Pumps</v>
          </cell>
          <cell r="D236">
            <v>5101</v>
          </cell>
          <cell r="E236" t="str">
            <v>ISBL</v>
          </cell>
          <cell r="J236" t="str">
            <v>3</v>
          </cell>
          <cell r="K236">
            <v>690</v>
          </cell>
          <cell r="L236" t="str">
            <v>AC</v>
          </cell>
          <cell r="M236" t="str">
            <v>M</v>
          </cell>
          <cell r="N236" t="str">
            <v>N</v>
          </cell>
          <cell r="O236">
            <v>0</v>
          </cell>
          <cell r="P236" t="str">
            <v>4850-MDB-205A</v>
          </cell>
          <cell r="Q236" t="str">
            <v>S</v>
          </cell>
          <cell r="S236">
            <v>2.1</v>
          </cell>
          <cell r="T236">
            <v>3</v>
          </cell>
          <cell r="X236">
            <v>0.82099999999999995</v>
          </cell>
          <cell r="Y236">
            <v>0.85</v>
          </cell>
        </row>
        <row r="237">
          <cell r="A237">
            <v>0</v>
          </cell>
          <cell r="B237" t="str">
            <v>51-PK-1001-1A</v>
          </cell>
          <cell r="C237" t="str">
            <v>TEA Blending Pumps</v>
          </cell>
          <cell r="D237">
            <v>5101</v>
          </cell>
          <cell r="E237" t="str">
            <v>ISBL</v>
          </cell>
          <cell r="J237" t="str">
            <v>3</v>
          </cell>
          <cell r="K237">
            <v>690</v>
          </cell>
          <cell r="L237" t="str">
            <v>AC</v>
          </cell>
          <cell r="M237" t="str">
            <v>M</v>
          </cell>
          <cell r="N237" t="str">
            <v>N</v>
          </cell>
          <cell r="O237">
            <v>0</v>
          </cell>
          <cell r="P237" t="str">
            <v>4850-MDB-205A</v>
          </cell>
          <cell r="Q237" t="str">
            <v>C</v>
          </cell>
          <cell r="S237">
            <v>8.25</v>
          </cell>
          <cell r="T237">
            <v>11</v>
          </cell>
          <cell r="X237">
            <v>0.89500000000000002</v>
          </cell>
          <cell r="Y237">
            <v>0.85</v>
          </cell>
        </row>
        <row r="238">
          <cell r="A238">
            <v>0</v>
          </cell>
          <cell r="B238" t="str">
            <v>51-PK-1001-1B</v>
          </cell>
          <cell r="C238" t="str">
            <v>TEA Blending Pumps</v>
          </cell>
          <cell r="D238">
            <v>5101</v>
          </cell>
          <cell r="E238" t="str">
            <v>ISBL</v>
          </cell>
          <cell r="J238" t="str">
            <v>3</v>
          </cell>
          <cell r="K238">
            <v>690</v>
          </cell>
          <cell r="L238" t="str">
            <v>AC</v>
          </cell>
          <cell r="M238" t="str">
            <v>M</v>
          </cell>
          <cell r="N238" t="str">
            <v>N</v>
          </cell>
          <cell r="O238">
            <v>0</v>
          </cell>
          <cell r="P238" t="str">
            <v>4850-MDB-205B</v>
          </cell>
          <cell r="Q238" t="str">
            <v>S</v>
          </cell>
          <cell r="S238">
            <v>8.25</v>
          </cell>
          <cell r="T238">
            <v>11</v>
          </cell>
          <cell r="X238">
            <v>0.89500000000000002</v>
          </cell>
          <cell r="Y238">
            <v>0.85</v>
          </cell>
        </row>
        <row r="239">
          <cell r="A239" t="str">
            <v>PEU-2</v>
          </cell>
          <cell r="B239" t="str">
            <v>41-E-2000</v>
          </cell>
          <cell r="C239" t="str">
            <v>Ethylene Feed Vaporizer</v>
          </cell>
          <cell r="D239">
            <v>4103</v>
          </cell>
          <cell r="E239" t="str">
            <v>ISBL</v>
          </cell>
          <cell r="J239" t="str">
            <v>3</v>
          </cell>
          <cell r="K239">
            <v>690</v>
          </cell>
          <cell r="L239" t="str">
            <v>AC</v>
          </cell>
          <cell r="M239" t="str">
            <v>F</v>
          </cell>
          <cell r="N239" t="str">
            <v>N</v>
          </cell>
          <cell r="O239" t="str">
            <v/>
          </cell>
          <cell r="P239" t="str">
            <v>4850-MDB-205B</v>
          </cell>
          <cell r="Q239" t="str">
            <v>C</v>
          </cell>
          <cell r="S239">
            <v>160</v>
          </cell>
          <cell r="T239">
            <v>200</v>
          </cell>
          <cell r="X239">
            <v>1</v>
          </cell>
          <cell r="Y239">
            <v>0.85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 t="str">
            <v>ISBL</v>
          </cell>
          <cell r="J240" t="str">
            <v>3</v>
          </cell>
          <cell r="K240">
            <v>0</v>
          </cell>
          <cell r="L240" t="str">
            <v>AC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S240">
            <v>0</v>
          </cell>
          <cell r="T240">
            <v>0</v>
          </cell>
          <cell r="X240">
            <v>0</v>
          </cell>
          <cell r="Y240">
            <v>0</v>
          </cell>
        </row>
        <row r="241">
          <cell r="A241">
            <v>0</v>
          </cell>
          <cell r="B241" t="str">
            <v>4850-XDB-301</v>
          </cell>
          <cell r="C241" t="str">
            <v>Maintenance Receptacle PDP</v>
          </cell>
          <cell r="D241">
            <v>4850</v>
          </cell>
          <cell r="E241" t="str">
            <v>ISBL</v>
          </cell>
          <cell r="J241" t="str">
            <v>3</v>
          </cell>
          <cell r="K241">
            <v>690</v>
          </cell>
          <cell r="L241" t="str">
            <v>AC</v>
          </cell>
          <cell r="M241" t="str">
            <v>F</v>
          </cell>
          <cell r="N241" t="str">
            <v>N</v>
          </cell>
          <cell r="O241">
            <v>0</v>
          </cell>
          <cell r="P241" t="str">
            <v>4850-MDB-205A</v>
          </cell>
          <cell r="Q241" t="str">
            <v>C</v>
          </cell>
          <cell r="S241">
            <v>160</v>
          </cell>
          <cell r="T241">
            <v>200</v>
          </cell>
          <cell r="X241">
            <v>1</v>
          </cell>
          <cell r="Y241">
            <v>0.85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 t="str">
            <v>ISBL</v>
          </cell>
          <cell r="J242" t="str">
            <v>3</v>
          </cell>
          <cell r="K242">
            <v>0</v>
          </cell>
          <cell r="L242" t="str">
            <v>AC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S242">
            <v>0</v>
          </cell>
          <cell r="T242">
            <v>0</v>
          </cell>
          <cell r="X242">
            <v>0</v>
          </cell>
          <cell r="Y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 t="str">
            <v>ISBL</v>
          </cell>
          <cell r="J243" t="str">
            <v>3</v>
          </cell>
          <cell r="K243">
            <v>0</v>
          </cell>
          <cell r="L243" t="str">
            <v>AC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S243">
            <v>0</v>
          </cell>
          <cell r="T243">
            <v>0</v>
          </cell>
          <cell r="X243">
            <v>0</v>
          </cell>
          <cell r="Y243">
            <v>0</v>
          </cell>
        </row>
        <row r="244">
          <cell r="A244" t="str">
            <v>PEU-2</v>
          </cell>
          <cell r="B244" t="str">
            <v>MRR-001</v>
          </cell>
          <cell r="C244" t="str">
            <v>Maintenance Receptacle-Process Area-01</v>
          </cell>
          <cell r="D244">
            <v>0</v>
          </cell>
          <cell r="E244" t="str">
            <v>ISBL</v>
          </cell>
          <cell r="J244" t="str">
            <v>3</v>
          </cell>
          <cell r="K244">
            <v>690</v>
          </cell>
          <cell r="L244" t="str">
            <v>AC</v>
          </cell>
          <cell r="M244" t="str">
            <v>F</v>
          </cell>
          <cell r="N244" t="str">
            <v>N</v>
          </cell>
          <cell r="O244">
            <v>0</v>
          </cell>
          <cell r="P244" t="str">
            <v>4850-XDB-301A</v>
          </cell>
          <cell r="Q244" t="str">
            <v>I</v>
          </cell>
          <cell r="S244">
            <v>100</v>
          </cell>
          <cell r="T244">
            <v>125</v>
          </cell>
          <cell r="X244">
            <v>1</v>
          </cell>
          <cell r="Y244">
            <v>0.85</v>
          </cell>
        </row>
        <row r="245">
          <cell r="A245" t="str">
            <v>PEU-2</v>
          </cell>
          <cell r="B245" t="str">
            <v>MRR-002</v>
          </cell>
          <cell r="C245" t="str">
            <v>Maintenance Receptacle-Process Area-02</v>
          </cell>
          <cell r="D245">
            <v>0</v>
          </cell>
          <cell r="E245" t="str">
            <v>ISBL</v>
          </cell>
          <cell r="J245" t="str">
            <v>3</v>
          </cell>
          <cell r="K245">
            <v>690</v>
          </cell>
          <cell r="L245" t="str">
            <v>AC</v>
          </cell>
          <cell r="M245" t="str">
            <v>F</v>
          </cell>
          <cell r="N245" t="str">
            <v>N</v>
          </cell>
          <cell r="O245">
            <v>0</v>
          </cell>
          <cell r="P245" t="str">
            <v>4850-XDB-301A</v>
          </cell>
          <cell r="Q245" t="str">
            <v>I</v>
          </cell>
          <cell r="S245">
            <v>100</v>
          </cell>
          <cell r="T245">
            <v>125</v>
          </cell>
          <cell r="X245">
            <v>1</v>
          </cell>
          <cell r="Y245">
            <v>0.85</v>
          </cell>
        </row>
        <row r="246">
          <cell r="A246" t="str">
            <v>PEU-2</v>
          </cell>
          <cell r="B246" t="str">
            <v>MRR-003</v>
          </cell>
          <cell r="C246" t="str">
            <v>Maintenance Receptacle-Process Area-03</v>
          </cell>
          <cell r="D246">
            <v>0</v>
          </cell>
          <cell r="E246" t="str">
            <v>ISBL</v>
          </cell>
          <cell r="J246" t="str">
            <v>3</v>
          </cell>
          <cell r="K246">
            <v>690</v>
          </cell>
          <cell r="L246" t="str">
            <v>AC</v>
          </cell>
          <cell r="M246" t="str">
            <v>F</v>
          </cell>
          <cell r="N246" t="str">
            <v>N</v>
          </cell>
          <cell r="O246">
            <v>0</v>
          </cell>
          <cell r="P246" t="str">
            <v>4850-XDB-301A</v>
          </cell>
          <cell r="Q246" t="str">
            <v>I</v>
          </cell>
          <cell r="S246">
            <v>100</v>
          </cell>
          <cell r="T246">
            <v>125</v>
          </cell>
          <cell r="X246">
            <v>1</v>
          </cell>
          <cell r="Y246">
            <v>0.85</v>
          </cell>
        </row>
        <row r="247">
          <cell r="A247" t="str">
            <v>PEU-2</v>
          </cell>
          <cell r="B247" t="str">
            <v>MRR-004</v>
          </cell>
          <cell r="C247" t="str">
            <v>Maintenance Receptacle-Process Area-04</v>
          </cell>
          <cell r="D247">
            <v>0</v>
          </cell>
          <cell r="E247" t="str">
            <v>ISBL</v>
          </cell>
          <cell r="J247" t="str">
            <v>3</v>
          </cell>
          <cell r="K247">
            <v>690</v>
          </cell>
          <cell r="L247" t="str">
            <v>AC</v>
          </cell>
          <cell r="M247" t="str">
            <v>F</v>
          </cell>
          <cell r="N247" t="str">
            <v>N</v>
          </cell>
          <cell r="O247">
            <v>0</v>
          </cell>
          <cell r="P247" t="str">
            <v>4850-XDB-301A</v>
          </cell>
          <cell r="Q247" t="str">
            <v>I</v>
          </cell>
          <cell r="S247">
            <v>100</v>
          </cell>
          <cell r="T247">
            <v>125</v>
          </cell>
          <cell r="X247">
            <v>1</v>
          </cell>
          <cell r="Y247">
            <v>0.85</v>
          </cell>
        </row>
        <row r="248">
          <cell r="A248" t="str">
            <v>PEU-2</v>
          </cell>
          <cell r="B248" t="str">
            <v>MRR-005</v>
          </cell>
          <cell r="C248" t="str">
            <v>Maintenance Receptacle-Process Area-05</v>
          </cell>
          <cell r="D248">
            <v>0</v>
          </cell>
          <cell r="E248" t="str">
            <v>ISBL</v>
          </cell>
          <cell r="J248" t="str">
            <v>3</v>
          </cell>
          <cell r="K248">
            <v>690</v>
          </cell>
          <cell r="L248" t="str">
            <v>AC</v>
          </cell>
          <cell r="M248" t="str">
            <v>F</v>
          </cell>
          <cell r="N248" t="str">
            <v>N</v>
          </cell>
          <cell r="O248">
            <v>0</v>
          </cell>
          <cell r="P248" t="str">
            <v>4850-XDB-301A</v>
          </cell>
          <cell r="Q248" t="str">
            <v>I</v>
          </cell>
          <cell r="S248">
            <v>100</v>
          </cell>
          <cell r="T248">
            <v>125</v>
          </cell>
          <cell r="X248">
            <v>1</v>
          </cell>
          <cell r="Y248">
            <v>0.85</v>
          </cell>
        </row>
        <row r="249">
          <cell r="A249" t="str">
            <v>PEU-2</v>
          </cell>
          <cell r="B249" t="str">
            <v>MRR-006</v>
          </cell>
          <cell r="C249" t="str">
            <v>Maintenance Receptacle-Process Area-06</v>
          </cell>
          <cell r="D249">
            <v>0</v>
          </cell>
          <cell r="E249" t="str">
            <v>ISBL</v>
          </cell>
          <cell r="J249" t="str">
            <v>3</v>
          </cell>
          <cell r="K249">
            <v>690</v>
          </cell>
          <cell r="L249" t="str">
            <v>AC</v>
          </cell>
          <cell r="M249" t="str">
            <v>F</v>
          </cell>
          <cell r="N249" t="str">
            <v>N</v>
          </cell>
          <cell r="O249">
            <v>0</v>
          </cell>
          <cell r="P249" t="str">
            <v>4850-XDB-301A</v>
          </cell>
          <cell r="Q249" t="str">
            <v>I</v>
          </cell>
          <cell r="S249">
            <v>100</v>
          </cell>
          <cell r="T249">
            <v>125</v>
          </cell>
          <cell r="X249">
            <v>1</v>
          </cell>
          <cell r="Y249">
            <v>0.85</v>
          </cell>
        </row>
        <row r="250">
          <cell r="A250" t="str">
            <v>PEU-2</v>
          </cell>
          <cell r="B250" t="str">
            <v>MRR-007</v>
          </cell>
          <cell r="C250" t="str">
            <v>Maintenance Receptacle-Process Area-07</v>
          </cell>
          <cell r="D250">
            <v>0</v>
          </cell>
          <cell r="E250" t="str">
            <v>ISBL</v>
          </cell>
          <cell r="J250" t="str">
            <v>3</v>
          </cell>
          <cell r="K250">
            <v>690</v>
          </cell>
          <cell r="L250" t="str">
            <v>AC</v>
          </cell>
          <cell r="M250" t="str">
            <v>F</v>
          </cell>
          <cell r="N250" t="str">
            <v>N</v>
          </cell>
          <cell r="O250">
            <v>0</v>
          </cell>
          <cell r="P250" t="str">
            <v>4850-XDB-301A</v>
          </cell>
          <cell r="Q250" t="str">
            <v>I</v>
          </cell>
          <cell r="S250">
            <v>100</v>
          </cell>
          <cell r="T250">
            <v>125</v>
          </cell>
          <cell r="X250">
            <v>1</v>
          </cell>
          <cell r="Y250">
            <v>0.85</v>
          </cell>
        </row>
        <row r="251">
          <cell r="A251" t="str">
            <v>PEU-2</v>
          </cell>
          <cell r="B251" t="str">
            <v>MRR-008</v>
          </cell>
          <cell r="C251" t="str">
            <v>Maintenance Receptacle-Process Area-08</v>
          </cell>
          <cell r="D251">
            <v>0</v>
          </cell>
          <cell r="E251" t="str">
            <v>ISBL</v>
          </cell>
          <cell r="J251" t="str">
            <v>3</v>
          </cell>
          <cell r="K251">
            <v>690</v>
          </cell>
          <cell r="L251" t="str">
            <v>AC</v>
          </cell>
          <cell r="M251" t="str">
            <v>F</v>
          </cell>
          <cell r="N251" t="str">
            <v>N</v>
          </cell>
          <cell r="O251">
            <v>0</v>
          </cell>
          <cell r="P251" t="str">
            <v>4850-XDB-301A</v>
          </cell>
          <cell r="Q251" t="str">
            <v>I</v>
          </cell>
          <cell r="S251">
            <v>100</v>
          </cell>
          <cell r="T251">
            <v>125</v>
          </cell>
          <cell r="X251">
            <v>1</v>
          </cell>
          <cell r="Y251">
            <v>0.85</v>
          </cell>
        </row>
        <row r="252">
          <cell r="A252" t="str">
            <v>PEU-2</v>
          </cell>
          <cell r="B252" t="str">
            <v>MRR-009</v>
          </cell>
          <cell r="C252" t="str">
            <v>Maintenance Receptacle-Process Area-09</v>
          </cell>
          <cell r="D252">
            <v>0</v>
          </cell>
          <cell r="E252" t="str">
            <v>ISBL</v>
          </cell>
          <cell r="J252" t="str">
            <v>3</v>
          </cell>
          <cell r="K252">
            <v>690</v>
          </cell>
          <cell r="L252" t="str">
            <v>AC</v>
          </cell>
          <cell r="M252" t="str">
            <v>F</v>
          </cell>
          <cell r="N252" t="str">
            <v>N</v>
          </cell>
          <cell r="O252">
            <v>0</v>
          </cell>
          <cell r="P252" t="str">
            <v>4850-XDB-301A</v>
          </cell>
          <cell r="Q252" t="str">
            <v>I</v>
          </cell>
          <cell r="S252">
            <v>100</v>
          </cell>
          <cell r="T252">
            <v>125</v>
          </cell>
          <cell r="X252">
            <v>1</v>
          </cell>
          <cell r="Y252">
            <v>0.85</v>
          </cell>
        </row>
        <row r="253">
          <cell r="A253" t="str">
            <v>PEU-2</v>
          </cell>
          <cell r="B253" t="str">
            <v>MRR-010</v>
          </cell>
          <cell r="C253" t="str">
            <v>Maintenance Receptacle-Process Area-10</v>
          </cell>
          <cell r="D253">
            <v>0</v>
          </cell>
          <cell r="E253" t="str">
            <v>ISBL</v>
          </cell>
          <cell r="J253" t="str">
            <v>3</v>
          </cell>
          <cell r="K253">
            <v>690</v>
          </cell>
          <cell r="L253" t="str">
            <v>AC</v>
          </cell>
          <cell r="M253" t="str">
            <v>F</v>
          </cell>
          <cell r="N253" t="str">
            <v>N</v>
          </cell>
          <cell r="O253">
            <v>0</v>
          </cell>
          <cell r="P253" t="str">
            <v>4850-XDB-301A</v>
          </cell>
          <cell r="Q253" t="str">
            <v>I</v>
          </cell>
          <cell r="S253">
            <v>100</v>
          </cell>
          <cell r="T253">
            <v>125</v>
          </cell>
          <cell r="X253">
            <v>1</v>
          </cell>
          <cell r="Y253">
            <v>0.85</v>
          </cell>
        </row>
        <row r="254">
          <cell r="A254" t="str">
            <v>PEU-2</v>
          </cell>
          <cell r="B254" t="str">
            <v>MRR-011</v>
          </cell>
          <cell r="C254" t="str">
            <v>Maintenance Receptacle-Process Area-11</v>
          </cell>
          <cell r="D254">
            <v>0</v>
          </cell>
          <cell r="E254" t="str">
            <v>ISBL</v>
          </cell>
          <cell r="J254" t="str">
            <v>3</v>
          </cell>
          <cell r="K254">
            <v>690</v>
          </cell>
          <cell r="L254" t="str">
            <v>AC</v>
          </cell>
          <cell r="M254" t="str">
            <v>F</v>
          </cell>
          <cell r="N254" t="str">
            <v>N</v>
          </cell>
          <cell r="O254">
            <v>0</v>
          </cell>
          <cell r="P254" t="str">
            <v>4850-XDB-301A</v>
          </cell>
          <cell r="Q254" t="str">
            <v>I</v>
          </cell>
          <cell r="S254">
            <v>100</v>
          </cell>
          <cell r="T254">
            <v>125</v>
          </cell>
          <cell r="X254">
            <v>1</v>
          </cell>
          <cell r="Y254">
            <v>0.85</v>
          </cell>
        </row>
        <row r="255">
          <cell r="A255" t="str">
            <v>C/T</v>
          </cell>
          <cell r="B255" t="str">
            <v>MRR-012</v>
          </cell>
          <cell r="C255" t="str">
            <v>Maintenance Receptacle-C/T Area-12</v>
          </cell>
          <cell r="D255">
            <v>0</v>
          </cell>
          <cell r="E255" t="str">
            <v>ISBL</v>
          </cell>
          <cell r="J255" t="str">
            <v>3</v>
          </cell>
          <cell r="K255">
            <v>690</v>
          </cell>
          <cell r="L255" t="str">
            <v>AC</v>
          </cell>
          <cell r="M255" t="str">
            <v>F</v>
          </cell>
          <cell r="N255" t="str">
            <v>N</v>
          </cell>
          <cell r="O255">
            <v>0</v>
          </cell>
          <cell r="P255" t="str">
            <v>4850-XDB-301A</v>
          </cell>
          <cell r="Q255" t="str">
            <v>I</v>
          </cell>
          <cell r="S255">
            <v>100</v>
          </cell>
          <cell r="T255">
            <v>125</v>
          </cell>
          <cell r="X255">
            <v>1</v>
          </cell>
          <cell r="Y255">
            <v>0.85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 t="str">
            <v>ISBL</v>
          </cell>
          <cell r="J256" t="str">
            <v>3</v>
          </cell>
          <cell r="K256">
            <v>0</v>
          </cell>
          <cell r="L256" t="str">
            <v>AC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S256">
            <v>0</v>
          </cell>
          <cell r="T256">
            <v>0</v>
          </cell>
          <cell r="X256">
            <v>0</v>
          </cell>
          <cell r="Y256">
            <v>0</v>
          </cell>
        </row>
        <row r="257">
          <cell r="A257">
            <v>0</v>
          </cell>
          <cell r="B257" t="str">
            <v>MRR-B01</v>
          </cell>
          <cell r="C257" t="str">
            <v>Maintenance Receptacle-ButeneArea-01</v>
          </cell>
          <cell r="D257">
            <v>0</v>
          </cell>
          <cell r="E257" t="str">
            <v>ISBL</v>
          </cell>
          <cell r="J257" t="str">
            <v>3</v>
          </cell>
          <cell r="K257">
            <v>690</v>
          </cell>
          <cell r="L257" t="str">
            <v>AC</v>
          </cell>
          <cell r="M257" t="str">
            <v>F</v>
          </cell>
          <cell r="N257" t="str">
            <v>N</v>
          </cell>
          <cell r="O257">
            <v>0</v>
          </cell>
          <cell r="P257" t="str">
            <v>4850-XDB-301A</v>
          </cell>
          <cell r="Q257" t="str">
            <v>I</v>
          </cell>
          <cell r="S257">
            <v>100</v>
          </cell>
          <cell r="T257">
            <v>125</v>
          </cell>
          <cell r="X257">
            <v>1</v>
          </cell>
          <cell r="Y257">
            <v>0.85</v>
          </cell>
        </row>
        <row r="258">
          <cell r="A258">
            <v>0</v>
          </cell>
          <cell r="B258" t="str">
            <v>MRR-B02</v>
          </cell>
          <cell r="C258" t="str">
            <v>Maintenance Receptacle-ButeneArea-02</v>
          </cell>
          <cell r="D258">
            <v>0</v>
          </cell>
          <cell r="E258" t="str">
            <v>ISBL</v>
          </cell>
          <cell r="J258" t="str">
            <v>3</v>
          </cell>
          <cell r="K258">
            <v>690</v>
          </cell>
          <cell r="L258" t="str">
            <v>AC</v>
          </cell>
          <cell r="M258" t="str">
            <v>F</v>
          </cell>
          <cell r="N258" t="str">
            <v>N</v>
          </cell>
          <cell r="O258">
            <v>0</v>
          </cell>
          <cell r="P258" t="str">
            <v>4850-XDB-301A</v>
          </cell>
          <cell r="Q258" t="str">
            <v>I</v>
          </cell>
          <cell r="S258">
            <v>100</v>
          </cell>
          <cell r="T258">
            <v>125</v>
          </cell>
          <cell r="X258">
            <v>1</v>
          </cell>
          <cell r="Y258">
            <v>0.85</v>
          </cell>
        </row>
        <row r="259">
          <cell r="A259">
            <v>0</v>
          </cell>
          <cell r="B259" t="str">
            <v>MRR-B03</v>
          </cell>
          <cell r="C259" t="str">
            <v>Maintenance Receptacle-ButeneArea-03</v>
          </cell>
          <cell r="D259">
            <v>0</v>
          </cell>
          <cell r="E259" t="str">
            <v>ISBL</v>
          </cell>
          <cell r="J259" t="str">
            <v>3</v>
          </cell>
          <cell r="K259">
            <v>690</v>
          </cell>
          <cell r="L259" t="str">
            <v>AC</v>
          </cell>
          <cell r="M259" t="str">
            <v>F</v>
          </cell>
          <cell r="N259" t="str">
            <v>N</v>
          </cell>
          <cell r="O259">
            <v>0</v>
          </cell>
          <cell r="P259" t="str">
            <v>4850-XDB-301A</v>
          </cell>
          <cell r="Q259" t="str">
            <v>I</v>
          </cell>
          <cell r="S259">
            <v>100</v>
          </cell>
          <cell r="T259">
            <v>125</v>
          </cell>
          <cell r="X259">
            <v>1</v>
          </cell>
          <cell r="Y259">
            <v>0.85</v>
          </cell>
        </row>
        <row r="260">
          <cell r="A260">
            <v>0</v>
          </cell>
          <cell r="B260" t="str">
            <v>MRR-B04</v>
          </cell>
          <cell r="C260" t="str">
            <v>Maintenance Receptacle-ButeneArea-04</v>
          </cell>
          <cell r="D260">
            <v>0</v>
          </cell>
          <cell r="E260" t="str">
            <v>ISBL</v>
          </cell>
          <cell r="J260" t="str">
            <v>3</v>
          </cell>
          <cell r="K260">
            <v>690</v>
          </cell>
          <cell r="L260" t="str">
            <v>AC</v>
          </cell>
          <cell r="M260" t="str">
            <v>F</v>
          </cell>
          <cell r="N260" t="str">
            <v>N</v>
          </cell>
          <cell r="O260">
            <v>0</v>
          </cell>
          <cell r="P260" t="str">
            <v>4850-XDB-301A</v>
          </cell>
          <cell r="Q260" t="str">
            <v>I</v>
          </cell>
          <cell r="S260">
            <v>100</v>
          </cell>
          <cell r="T260">
            <v>125</v>
          </cell>
          <cell r="X260">
            <v>1</v>
          </cell>
          <cell r="Y260">
            <v>0.85</v>
          </cell>
        </row>
        <row r="261">
          <cell r="A261">
            <v>0</v>
          </cell>
          <cell r="B261" t="str">
            <v>MRR-B05</v>
          </cell>
          <cell r="C261" t="str">
            <v>Maintenance Receptacle-ButeneArea-05</v>
          </cell>
          <cell r="D261">
            <v>0</v>
          </cell>
          <cell r="E261" t="str">
            <v>ISBL</v>
          </cell>
          <cell r="J261" t="str">
            <v>3</v>
          </cell>
          <cell r="K261">
            <v>690</v>
          </cell>
          <cell r="L261" t="str">
            <v>AC</v>
          </cell>
          <cell r="M261" t="str">
            <v>F</v>
          </cell>
          <cell r="N261" t="str">
            <v>N</v>
          </cell>
          <cell r="O261">
            <v>0</v>
          </cell>
          <cell r="P261" t="str">
            <v>4850-XDB-301A</v>
          </cell>
          <cell r="Q261" t="str">
            <v>I</v>
          </cell>
          <cell r="S261">
            <v>100</v>
          </cell>
          <cell r="T261">
            <v>125</v>
          </cell>
          <cell r="X261">
            <v>1</v>
          </cell>
          <cell r="Y261">
            <v>0.85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 t="str">
            <v>ISBL</v>
          </cell>
          <cell r="J262" t="str">
            <v>3</v>
          </cell>
          <cell r="K262">
            <v>0</v>
          </cell>
          <cell r="L262" t="str">
            <v>AC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S262">
            <v>0</v>
          </cell>
          <cell r="T262">
            <v>0</v>
          </cell>
          <cell r="X262">
            <v>0</v>
          </cell>
          <cell r="Y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 t="str">
            <v>ISBL</v>
          </cell>
          <cell r="J263" t="str">
            <v>3</v>
          </cell>
          <cell r="K263">
            <v>0</v>
          </cell>
          <cell r="L263" t="str">
            <v>AC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S263">
            <v>0</v>
          </cell>
          <cell r="T263">
            <v>0</v>
          </cell>
          <cell r="X263">
            <v>0</v>
          </cell>
          <cell r="Y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 t="str">
            <v>ISBL</v>
          </cell>
          <cell r="J264" t="str">
            <v>3</v>
          </cell>
          <cell r="K264">
            <v>0</v>
          </cell>
          <cell r="L264" t="str">
            <v>AC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S264">
            <v>0</v>
          </cell>
          <cell r="T264">
            <v>0</v>
          </cell>
          <cell r="X264">
            <v>0</v>
          </cell>
          <cell r="Y264">
            <v>0</v>
          </cell>
        </row>
        <row r="265">
          <cell r="A265" t="str">
            <v>C/T</v>
          </cell>
          <cell r="B265" t="str">
            <v>63-CT-0001A</v>
          </cell>
          <cell r="C265" t="str">
            <v>Cooling Tower Fan Motor</v>
          </cell>
          <cell r="D265">
            <v>6300</v>
          </cell>
          <cell r="E265" t="str">
            <v>ISBL</v>
          </cell>
          <cell r="J265" t="str">
            <v>3</v>
          </cell>
          <cell r="K265">
            <v>690</v>
          </cell>
          <cell r="L265" t="str">
            <v>AC</v>
          </cell>
          <cell r="M265" t="str">
            <v>M</v>
          </cell>
          <cell r="N265" t="str">
            <v>N</v>
          </cell>
          <cell r="O265" t="str">
            <v>POLE CHANGE</v>
          </cell>
          <cell r="P265" t="str">
            <v>4850-MDB-206A</v>
          </cell>
          <cell r="Q265" t="str">
            <v>C</v>
          </cell>
          <cell r="S265">
            <v>135</v>
          </cell>
          <cell r="T265">
            <v>150</v>
          </cell>
          <cell r="X265">
            <v>0.95499999999999996</v>
          </cell>
          <cell r="Y265">
            <v>0.85</v>
          </cell>
        </row>
        <row r="266">
          <cell r="A266" t="str">
            <v>C/T</v>
          </cell>
          <cell r="B266" t="str">
            <v>63-CT-0001B</v>
          </cell>
          <cell r="C266" t="str">
            <v>Cooling Tower Fan Motor</v>
          </cell>
          <cell r="D266">
            <v>6300</v>
          </cell>
          <cell r="E266" t="str">
            <v>ISBL</v>
          </cell>
          <cell r="J266" t="str">
            <v>3</v>
          </cell>
          <cell r="K266">
            <v>690</v>
          </cell>
          <cell r="L266" t="str">
            <v>AC</v>
          </cell>
          <cell r="M266" t="str">
            <v>M</v>
          </cell>
          <cell r="N266" t="str">
            <v>N</v>
          </cell>
          <cell r="O266" t="str">
            <v>POLE CHANGE</v>
          </cell>
          <cell r="P266" t="str">
            <v>4850-MDB-206B</v>
          </cell>
          <cell r="Q266" t="str">
            <v>C</v>
          </cell>
          <cell r="S266">
            <v>135</v>
          </cell>
          <cell r="T266">
            <v>150</v>
          </cell>
          <cell r="X266">
            <v>0.95499999999999996</v>
          </cell>
          <cell r="Y266">
            <v>0.85</v>
          </cell>
        </row>
        <row r="267">
          <cell r="A267" t="str">
            <v>C/T</v>
          </cell>
          <cell r="B267" t="str">
            <v>63-CT-0001C</v>
          </cell>
          <cell r="C267" t="str">
            <v>Cooling Tower Fan Motor</v>
          </cell>
          <cell r="D267">
            <v>6300</v>
          </cell>
          <cell r="E267" t="str">
            <v>ISBL</v>
          </cell>
          <cell r="J267" t="str">
            <v>3</v>
          </cell>
          <cell r="K267">
            <v>690</v>
          </cell>
          <cell r="L267" t="str">
            <v>AC</v>
          </cell>
          <cell r="M267" t="str">
            <v>M</v>
          </cell>
          <cell r="N267" t="str">
            <v>N</v>
          </cell>
          <cell r="O267" t="str">
            <v>POLE CHANGE</v>
          </cell>
          <cell r="P267" t="str">
            <v>4850-MDB-206A</v>
          </cell>
          <cell r="Q267" t="str">
            <v>C</v>
          </cell>
          <cell r="S267">
            <v>135</v>
          </cell>
          <cell r="T267">
            <v>150</v>
          </cell>
          <cell r="X267">
            <v>0.95499999999999996</v>
          </cell>
          <cell r="Y267">
            <v>0.85</v>
          </cell>
        </row>
        <row r="268">
          <cell r="A268" t="str">
            <v>C/T</v>
          </cell>
          <cell r="B268" t="str">
            <v>63-CT-0001D</v>
          </cell>
          <cell r="C268" t="str">
            <v>Cooling Tower Fan Motor</v>
          </cell>
          <cell r="D268">
            <v>6300</v>
          </cell>
          <cell r="E268" t="str">
            <v>ISBL</v>
          </cell>
          <cell r="J268" t="str">
            <v>3</v>
          </cell>
          <cell r="K268">
            <v>690</v>
          </cell>
          <cell r="L268" t="str">
            <v>AC</v>
          </cell>
          <cell r="M268" t="str">
            <v>M</v>
          </cell>
          <cell r="N268" t="str">
            <v>N</v>
          </cell>
          <cell r="O268" t="str">
            <v>POLE CHANGE</v>
          </cell>
          <cell r="P268" t="str">
            <v>4850-MDB-206B</v>
          </cell>
          <cell r="Q268" t="str">
            <v>C</v>
          </cell>
          <cell r="S268">
            <v>135</v>
          </cell>
          <cell r="T268">
            <v>150</v>
          </cell>
          <cell r="X268">
            <v>0.95499999999999996</v>
          </cell>
          <cell r="Y268">
            <v>0.85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 t="str">
            <v>ISBL</v>
          </cell>
          <cell r="J269" t="str">
            <v>3</v>
          </cell>
          <cell r="K269">
            <v>0</v>
          </cell>
          <cell r="L269" t="str">
            <v>AC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S269">
            <v>0</v>
          </cell>
          <cell r="T269">
            <v>0</v>
          </cell>
          <cell r="X269">
            <v>0</v>
          </cell>
          <cell r="Y269">
            <v>0</v>
          </cell>
        </row>
        <row r="270">
          <cell r="A270" t="str">
            <v>C/T</v>
          </cell>
          <cell r="B270" t="str">
            <v>63-CT-0001E</v>
          </cell>
          <cell r="C270" t="str">
            <v>Cooling Tower Fan Motor</v>
          </cell>
          <cell r="D270">
            <v>6300</v>
          </cell>
          <cell r="E270" t="str">
            <v>ISBL</v>
          </cell>
          <cell r="J270" t="str">
            <v>3</v>
          </cell>
          <cell r="K270">
            <v>690</v>
          </cell>
          <cell r="L270" t="str">
            <v>AC</v>
          </cell>
          <cell r="M270" t="str">
            <v>M</v>
          </cell>
          <cell r="N270" t="str">
            <v>N</v>
          </cell>
          <cell r="O270" t="str">
            <v>POLE CHANGE</v>
          </cell>
          <cell r="P270" t="str">
            <v>4850-MDB-206A</v>
          </cell>
          <cell r="Q270" t="str">
            <v>C</v>
          </cell>
          <cell r="S270">
            <v>135</v>
          </cell>
          <cell r="T270">
            <v>150</v>
          </cell>
          <cell r="X270">
            <v>0.95499999999999996</v>
          </cell>
          <cell r="Y270">
            <v>0.85</v>
          </cell>
        </row>
        <row r="271">
          <cell r="A271" t="str">
            <v>C/T</v>
          </cell>
          <cell r="B271" t="str">
            <v>63-CT-0001F</v>
          </cell>
          <cell r="C271" t="str">
            <v>Cooling Tower Fan Motor</v>
          </cell>
          <cell r="D271">
            <v>6300</v>
          </cell>
          <cell r="E271" t="str">
            <v>ISBL</v>
          </cell>
          <cell r="J271" t="str">
            <v>3</v>
          </cell>
          <cell r="K271">
            <v>690</v>
          </cell>
          <cell r="L271" t="str">
            <v>AC</v>
          </cell>
          <cell r="M271" t="str">
            <v>M</v>
          </cell>
          <cell r="N271" t="str">
            <v>N</v>
          </cell>
          <cell r="O271" t="str">
            <v>POLE CHANGE</v>
          </cell>
          <cell r="P271" t="str">
            <v>4850-MDB-206B</v>
          </cell>
          <cell r="Q271" t="str">
            <v>C</v>
          </cell>
          <cell r="S271">
            <v>135</v>
          </cell>
          <cell r="T271">
            <v>150</v>
          </cell>
          <cell r="X271">
            <v>0.95499999999999996</v>
          </cell>
          <cell r="Y271">
            <v>0.85</v>
          </cell>
        </row>
        <row r="272">
          <cell r="A272" t="str">
            <v>C/T</v>
          </cell>
          <cell r="B272" t="str">
            <v>63-CT-0001G</v>
          </cell>
          <cell r="C272" t="str">
            <v>Cooling Tower Fan Motor</v>
          </cell>
          <cell r="D272">
            <v>6300</v>
          </cell>
          <cell r="E272" t="str">
            <v>ISBL</v>
          </cell>
          <cell r="J272" t="str">
            <v>3</v>
          </cell>
          <cell r="K272">
            <v>690</v>
          </cell>
          <cell r="L272" t="str">
            <v>AC</v>
          </cell>
          <cell r="M272" t="str">
            <v>M</v>
          </cell>
          <cell r="N272" t="str">
            <v>N</v>
          </cell>
          <cell r="O272" t="str">
            <v>POLE CHANGE</v>
          </cell>
          <cell r="P272" t="str">
            <v>4850-MDB-206A</v>
          </cell>
          <cell r="Q272" t="str">
            <v>C</v>
          </cell>
          <cell r="S272">
            <v>135</v>
          </cell>
          <cell r="T272">
            <v>150</v>
          </cell>
          <cell r="X272">
            <v>0.95499999999999996</v>
          </cell>
          <cell r="Y272">
            <v>0.85</v>
          </cell>
        </row>
        <row r="273">
          <cell r="A273" t="str">
            <v>C/T</v>
          </cell>
          <cell r="B273" t="str">
            <v>63-CT-0001H</v>
          </cell>
          <cell r="C273" t="str">
            <v>Cooling Tower Fan Motor</v>
          </cell>
          <cell r="D273">
            <v>6300</v>
          </cell>
          <cell r="E273" t="str">
            <v>ISBL</v>
          </cell>
          <cell r="J273" t="str">
            <v>3</v>
          </cell>
          <cell r="K273">
            <v>690</v>
          </cell>
          <cell r="L273" t="str">
            <v>AC</v>
          </cell>
          <cell r="M273" t="str">
            <v>M</v>
          </cell>
          <cell r="N273" t="str">
            <v>N</v>
          </cell>
          <cell r="O273" t="str">
            <v>POLE CHANGE</v>
          </cell>
          <cell r="P273" t="str">
            <v>4850-MDB-206B</v>
          </cell>
          <cell r="Q273" t="str">
            <v>C</v>
          </cell>
          <cell r="S273">
            <v>135</v>
          </cell>
          <cell r="T273">
            <v>150</v>
          </cell>
          <cell r="X273">
            <v>0.95499999999999996</v>
          </cell>
          <cell r="Y273">
            <v>0.85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 t="str">
            <v>ISBL</v>
          </cell>
          <cell r="J274" t="str">
            <v>3</v>
          </cell>
          <cell r="K274">
            <v>0</v>
          </cell>
          <cell r="L274" t="str">
            <v>AC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S274">
            <v>0</v>
          </cell>
          <cell r="T274">
            <v>0</v>
          </cell>
          <cell r="X274">
            <v>0</v>
          </cell>
          <cell r="Y274">
            <v>0</v>
          </cell>
        </row>
        <row r="275">
          <cell r="A275" t="str">
            <v>C/T</v>
          </cell>
          <cell r="B275" t="str">
            <v>63-CT-0001I</v>
          </cell>
          <cell r="C275" t="str">
            <v>Cooling Tower Fan Motor</v>
          </cell>
          <cell r="D275">
            <v>6300</v>
          </cell>
          <cell r="E275" t="str">
            <v>ISBL</v>
          </cell>
          <cell r="J275" t="str">
            <v>3</v>
          </cell>
          <cell r="K275">
            <v>690</v>
          </cell>
          <cell r="L275" t="str">
            <v>AC</v>
          </cell>
          <cell r="M275" t="str">
            <v>M</v>
          </cell>
          <cell r="N275" t="str">
            <v>N</v>
          </cell>
          <cell r="O275" t="str">
            <v>POLE CHANGE</v>
          </cell>
          <cell r="P275" t="str">
            <v>4850-MDB-206A</v>
          </cell>
          <cell r="Q275" t="str">
            <v>C</v>
          </cell>
          <cell r="S275">
            <v>135</v>
          </cell>
          <cell r="T275">
            <v>150</v>
          </cell>
          <cell r="X275">
            <v>0.95499999999999996</v>
          </cell>
          <cell r="Y275">
            <v>0.85</v>
          </cell>
        </row>
        <row r="276">
          <cell r="A276" t="str">
            <v>C/T</v>
          </cell>
          <cell r="B276" t="str">
            <v>63-CT-0001J</v>
          </cell>
          <cell r="C276" t="str">
            <v>Cooling Tower Fan Motor</v>
          </cell>
          <cell r="D276">
            <v>6300</v>
          </cell>
          <cell r="E276" t="str">
            <v>ISBL</v>
          </cell>
          <cell r="J276" t="str">
            <v>3</v>
          </cell>
          <cell r="K276">
            <v>690</v>
          </cell>
          <cell r="L276" t="str">
            <v>AC</v>
          </cell>
          <cell r="M276" t="str">
            <v>M</v>
          </cell>
          <cell r="N276" t="str">
            <v>N</v>
          </cell>
          <cell r="O276" t="str">
            <v>POLE CHANGE</v>
          </cell>
          <cell r="P276" t="str">
            <v>4850-MDB-206B</v>
          </cell>
          <cell r="Q276" t="str">
            <v>C</v>
          </cell>
          <cell r="S276">
            <v>135</v>
          </cell>
          <cell r="T276">
            <v>150</v>
          </cell>
          <cell r="X276">
            <v>0.95499999999999996</v>
          </cell>
          <cell r="Y276">
            <v>0.85</v>
          </cell>
        </row>
        <row r="277">
          <cell r="A277" t="str">
            <v>C/T</v>
          </cell>
          <cell r="B277" t="str">
            <v>63-CT-0001K</v>
          </cell>
          <cell r="C277" t="str">
            <v>Cooling Tower Fan Motor</v>
          </cell>
          <cell r="D277">
            <v>6300</v>
          </cell>
          <cell r="E277" t="str">
            <v>ISBL</v>
          </cell>
          <cell r="J277" t="str">
            <v>3</v>
          </cell>
          <cell r="K277">
            <v>690</v>
          </cell>
          <cell r="L277" t="str">
            <v>AC</v>
          </cell>
          <cell r="M277" t="str">
            <v>M</v>
          </cell>
          <cell r="N277" t="str">
            <v>N</v>
          </cell>
          <cell r="O277" t="str">
            <v>POLE CHANGE</v>
          </cell>
          <cell r="P277" t="str">
            <v>4850-MDB-206A</v>
          </cell>
          <cell r="Q277" t="str">
            <v>C</v>
          </cell>
          <cell r="S277">
            <v>135</v>
          </cell>
          <cell r="T277">
            <v>150</v>
          </cell>
          <cell r="X277">
            <v>0.95499999999999996</v>
          </cell>
          <cell r="Y277">
            <v>0.85</v>
          </cell>
        </row>
        <row r="278">
          <cell r="A278" t="str">
            <v>C/T</v>
          </cell>
          <cell r="B278" t="str">
            <v>63-CT-0001L</v>
          </cell>
          <cell r="C278" t="str">
            <v>Cooling Tower Fan Motor</v>
          </cell>
          <cell r="D278">
            <v>6300</v>
          </cell>
          <cell r="E278" t="str">
            <v>ISBL</v>
          </cell>
          <cell r="J278" t="str">
            <v>3</v>
          </cell>
          <cell r="K278">
            <v>690</v>
          </cell>
          <cell r="L278" t="str">
            <v>AC</v>
          </cell>
          <cell r="M278" t="str">
            <v>M</v>
          </cell>
          <cell r="N278" t="str">
            <v>N</v>
          </cell>
          <cell r="O278" t="str">
            <v>POLE CHANGE</v>
          </cell>
          <cell r="P278" t="str">
            <v>4850-MDB-206B</v>
          </cell>
          <cell r="Q278" t="str">
            <v>C</v>
          </cell>
          <cell r="S278">
            <v>135</v>
          </cell>
          <cell r="T278">
            <v>150</v>
          </cell>
          <cell r="X278">
            <v>0.95499999999999996</v>
          </cell>
          <cell r="Y278">
            <v>0.85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 t="str">
            <v>ISBL</v>
          </cell>
          <cell r="J279" t="str">
            <v>3</v>
          </cell>
          <cell r="K279">
            <v>0</v>
          </cell>
          <cell r="L279" t="str">
            <v>AC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S279">
            <v>0</v>
          </cell>
          <cell r="T279">
            <v>0</v>
          </cell>
          <cell r="X279">
            <v>0</v>
          </cell>
          <cell r="Y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 t="str">
            <v>ISBL</v>
          </cell>
          <cell r="J280" t="str">
            <v>3</v>
          </cell>
          <cell r="K280">
            <v>0</v>
          </cell>
          <cell r="L280" t="str">
            <v>AC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S280">
            <v>0</v>
          </cell>
          <cell r="T280">
            <v>0</v>
          </cell>
          <cell r="X280">
            <v>0</v>
          </cell>
          <cell r="Y280">
            <v>0</v>
          </cell>
        </row>
        <row r="281">
          <cell r="A281" t="str">
            <v>PEU-2</v>
          </cell>
          <cell r="B281" t="str">
            <v>41-PK-6040-6A</v>
          </cell>
          <cell r="C281" t="str">
            <v>Lube Oil Pump Motor for Mixer Motor</v>
          </cell>
          <cell r="D281" t="str">
            <v>x</v>
          </cell>
          <cell r="E281" t="str">
            <v>ISBL</v>
          </cell>
          <cell r="J281" t="str">
            <v>3</v>
          </cell>
          <cell r="K281">
            <v>400</v>
          </cell>
          <cell r="L281" t="str">
            <v>AC</v>
          </cell>
          <cell r="M281" t="str">
            <v>M</v>
          </cell>
          <cell r="N281" t="str">
            <v>N</v>
          </cell>
          <cell r="O281">
            <v>0</v>
          </cell>
          <cell r="P281" t="str">
            <v>4850-NDB-301A</v>
          </cell>
          <cell r="Q281" t="str">
            <v>C</v>
          </cell>
          <cell r="S281">
            <v>1.9800000000000002</v>
          </cell>
          <cell r="T281">
            <v>2.2000000000000002</v>
          </cell>
          <cell r="X281">
            <v>0.90200000000000002</v>
          </cell>
          <cell r="Y281">
            <v>0.85</v>
          </cell>
        </row>
        <row r="282">
          <cell r="A282" t="str">
            <v>PEU-2</v>
          </cell>
          <cell r="B282" t="str">
            <v>41-PK-6040-6B</v>
          </cell>
          <cell r="C282" t="str">
            <v>Lube Oil Pump Motor for Mixer Motor</v>
          </cell>
          <cell r="D282" t="str">
            <v>x</v>
          </cell>
          <cell r="E282" t="str">
            <v>ISBL</v>
          </cell>
          <cell r="J282" t="str">
            <v>3</v>
          </cell>
          <cell r="K282">
            <v>400</v>
          </cell>
          <cell r="L282" t="str">
            <v>AC</v>
          </cell>
          <cell r="M282" t="str">
            <v>M</v>
          </cell>
          <cell r="N282" t="str">
            <v>N</v>
          </cell>
          <cell r="O282">
            <v>0</v>
          </cell>
          <cell r="P282" t="str">
            <v>4850-NDB-301B</v>
          </cell>
          <cell r="Q282" t="str">
            <v>S</v>
          </cell>
          <cell r="S282">
            <v>1.9800000000000002</v>
          </cell>
          <cell r="T282">
            <v>2.2000000000000002</v>
          </cell>
          <cell r="X282">
            <v>0.90200000000000002</v>
          </cell>
          <cell r="Y282">
            <v>0.85</v>
          </cell>
        </row>
        <row r="283">
          <cell r="A283" t="str">
            <v>PEU-2</v>
          </cell>
          <cell r="B283" t="str">
            <v>41-PK-6040-7A</v>
          </cell>
          <cell r="C283" t="str">
            <v>Motor Lube Oil Jack Up Pump Motor</v>
          </cell>
          <cell r="D283" t="str">
            <v>x</v>
          </cell>
          <cell r="E283" t="str">
            <v>ISBL</v>
          </cell>
          <cell r="J283" t="str">
            <v>3</v>
          </cell>
          <cell r="K283">
            <v>400</v>
          </cell>
          <cell r="L283" t="str">
            <v>AC</v>
          </cell>
          <cell r="M283" t="str">
            <v>M</v>
          </cell>
          <cell r="N283" t="str">
            <v>N</v>
          </cell>
          <cell r="O283">
            <v>0</v>
          </cell>
          <cell r="P283" t="str">
            <v>4850-NDB-301B</v>
          </cell>
          <cell r="Q283" t="str">
            <v>C</v>
          </cell>
          <cell r="S283">
            <v>0.99</v>
          </cell>
          <cell r="T283">
            <v>1.1000000000000001</v>
          </cell>
          <cell r="X283">
            <v>0.90200000000000002</v>
          </cell>
          <cell r="Y283">
            <v>0.85</v>
          </cell>
        </row>
        <row r="284">
          <cell r="A284" t="str">
            <v>PEU-2</v>
          </cell>
          <cell r="B284" t="str">
            <v>41-PK-6040-7B</v>
          </cell>
          <cell r="C284" t="str">
            <v>Motor Lube Oil Jack Up Pump Motor</v>
          </cell>
          <cell r="D284" t="str">
            <v>x</v>
          </cell>
          <cell r="E284" t="str">
            <v>ISBL</v>
          </cell>
          <cell r="J284" t="str">
            <v>3</v>
          </cell>
          <cell r="K284">
            <v>400</v>
          </cell>
          <cell r="L284" t="str">
            <v>AC</v>
          </cell>
          <cell r="M284" t="str">
            <v>M</v>
          </cell>
          <cell r="N284" t="str">
            <v>N</v>
          </cell>
          <cell r="O284">
            <v>0</v>
          </cell>
          <cell r="P284" t="str">
            <v>4850-NDB-301A</v>
          </cell>
          <cell r="Q284" t="str">
            <v>S</v>
          </cell>
          <cell r="S284">
            <v>0.99</v>
          </cell>
          <cell r="T284">
            <v>1.1000000000000001</v>
          </cell>
          <cell r="X284">
            <v>0.90200000000000002</v>
          </cell>
          <cell r="Y284">
            <v>0.85</v>
          </cell>
        </row>
        <row r="285">
          <cell r="A285" t="str">
            <v>PEU-2</v>
          </cell>
          <cell r="B285" t="str">
            <v>41-PK-6001-1A</v>
          </cell>
          <cell r="C285" t="str">
            <v xml:space="preserve"> Oil Demister Motor</v>
          </cell>
          <cell r="D285">
            <v>4102</v>
          </cell>
          <cell r="E285" t="str">
            <v>ISBL</v>
          </cell>
          <cell r="J285" t="str">
            <v>3</v>
          </cell>
          <cell r="K285">
            <v>400</v>
          </cell>
          <cell r="L285" t="str">
            <v>AC</v>
          </cell>
          <cell r="M285" t="str">
            <v>M</v>
          </cell>
          <cell r="N285" t="str">
            <v>N</v>
          </cell>
          <cell r="O285">
            <v>0</v>
          </cell>
          <cell r="P285" t="str">
            <v>4850-NDB-301A</v>
          </cell>
          <cell r="Q285" t="str">
            <v>C</v>
          </cell>
          <cell r="S285">
            <v>0.5</v>
          </cell>
          <cell r="T285">
            <v>0.55000000000000004</v>
          </cell>
          <cell r="X285">
            <v>0.90200000000000002</v>
          </cell>
          <cell r="Y285">
            <v>0.85</v>
          </cell>
        </row>
        <row r="286">
          <cell r="A286" t="str">
            <v>PEU-2</v>
          </cell>
          <cell r="B286" t="str">
            <v>41-PK-6001-1B</v>
          </cell>
          <cell r="C286" t="str">
            <v xml:space="preserve"> Oil Demister Motor</v>
          </cell>
          <cell r="D286">
            <v>4102</v>
          </cell>
          <cell r="E286" t="str">
            <v>ISBL</v>
          </cell>
          <cell r="J286" t="str">
            <v>3</v>
          </cell>
          <cell r="K286">
            <v>400</v>
          </cell>
          <cell r="L286" t="str">
            <v>AC</v>
          </cell>
          <cell r="M286" t="str">
            <v>M</v>
          </cell>
          <cell r="N286" t="str">
            <v>N</v>
          </cell>
          <cell r="O286">
            <v>0</v>
          </cell>
          <cell r="P286" t="str">
            <v>4850-NDB-301B</v>
          </cell>
          <cell r="Q286" t="str">
            <v>S</v>
          </cell>
          <cell r="S286">
            <v>0.5</v>
          </cell>
          <cell r="T286">
            <v>0.55000000000000004</v>
          </cell>
          <cell r="X286">
            <v>0.90200000000000002</v>
          </cell>
          <cell r="Y286">
            <v>0.85</v>
          </cell>
        </row>
        <row r="287">
          <cell r="A287" t="str">
            <v>PEU-2</v>
          </cell>
          <cell r="B287" t="str">
            <v>41-MI-6011A</v>
          </cell>
          <cell r="C287" t="str">
            <v>Vent Blower Motor for 41-MI-6011 A/B/C/D</v>
          </cell>
          <cell r="D287" t="str">
            <v>x</v>
          </cell>
          <cell r="E287" t="str">
            <v>ISBL</v>
          </cell>
          <cell r="J287" t="str">
            <v>3</v>
          </cell>
          <cell r="K287">
            <v>400</v>
          </cell>
          <cell r="L287" t="str">
            <v>AC</v>
          </cell>
          <cell r="M287" t="str">
            <v>M</v>
          </cell>
          <cell r="N287" t="str">
            <v>N</v>
          </cell>
          <cell r="O287">
            <v>0</v>
          </cell>
          <cell r="P287" t="str">
            <v>4850-NDB-301A</v>
          </cell>
          <cell r="Q287" t="str">
            <v>I</v>
          </cell>
          <cell r="S287">
            <v>1.7600000000000002</v>
          </cell>
          <cell r="T287">
            <v>2.2000000000000002</v>
          </cell>
          <cell r="X287">
            <v>0.90200000000000002</v>
          </cell>
          <cell r="Y287">
            <v>0.85</v>
          </cell>
        </row>
        <row r="288">
          <cell r="A288" t="str">
            <v>PEU-2</v>
          </cell>
          <cell r="B288" t="str">
            <v>41-MI-6011B</v>
          </cell>
          <cell r="C288" t="str">
            <v>Vent Blower Motor for 41-MI-6011 A/B/C/D</v>
          </cell>
          <cell r="D288" t="str">
            <v>x</v>
          </cell>
          <cell r="E288" t="str">
            <v>ISBL</v>
          </cell>
          <cell r="J288" t="str">
            <v>3</v>
          </cell>
          <cell r="K288">
            <v>400</v>
          </cell>
          <cell r="L288" t="str">
            <v>AC</v>
          </cell>
          <cell r="M288" t="str">
            <v>M</v>
          </cell>
          <cell r="N288" t="str">
            <v>N</v>
          </cell>
          <cell r="O288">
            <v>0</v>
          </cell>
          <cell r="P288" t="str">
            <v>4850-NDB-301B</v>
          </cell>
          <cell r="Q288" t="str">
            <v>I</v>
          </cell>
          <cell r="S288">
            <v>1.7600000000000002</v>
          </cell>
          <cell r="T288">
            <v>2.2000000000000002</v>
          </cell>
          <cell r="X288">
            <v>0.90200000000000002</v>
          </cell>
          <cell r="Y288">
            <v>0.85</v>
          </cell>
        </row>
        <row r="289">
          <cell r="A289" t="str">
            <v>PEU-2</v>
          </cell>
          <cell r="B289" t="str">
            <v>41-MI-6011C</v>
          </cell>
          <cell r="C289" t="str">
            <v>Vent Blower Motor for 41-MI-6011 A/B/C/D</v>
          </cell>
          <cell r="D289" t="str">
            <v>x</v>
          </cell>
          <cell r="E289" t="str">
            <v>ISBL</v>
          </cell>
          <cell r="J289" t="str">
            <v>3</v>
          </cell>
          <cell r="K289">
            <v>400</v>
          </cell>
          <cell r="L289" t="str">
            <v>AC</v>
          </cell>
          <cell r="M289" t="str">
            <v>M</v>
          </cell>
          <cell r="N289" t="str">
            <v>N</v>
          </cell>
          <cell r="O289">
            <v>0</v>
          </cell>
          <cell r="P289" t="str">
            <v>4850-NDB-301A</v>
          </cell>
          <cell r="Q289" t="str">
            <v>I</v>
          </cell>
          <cell r="S289">
            <v>1.7600000000000002</v>
          </cell>
          <cell r="T289">
            <v>2.2000000000000002</v>
          </cell>
          <cell r="X289">
            <v>0.90200000000000002</v>
          </cell>
          <cell r="Y289">
            <v>0.85</v>
          </cell>
        </row>
        <row r="290">
          <cell r="A290" t="str">
            <v>PEU-2</v>
          </cell>
          <cell r="B290" t="str">
            <v>41-MI-6011D</v>
          </cell>
          <cell r="C290" t="str">
            <v>Vent Blower Motor for 41-MI-6011 A/B/C/D</v>
          </cell>
          <cell r="D290" t="str">
            <v>x</v>
          </cell>
          <cell r="E290" t="str">
            <v>ISBL</v>
          </cell>
          <cell r="J290" t="str">
            <v>3</v>
          </cell>
          <cell r="K290">
            <v>400</v>
          </cell>
          <cell r="L290" t="str">
            <v>AC</v>
          </cell>
          <cell r="M290" t="str">
            <v>M</v>
          </cell>
          <cell r="N290" t="str">
            <v>N</v>
          </cell>
          <cell r="O290">
            <v>0</v>
          </cell>
          <cell r="P290" t="str">
            <v>4850-NDB-301B</v>
          </cell>
          <cell r="Q290" t="str">
            <v>I</v>
          </cell>
          <cell r="S290">
            <v>1.7600000000000002</v>
          </cell>
          <cell r="T290">
            <v>2.2000000000000002</v>
          </cell>
          <cell r="X290">
            <v>0.90200000000000002</v>
          </cell>
          <cell r="Y290">
            <v>0.85</v>
          </cell>
        </row>
        <row r="291">
          <cell r="A291" t="str">
            <v>PEU-2</v>
          </cell>
          <cell r="B291" t="str">
            <v>41-PK-7001-1A</v>
          </cell>
          <cell r="C291" t="str">
            <v xml:space="preserve"> Oil Demister Motor</v>
          </cell>
          <cell r="D291">
            <v>4107</v>
          </cell>
          <cell r="E291" t="str">
            <v>ISBL</v>
          </cell>
          <cell r="J291" t="str">
            <v>3</v>
          </cell>
          <cell r="K291">
            <v>400</v>
          </cell>
          <cell r="L291" t="str">
            <v>AC</v>
          </cell>
          <cell r="M291" t="str">
            <v>M</v>
          </cell>
          <cell r="N291" t="str">
            <v>N</v>
          </cell>
          <cell r="O291">
            <v>0</v>
          </cell>
          <cell r="P291" t="str">
            <v>4850-NDB-301A</v>
          </cell>
          <cell r="Q291" t="str">
            <v>C</v>
          </cell>
          <cell r="S291">
            <v>0.5</v>
          </cell>
          <cell r="T291">
            <v>0.55000000000000004</v>
          </cell>
          <cell r="X291">
            <v>0.90200000000000002</v>
          </cell>
          <cell r="Y291">
            <v>0.85</v>
          </cell>
        </row>
        <row r="292">
          <cell r="A292" t="str">
            <v>PEU-2</v>
          </cell>
          <cell r="B292" t="str">
            <v>41-PK-7001-1B</v>
          </cell>
          <cell r="C292" t="str">
            <v xml:space="preserve"> Oil Demister Motor</v>
          </cell>
          <cell r="D292">
            <v>4107</v>
          </cell>
          <cell r="E292" t="str">
            <v>ISBL</v>
          </cell>
          <cell r="J292" t="str">
            <v>3</v>
          </cell>
          <cell r="K292">
            <v>400</v>
          </cell>
          <cell r="L292" t="str">
            <v>AC</v>
          </cell>
          <cell r="M292" t="str">
            <v>M</v>
          </cell>
          <cell r="N292" t="str">
            <v>N</v>
          </cell>
          <cell r="O292">
            <v>0</v>
          </cell>
          <cell r="P292" t="str">
            <v>4850-NDB-301B</v>
          </cell>
          <cell r="Q292" t="str">
            <v>C</v>
          </cell>
          <cell r="S292">
            <v>0.5</v>
          </cell>
          <cell r="T292">
            <v>0.55000000000000004</v>
          </cell>
          <cell r="X292">
            <v>0.90200000000000002</v>
          </cell>
          <cell r="Y292">
            <v>0.85</v>
          </cell>
        </row>
        <row r="293">
          <cell r="A293" t="str">
            <v>PEU-2</v>
          </cell>
          <cell r="B293" t="str">
            <v>41-PK-7001-1C</v>
          </cell>
          <cell r="C293" t="str">
            <v xml:space="preserve"> Oil Demister Motor</v>
          </cell>
          <cell r="D293">
            <v>4107</v>
          </cell>
          <cell r="E293" t="str">
            <v>ISBL</v>
          </cell>
          <cell r="J293" t="str">
            <v>3</v>
          </cell>
          <cell r="K293">
            <v>400</v>
          </cell>
          <cell r="L293" t="str">
            <v>AC</v>
          </cell>
          <cell r="M293" t="str">
            <v>M</v>
          </cell>
          <cell r="N293" t="str">
            <v>N</v>
          </cell>
          <cell r="O293">
            <v>0</v>
          </cell>
          <cell r="P293" t="str">
            <v>4850-NDB-301B</v>
          </cell>
          <cell r="Q293" t="str">
            <v>S</v>
          </cell>
          <cell r="S293">
            <v>0.5</v>
          </cell>
          <cell r="T293">
            <v>0.55000000000000004</v>
          </cell>
          <cell r="X293">
            <v>0.90200000000000002</v>
          </cell>
          <cell r="Y293">
            <v>0.85</v>
          </cell>
        </row>
        <row r="294">
          <cell r="A294" t="str">
            <v>PEU-2</v>
          </cell>
          <cell r="B294" t="str">
            <v>41-RF-6006</v>
          </cell>
          <cell r="C294" t="str">
            <v xml:space="preserve">Scalping Screen Hopper Rotary Valve </v>
          </cell>
          <cell r="D294">
            <v>4107</v>
          </cell>
          <cell r="E294" t="str">
            <v>ISBL</v>
          </cell>
          <cell r="J294" t="str">
            <v>3</v>
          </cell>
          <cell r="K294">
            <v>400</v>
          </cell>
          <cell r="L294" t="str">
            <v>AC</v>
          </cell>
          <cell r="M294" t="str">
            <v>M</v>
          </cell>
          <cell r="N294" t="str">
            <v>N</v>
          </cell>
          <cell r="O294" t="str">
            <v>VSD</v>
          </cell>
          <cell r="P294" t="str">
            <v>4850-NDB-301A</v>
          </cell>
          <cell r="Q294" t="str">
            <v>C</v>
          </cell>
          <cell r="S294">
            <v>4.4000000000000004</v>
          </cell>
          <cell r="T294">
            <v>5.5</v>
          </cell>
          <cell r="X294">
            <v>0.90200000000000002</v>
          </cell>
          <cell r="Y294">
            <v>0.85</v>
          </cell>
        </row>
        <row r="295">
          <cell r="A295" t="str">
            <v>PEU-2</v>
          </cell>
          <cell r="B295" t="str">
            <v>41-PK-2401-2A</v>
          </cell>
          <cell r="C295" t="str">
            <v>Motor for Lube Oil Mist Eliminator</v>
          </cell>
          <cell r="D295">
            <v>4103</v>
          </cell>
          <cell r="E295" t="str">
            <v>ISBL</v>
          </cell>
          <cell r="J295" t="str">
            <v>3</v>
          </cell>
          <cell r="K295">
            <v>400</v>
          </cell>
          <cell r="L295" t="str">
            <v>AC</v>
          </cell>
          <cell r="M295" t="str">
            <v>M</v>
          </cell>
          <cell r="N295" t="str">
            <v>N</v>
          </cell>
          <cell r="O295">
            <v>0</v>
          </cell>
          <cell r="P295" t="str">
            <v>4850-NDB-301A</v>
          </cell>
          <cell r="Q295" t="str">
            <v>C</v>
          </cell>
          <cell r="S295">
            <v>0.60000000000000009</v>
          </cell>
          <cell r="T295">
            <v>0.75</v>
          </cell>
          <cell r="X295">
            <v>0.90200000000000002</v>
          </cell>
          <cell r="Y295">
            <v>0.85</v>
          </cell>
        </row>
        <row r="296">
          <cell r="A296" t="str">
            <v>PEU-2</v>
          </cell>
          <cell r="B296" t="str">
            <v>41-PK-2401-2B</v>
          </cell>
          <cell r="C296" t="str">
            <v>Motor for Lube Oil Mist Eliminator</v>
          </cell>
          <cell r="D296">
            <v>4103</v>
          </cell>
          <cell r="E296" t="str">
            <v>ISBL</v>
          </cell>
          <cell r="J296" t="str">
            <v>3</v>
          </cell>
          <cell r="K296">
            <v>400</v>
          </cell>
          <cell r="L296" t="str">
            <v>AC</v>
          </cell>
          <cell r="M296" t="str">
            <v>M</v>
          </cell>
          <cell r="N296" t="str">
            <v>N</v>
          </cell>
          <cell r="O296">
            <v>0</v>
          </cell>
          <cell r="P296" t="str">
            <v>4850-NDB-301B</v>
          </cell>
          <cell r="Q296" t="str">
            <v>C</v>
          </cell>
          <cell r="S296">
            <v>0.60000000000000009</v>
          </cell>
          <cell r="T296">
            <v>0.75</v>
          </cell>
          <cell r="X296">
            <v>0.90200000000000002</v>
          </cell>
          <cell r="Y296">
            <v>0.85</v>
          </cell>
        </row>
        <row r="297">
          <cell r="A297" t="str">
            <v>PEU-2</v>
          </cell>
          <cell r="B297" t="str">
            <v>41-K-5021-1</v>
          </cell>
          <cell r="C297" t="str">
            <v>Motor for Lube Oil Mist Eliminator</v>
          </cell>
          <cell r="D297">
            <v>4101</v>
          </cell>
          <cell r="E297" t="str">
            <v>ISBL</v>
          </cell>
          <cell r="J297" t="str">
            <v>3</v>
          </cell>
          <cell r="K297">
            <v>400</v>
          </cell>
          <cell r="L297" t="str">
            <v>AC</v>
          </cell>
          <cell r="M297" t="str">
            <v>M</v>
          </cell>
          <cell r="N297" t="str">
            <v>N</v>
          </cell>
          <cell r="O297">
            <v>0</v>
          </cell>
          <cell r="P297" t="str">
            <v>4850-NDB-301A</v>
          </cell>
          <cell r="Q297" t="str">
            <v>C</v>
          </cell>
          <cell r="S297">
            <v>0.60000000000000009</v>
          </cell>
          <cell r="T297">
            <v>0.75</v>
          </cell>
          <cell r="X297">
            <v>0.90200000000000002</v>
          </cell>
          <cell r="Y297">
            <v>0.85</v>
          </cell>
        </row>
        <row r="298">
          <cell r="A298" t="str">
            <v>PEU-2</v>
          </cell>
          <cell r="B298" t="str">
            <v>41-K-5021-2</v>
          </cell>
          <cell r="C298" t="str">
            <v>Electric heater for oil separator</v>
          </cell>
          <cell r="D298">
            <v>4101</v>
          </cell>
          <cell r="E298" t="str">
            <v>ISBL</v>
          </cell>
          <cell r="J298" t="str">
            <v>3</v>
          </cell>
          <cell r="K298">
            <v>400</v>
          </cell>
          <cell r="L298" t="str">
            <v>AC</v>
          </cell>
          <cell r="M298" t="str">
            <v>M</v>
          </cell>
          <cell r="N298" t="str">
            <v>N</v>
          </cell>
          <cell r="O298">
            <v>0</v>
          </cell>
          <cell r="P298" t="str">
            <v>4850-NDB-301A</v>
          </cell>
          <cell r="Q298" t="str">
            <v>I</v>
          </cell>
          <cell r="S298">
            <v>1.8</v>
          </cell>
          <cell r="T298">
            <v>2</v>
          </cell>
          <cell r="X298">
            <v>0.90200000000000002</v>
          </cell>
          <cell r="Y298">
            <v>0.85</v>
          </cell>
        </row>
        <row r="299">
          <cell r="A299" t="str">
            <v>PEU-2</v>
          </cell>
          <cell r="B299" t="str">
            <v>41-K-5021-4</v>
          </cell>
          <cell r="C299" t="str">
            <v>Local Operator Panel - Normal</v>
          </cell>
          <cell r="D299">
            <v>4101</v>
          </cell>
          <cell r="E299" t="str">
            <v>ISBL</v>
          </cell>
          <cell r="J299" t="str">
            <v>3</v>
          </cell>
          <cell r="K299">
            <v>400</v>
          </cell>
          <cell r="L299" t="str">
            <v>AC</v>
          </cell>
          <cell r="M299" t="str">
            <v>F</v>
          </cell>
          <cell r="N299" t="str">
            <v>N</v>
          </cell>
          <cell r="O299">
            <v>0</v>
          </cell>
          <cell r="P299" t="str">
            <v>4850-NDB-301B</v>
          </cell>
          <cell r="Q299" t="str">
            <v>C</v>
          </cell>
          <cell r="S299">
            <v>2</v>
          </cell>
          <cell r="T299">
            <v>2.5</v>
          </cell>
          <cell r="X299">
            <v>0.90200000000000002</v>
          </cell>
          <cell r="Y299">
            <v>0.85</v>
          </cell>
        </row>
        <row r="300">
          <cell r="A300" t="str">
            <v>PEU-2</v>
          </cell>
          <cell r="B300" t="str">
            <v>46-PK-8061-1</v>
          </cell>
          <cell r="C300" t="str">
            <v>Oil Heater</v>
          </cell>
          <cell r="D300">
            <v>4101</v>
          </cell>
          <cell r="E300" t="str">
            <v>ISBL</v>
          </cell>
          <cell r="J300" t="str">
            <v>3</v>
          </cell>
          <cell r="K300">
            <v>400</v>
          </cell>
          <cell r="L300" t="str">
            <v>AC</v>
          </cell>
          <cell r="M300" t="str">
            <v>M</v>
          </cell>
          <cell r="N300" t="str">
            <v>N</v>
          </cell>
          <cell r="O300">
            <v>0</v>
          </cell>
          <cell r="P300" t="str">
            <v>4850-NDB-301A</v>
          </cell>
          <cell r="Q300" t="str">
            <v>I</v>
          </cell>
          <cell r="S300">
            <v>0.5</v>
          </cell>
          <cell r="T300">
            <v>0.5</v>
          </cell>
          <cell r="X300">
            <v>0.90200000000000002</v>
          </cell>
          <cell r="Y300">
            <v>0.85</v>
          </cell>
        </row>
        <row r="301">
          <cell r="A301" t="str">
            <v>PEU-2</v>
          </cell>
          <cell r="B301" t="str">
            <v>46-PK-8061-2</v>
          </cell>
          <cell r="C301" t="str">
            <v xml:space="preserve">Local Operator Panel </v>
          </cell>
          <cell r="D301">
            <v>4101</v>
          </cell>
          <cell r="E301" t="str">
            <v>ISBL</v>
          </cell>
          <cell r="J301" t="str">
            <v>3</v>
          </cell>
          <cell r="K301">
            <v>400</v>
          </cell>
          <cell r="L301" t="str">
            <v>AC</v>
          </cell>
          <cell r="M301" t="str">
            <v>F</v>
          </cell>
          <cell r="N301" t="str">
            <v>N</v>
          </cell>
          <cell r="O301">
            <v>0</v>
          </cell>
          <cell r="P301" t="str">
            <v>4850-NDB-301B</v>
          </cell>
          <cell r="Q301" t="str">
            <v>C</v>
          </cell>
          <cell r="S301">
            <v>0.5</v>
          </cell>
          <cell r="T301">
            <v>0.5</v>
          </cell>
          <cell r="X301">
            <v>0.90200000000000002</v>
          </cell>
          <cell r="Y301">
            <v>0.85</v>
          </cell>
        </row>
        <row r="302">
          <cell r="A302" t="str">
            <v>PEU-2</v>
          </cell>
          <cell r="B302" t="str">
            <v>41-PK-5040-2A</v>
          </cell>
          <cell r="C302" t="str">
            <v>Lube oil pump</v>
          </cell>
          <cell r="D302">
            <v>4104</v>
          </cell>
          <cell r="E302" t="str">
            <v>ISBL</v>
          </cell>
          <cell r="J302" t="str">
            <v>3</v>
          </cell>
          <cell r="K302">
            <v>400</v>
          </cell>
          <cell r="L302" t="str">
            <v>AC</v>
          </cell>
          <cell r="M302" t="str">
            <v>M</v>
          </cell>
          <cell r="N302" t="str">
            <v>N</v>
          </cell>
          <cell r="O302">
            <v>0</v>
          </cell>
          <cell r="P302" t="str">
            <v>4850-NDB-301A</v>
          </cell>
          <cell r="Q302" t="str">
            <v>C</v>
          </cell>
          <cell r="S302">
            <v>1.7600000000000002</v>
          </cell>
          <cell r="T302">
            <v>2.2000000000000002</v>
          </cell>
          <cell r="X302">
            <v>0.90200000000000002</v>
          </cell>
          <cell r="Y302">
            <v>0.85</v>
          </cell>
        </row>
        <row r="303">
          <cell r="A303" t="str">
            <v>PEU-2</v>
          </cell>
          <cell r="B303" t="str">
            <v>41-PK-5040-2B</v>
          </cell>
          <cell r="C303" t="str">
            <v>Lube oil pump</v>
          </cell>
          <cell r="D303">
            <v>4104</v>
          </cell>
          <cell r="E303" t="str">
            <v>ISBL</v>
          </cell>
          <cell r="J303" t="str">
            <v>3</v>
          </cell>
          <cell r="K303">
            <v>400</v>
          </cell>
          <cell r="L303" t="str">
            <v>AC</v>
          </cell>
          <cell r="M303" t="str">
            <v>M</v>
          </cell>
          <cell r="N303" t="str">
            <v>N</v>
          </cell>
          <cell r="O303">
            <v>0</v>
          </cell>
          <cell r="P303" t="str">
            <v>4850-NDB-301B</v>
          </cell>
          <cell r="Q303" t="str">
            <v>S</v>
          </cell>
          <cell r="S303">
            <v>1.7600000000000002</v>
          </cell>
          <cell r="T303">
            <v>2.2000000000000002</v>
          </cell>
          <cell r="X303">
            <v>0.90200000000000002</v>
          </cell>
          <cell r="Y303">
            <v>0.85</v>
          </cell>
        </row>
        <row r="304">
          <cell r="A304" t="str">
            <v>PEU-2</v>
          </cell>
          <cell r="B304" t="str">
            <v>41-PK-5040-4</v>
          </cell>
          <cell r="C304" t="str">
            <v>Local Operator Panel</v>
          </cell>
          <cell r="D304">
            <v>4104</v>
          </cell>
          <cell r="E304" t="str">
            <v>ISBL</v>
          </cell>
          <cell r="J304" t="str">
            <v>3</v>
          </cell>
          <cell r="K304">
            <v>400</v>
          </cell>
          <cell r="L304" t="str">
            <v>AC</v>
          </cell>
          <cell r="M304" t="str">
            <v>F</v>
          </cell>
          <cell r="N304" t="str">
            <v>N</v>
          </cell>
          <cell r="O304">
            <v>0</v>
          </cell>
          <cell r="P304" t="str">
            <v>4850-NDB-301B</v>
          </cell>
          <cell r="Q304" t="str">
            <v>S</v>
          </cell>
          <cell r="S304">
            <v>1</v>
          </cell>
          <cell r="T304">
            <v>1</v>
          </cell>
          <cell r="X304">
            <v>0.90200000000000002</v>
          </cell>
          <cell r="Y304">
            <v>0.85</v>
          </cell>
        </row>
        <row r="305">
          <cell r="A305" t="str">
            <v>PEU-2</v>
          </cell>
          <cell r="B305" t="str">
            <v>41-PK-5051-3</v>
          </cell>
          <cell r="C305" t="str">
            <v>Oil still pump motor</v>
          </cell>
          <cell r="D305">
            <v>4104</v>
          </cell>
          <cell r="E305" t="str">
            <v>ISBL</v>
          </cell>
          <cell r="J305" t="str">
            <v>3</v>
          </cell>
          <cell r="K305">
            <v>400</v>
          </cell>
          <cell r="L305" t="str">
            <v>AC</v>
          </cell>
          <cell r="M305" t="str">
            <v>M</v>
          </cell>
          <cell r="N305" t="str">
            <v>N</v>
          </cell>
          <cell r="O305">
            <v>0</v>
          </cell>
          <cell r="P305" t="str">
            <v>4850-NDB-301A</v>
          </cell>
          <cell r="Q305" t="str">
            <v>C</v>
          </cell>
          <cell r="S305">
            <v>2.96</v>
          </cell>
          <cell r="T305">
            <v>3.7</v>
          </cell>
          <cell r="X305">
            <v>0.90200000000000002</v>
          </cell>
          <cell r="Y305">
            <v>0.85</v>
          </cell>
        </row>
        <row r="306">
          <cell r="A306" t="str">
            <v>PEU-2</v>
          </cell>
          <cell r="B306" t="str">
            <v>41-PK-5051-5</v>
          </cell>
          <cell r="C306" t="str">
            <v>Electric heater for oil still drum</v>
          </cell>
          <cell r="D306">
            <v>0</v>
          </cell>
          <cell r="E306" t="str">
            <v>ISBL</v>
          </cell>
          <cell r="J306" t="str">
            <v>3</v>
          </cell>
          <cell r="K306">
            <v>400</v>
          </cell>
          <cell r="L306" t="str">
            <v>AC</v>
          </cell>
          <cell r="M306" t="str">
            <v>F</v>
          </cell>
          <cell r="N306" t="str">
            <v>N</v>
          </cell>
          <cell r="O306">
            <v>0</v>
          </cell>
          <cell r="P306" t="str">
            <v>4850-NDB-301B</v>
          </cell>
          <cell r="Q306" t="str">
            <v>C</v>
          </cell>
          <cell r="S306">
            <v>3</v>
          </cell>
          <cell r="T306">
            <v>3</v>
          </cell>
          <cell r="X306">
            <v>0.90200000000000002</v>
          </cell>
          <cell r="Y306">
            <v>0.85</v>
          </cell>
        </row>
        <row r="307">
          <cell r="A307" t="str">
            <v>PEU-2</v>
          </cell>
          <cell r="B307" t="str">
            <v>MR-012-1A</v>
          </cell>
          <cell r="C307" t="str">
            <v>Priming motor for Recycle Column Feed Pumps</v>
          </cell>
          <cell r="D307" t="str">
            <v>x</v>
          </cell>
          <cell r="E307" t="str">
            <v>ISBL</v>
          </cell>
          <cell r="J307" t="str">
            <v>3</v>
          </cell>
          <cell r="K307">
            <v>400</v>
          </cell>
          <cell r="L307" t="str">
            <v>AC</v>
          </cell>
          <cell r="M307" t="str">
            <v>M</v>
          </cell>
          <cell r="N307" t="str">
            <v>N</v>
          </cell>
          <cell r="O307">
            <v>0</v>
          </cell>
          <cell r="P307" t="str">
            <v>4850-NDB-301A</v>
          </cell>
          <cell r="Q307" t="str">
            <v>C</v>
          </cell>
          <cell r="S307">
            <v>0.6</v>
          </cell>
          <cell r="T307">
            <v>0.75</v>
          </cell>
          <cell r="X307">
            <v>0.90200000000000002</v>
          </cell>
          <cell r="Y307">
            <v>0.85</v>
          </cell>
        </row>
        <row r="308">
          <cell r="A308" t="str">
            <v>PEU-2</v>
          </cell>
          <cell r="B308" t="str">
            <v>MR-012-1B</v>
          </cell>
          <cell r="C308" t="str">
            <v>Priming motor for Recycle Column Feed Pumps</v>
          </cell>
          <cell r="D308" t="str">
            <v>x</v>
          </cell>
          <cell r="E308" t="str">
            <v>ISBL</v>
          </cell>
          <cell r="J308" t="str">
            <v>3</v>
          </cell>
          <cell r="K308">
            <v>400</v>
          </cell>
          <cell r="L308" t="str">
            <v>AC</v>
          </cell>
          <cell r="M308" t="str">
            <v>M</v>
          </cell>
          <cell r="N308" t="str">
            <v>N</v>
          </cell>
          <cell r="O308">
            <v>0</v>
          </cell>
          <cell r="P308" t="str">
            <v>4850-NDB-301B</v>
          </cell>
          <cell r="Q308" t="str">
            <v>S</v>
          </cell>
          <cell r="S308">
            <v>0.6</v>
          </cell>
          <cell r="T308">
            <v>0.75</v>
          </cell>
          <cell r="X308">
            <v>0.90200000000000002</v>
          </cell>
          <cell r="Y308">
            <v>0.85</v>
          </cell>
        </row>
        <row r="309">
          <cell r="A309" t="str">
            <v>PEU-2</v>
          </cell>
          <cell r="B309" t="str">
            <v>41-MI-3001</v>
          </cell>
          <cell r="C309" t="str">
            <v>ZN Catalyst Drum Scale</v>
          </cell>
          <cell r="D309">
            <v>4105</v>
          </cell>
          <cell r="E309" t="str">
            <v>ISBL</v>
          </cell>
          <cell r="J309" t="str">
            <v>3</v>
          </cell>
          <cell r="K309">
            <v>400</v>
          </cell>
          <cell r="L309" t="str">
            <v>AC</v>
          </cell>
          <cell r="M309" t="str">
            <v>M</v>
          </cell>
          <cell r="N309" t="str">
            <v>N</v>
          </cell>
          <cell r="O309">
            <v>0</v>
          </cell>
          <cell r="P309" t="str">
            <v>4850-NDB-301B</v>
          </cell>
          <cell r="Q309" t="str">
            <v>I</v>
          </cell>
          <cell r="S309">
            <v>0.02</v>
          </cell>
          <cell r="T309">
            <v>0.02</v>
          </cell>
          <cell r="X309">
            <v>0.90200000000000002</v>
          </cell>
          <cell r="Y309">
            <v>0.85</v>
          </cell>
        </row>
        <row r="310">
          <cell r="A310" t="str">
            <v>PEU-2</v>
          </cell>
          <cell r="B310" t="str">
            <v>41-P-3202A</v>
          </cell>
          <cell r="C310" t="str">
            <v>ZN Catalyst Feed Pump</v>
          </cell>
          <cell r="D310">
            <v>4105</v>
          </cell>
          <cell r="E310" t="str">
            <v>ISBL</v>
          </cell>
          <cell r="J310" t="str">
            <v>3</v>
          </cell>
          <cell r="K310">
            <v>400</v>
          </cell>
          <cell r="L310" t="str">
            <v>AC</v>
          </cell>
          <cell r="M310" t="str">
            <v>M</v>
          </cell>
          <cell r="N310" t="str">
            <v>N</v>
          </cell>
          <cell r="O310">
            <v>0</v>
          </cell>
          <cell r="P310" t="str">
            <v>4850-NDB-301A</v>
          </cell>
          <cell r="Q310" t="str">
            <v>C</v>
          </cell>
          <cell r="S310">
            <v>1</v>
          </cell>
          <cell r="T310">
            <v>1.5</v>
          </cell>
          <cell r="X310">
            <v>0.93</v>
          </cell>
          <cell r="Y310">
            <v>0.85</v>
          </cell>
        </row>
        <row r="311">
          <cell r="A311" t="str">
            <v>PEU-2</v>
          </cell>
          <cell r="B311" t="str">
            <v>41-P-3202B</v>
          </cell>
          <cell r="C311" t="str">
            <v>ZN Catalyst Feed Pump</v>
          </cell>
          <cell r="D311">
            <v>4105</v>
          </cell>
          <cell r="E311" t="str">
            <v>ISBL</v>
          </cell>
          <cell r="J311" t="str">
            <v>3</v>
          </cell>
          <cell r="K311">
            <v>400</v>
          </cell>
          <cell r="L311" t="str">
            <v>AC</v>
          </cell>
          <cell r="M311" t="str">
            <v>M</v>
          </cell>
          <cell r="N311" t="str">
            <v>N</v>
          </cell>
          <cell r="O311">
            <v>0</v>
          </cell>
          <cell r="P311" t="str">
            <v>4850-NDB-301B</v>
          </cell>
          <cell r="Q311" t="str">
            <v>C</v>
          </cell>
          <cell r="S311">
            <v>1</v>
          </cell>
          <cell r="T311">
            <v>1.5</v>
          </cell>
          <cell r="X311">
            <v>0.86899999999999999</v>
          </cell>
          <cell r="Y311">
            <v>0.85</v>
          </cell>
        </row>
        <row r="312">
          <cell r="A312" t="str">
            <v>PEU-2</v>
          </cell>
          <cell r="B312" t="str">
            <v>41-P-3202C</v>
          </cell>
          <cell r="C312" t="str">
            <v>ZN Catalyst Feed Pump</v>
          </cell>
          <cell r="D312">
            <v>4105</v>
          </cell>
          <cell r="E312" t="str">
            <v>ISBL</v>
          </cell>
          <cell r="J312" t="str">
            <v>3</v>
          </cell>
          <cell r="K312">
            <v>400</v>
          </cell>
          <cell r="L312" t="str">
            <v>AC</v>
          </cell>
          <cell r="M312" t="str">
            <v>M</v>
          </cell>
          <cell r="N312" t="str">
            <v>N</v>
          </cell>
          <cell r="O312">
            <v>0</v>
          </cell>
          <cell r="P312" t="str">
            <v>4850-NDB-301A</v>
          </cell>
          <cell r="Q312" t="str">
            <v>S</v>
          </cell>
          <cell r="S312">
            <v>1</v>
          </cell>
          <cell r="T312">
            <v>1.5</v>
          </cell>
          <cell r="X312">
            <v>0.86899999999999999</v>
          </cell>
          <cell r="Y312">
            <v>0.85</v>
          </cell>
        </row>
        <row r="313">
          <cell r="A313" t="str">
            <v>PEU-2</v>
          </cell>
          <cell r="B313" t="str">
            <v>41-P-4005</v>
          </cell>
          <cell r="C313" t="str">
            <v>Spare Neat TEAl Pump</v>
          </cell>
          <cell r="D313">
            <v>4105</v>
          </cell>
          <cell r="E313" t="str">
            <v>ISBL</v>
          </cell>
          <cell r="J313" t="str">
            <v>3</v>
          </cell>
          <cell r="K313">
            <v>400</v>
          </cell>
          <cell r="L313" t="str">
            <v>AC</v>
          </cell>
          <cell r="M313" t="str">
            <v>M</v>
          </cell>
          <cell r="N313" t="str">
            <v>N</v>
          </cell>
          <cell r="O313">
            <v>0</v>
          </cell>
          <cell r="P313" t="str">
            <v>4850-NDB-301B</v>
          </cell>
          <cell r="Q313" t="str">
            <v>S</v>
          </cell>
          <cell r="S313">
            <v>0.1</v>
          </cell>
          <cell r="T313">
            <v>0.37</v>
          </cell>
          <cell r="X313">
            <v>1</v>
          </cell>
          <cell r="Y313">
            <v>0.85</v>
          </cell>
        </row>
        <row r="314">
          <cell r="A314" t="str">
            <v>PEU-2</v>
          </cell>
          <cell r="B314" t="str">
            <v>41-P-4105</v>
          </cell>
          <cell r="C314" t="str">
            <v>Reactor A Neat TEAl Pump</v>
          </cell>
          <cell r="D314">
            <v>4105</v>
          </cell>
          <cell r="E314" t="str">
            <v>ISBL</v>
          </cell>
          <cell r="J314" t="str">
            <v>3</v>
          </cell>
          <cell r="K314">
            <v>400</v>
          </cell>
          <cell r="L314" t="str">
            <v>AC</v>
          </cell>
          <cell r="M314" t="str">
            <v>M</v>
          </cell>
          <cell r="N314" t="str">
            <v>N</v>
          </cell>
          <cell r="O314">
            <v>0</v>
          </cell>
          <cell r="P314" t="str">
            <v>4850-NDB-301A</v>
          </cell>
          <cell r="Q314" t="str">
            <v>C</v>
          </cell>
          <cell r="S314">
            <v>0.1</v>
          </cell>
          <cell r="T314">
            <v>0.37</v>
          </cell>
          <cell r="X314">
            <v>0.94099999999999995</v>
          </cell>
          <cell r="Y314">
            <v>0.85</v>
          </cell>
        </row>
        <row r="315">
          <cell r="A315" t="str">
            <v>PEU-2</v>
          </cell>
          <cell r="B315" t="str">
            <v>41-P-4205</v>
          </cell>
          <cell r="C315" t="str">
            <v>Reactor B Neat TEAl Pump</v>
          </cell>
          <cell r="D315">
            <v>4105</v>
          </cell>
          <cell r="E315" t="str">
            <v>ISBL</v>
          </cell>
          <cell r="J315" t="str">
            <v>3</v>
          </cell>
          <cell r="K315">
            <v>400</v>
          </cell>
          <cell r="L315" t="str">
            <v>AC</v>
          </cell>
          <cell r="M315" t="str">
            <v>M</v>
          </cell>
          <cell r="N315" t="str">
            <v>N</v>
          </cell>
          <cell r="O315">
            <v>0</v>
          </cell>
          <cell r="P315" t="str">
            <v>4850-NDB-301B</v>
          </cell>
          <cell r="Q315" t="str">
            <v>C</v>
          </cell>
          <cell r="S315">
            <v>0.1</v>
          </cell>
          <cell r="T315">
            <v>0.37</v>
          </cell>
          <cell r="X315">
            <v>0.94099999999999995</v>
          </cell>
          <cell r="Y315">
            <v>0.85</v>
          </cell>
        </row>
        <row r="316">
          <cell r="A316" t="str">
            <v>PEU-2</v>
          </cell>
          <cell r="B316" t="str">
            <v>41-P-4060</v>
          </cell>
          <cell r="C316" t="str">
            <v>Spare TiBAl Pump</v>
          </cell>
          <cell r="D316">
            <v>4105</v>
          </cell>
          <cell r="E316" t="str">
            <v>ISBL</v>
          </cell>
          <cell r="J316" t="str">
            <v>3</v>
          </cell>
          <cell r="K316">
            <v>400</v>
          </cell>
          <cell r="L316" t="str">
            <v>AC</v>
          </cell>
          <cell r="M316" t="str">
            <v>M</v>
          </cell>
          <cell r="N316" t="str">
            <v>N</v>
          </cell>
          <cell r="O316">
            <v>0</v>
          </cell>
          <cell r="P316" t="str">
            <v>4850-NDB-301A</v>
          </cell>
          <cell r="Q316" t="str">
            <v>S</v>
          </cell>
          <cell r="S316">
            <v>0.2</v>
          </cell>
          <cell r="T316">
            <v>0.37</v>
          </cell>
          <cell r="X316">
            <v>0.68</v>
          </cell>
          <cell r="Y316">
            <v>0.85</v>
          </cell>
        </row>
        <row r="317">
          <cell r="A317" t="str">
            <v>PEU-2</v>
          </cell>
          <cell r="B317" t="str">
            <v>41-P-4160</v>
          </cell>
          <cell r="C317" t="str">
            <v>Reactor A TiBAl Pump</v>
          </cell>
          <cell r="D317">
            <v>4105</v>
          </cell>
          <cell r="E317" t="str">
            <v>ISBL</v>
          </cell>
          <cell r="J317" t="str">
            <v>3</v>
          </cell>
          <cell r="K317">
            <v>400</v>
          </cell>
          <cell r="L317" t="str">
            <v>AC</v>
          </cell>
          <cell r="M317" t="str">
            <v>M</v>
          </cell>
          <cell r="N317" t="str">
            <v>N</v>
          </cell>
          <cell r="O317">
            <v>0</v>
          </cell>
          <cell r="P317" t="str">
            <v>4850-NDB-301B</v>
          </cell>
          <cell r="Q317" t="str">
            <v>C</v>
          </cell>
          <cell r="S317">
            <v>0.2</v>
          </cell>
          <cell r="T317">
            <v>0.37</v>
          </cell>
          <cell r="X317">
            <v>0.68</v>
          </cell>
          <cell r="Y317">
            <v>0.85</v>
          </cell>
        </row>
        <row r="318">
          <cell r="A318" t="str">
            <v>PEU-2</v>
          </cell>
          <cell r="B318" t="str">
            <v>41-P-4260</v>
          </cell>
          <cell r="C318" t="str">
            <v>Reactor B TiBAl Pump</v>
          </cell>
          <cell r="D318">
            <v>4105</v>
          </cell>
          <cell r="E318" t="str">
            <v>ISBL</v>
          </cell>
          <cell r="J318" t="str">
            <v>3</v>
          </cell>
          <cell r="K318">
            <v>400</v>
          </cell>
          <cell r="L318" t="str">
            <v>AC</v>
          </cell>
          <cell r="M318" t="str">
            <v>M</v>
          </cell>
          <cell r="N318" t="str">
            <v>N</v>
          </cell>
          <cell r="O318">
            <v>0</v>
          </cell>
          <cell r="P318" t="str">
            <v>4850-NDB-301A</v>
          </cell>
          <cell r="Q318" t="str">
            <v>C</v>
          </cell>
          <cell r="S318">
            <v>0.2</v>
          </cell>
          <cell r="T318">
            <v>0.37</v>
          </cell>
          <cell r="X318">
            <v>0.93</v>
          </cell>
          <cell r="Y318">
            <v>0.85</v>
          </cell>
        </row>
        <row r="319">
          <cell r="A319" t="str">
            <v>PEU-2</v>
          </cell>
          <cell r="B319" t="str">
            <v>41-P-3103A</v>
          </cell>
          <cell r="C319" t="str">
            <v>PF Catalyst Feed Pump</v>
          </cell>
          <cell r="D319">
            <v>4105</v>
          </cell>
          <cell r="E319" t="str">
            <v>ISBL</v>
          </cell>
          <cell r="J319" t="str">
            <v>3</v>
          </cell>
          <cell r="K319">
            <v>400</v>
          </cell>
          <cell r="L319" t="str">
            <v>AC</v>
          </cell>
          <cell r="M319" t="str">
            <v>M</v>
          </cell>
          <cell r="N319" t="str">
            <v>N</v>
          </cell>
          <cell r="O319">
            <v>0</v>
          </cell>
          <cell r="P319" t="str">
            <v>4850-NDB-301B</v>
          </cell>
          <cell r="Q319" t="str">
            <v>C</v>
          </cell>
          <cell r="S319">
            <v>1</v>
          </cell>
          <cell r="T319">
            <v>1.5</v>
          </cell>
          <cell r="X319">
            <v>0.93</v>
          </cell>
          <cell r="Y319">
            <v>0.85</v>
          </cell>
        </row>
        <row r="320">
          <cell r="A320" t="str">
            <v>PEU-2</v>
          </cell>
          <cell r="B320" t="str">
            <v>41-P-3103B</v>
          </cell>
          <cell r="C320" t="str">
            <v>PF Catalyst Feed Pump</v>
          </cell>
          <cell r="D320">
            <v>4105</v>
          </cell>
          <cell r="E320" t="str">
            <v>ISBL</v>
          </cell>
          <cell r="J320" t="str">
            <v>3</v>
          </cell>
          <cell r="K320">
            <v>400</v>
          </cell>
          <cell r="L320" t="str">
            <v>AC</v>
          </cell>
          <cell r="M320" t="str">
            <v>M</v>
          </cell>
          <cell r="N320" t="str">
            <v>N</v>
          </cell>
          <cell r="O320">
            <v>0</v>
          </cell>
          <cell r="P320" t="str">
            <v>4850-NDB-301A</v>
          </cell>
          <cell r="Q320" t="str">
            <v>C</v>
          </cell>
          <cell r="S320">
            <v>1</v>
          </cell>
          <cell r="T320">
            <v>1.5</v>
          </cell>
          <cell r="X320">
            <v>0.86899999999999999</v>
          </cell>
          <cell r="Y320">
            <v>0.85</v>
          </cell>
        </row>
        <row r="321">
          <cell r="A321" t="str">
            <v>PEU-2</v>
          </cell>
          <cell r="B321" t="str">
            <v>41-P-3103C</v>
          </cell>
          <cell r="C321" t="str">
            <v>PF Catalyst Feed Pump</v>
          </cell>
          <cell r="D321">
            <v>41054105</v>
          </cell>
          <cell r="E321" t="str">
            <v>ISBL</v>
          </cell>
          <cell r="J321" t="str">
            <v>3</v>
          </cell>
          <cell r="K321">
            <v>400</v>
          </cell>
          <cell r="L321" t="str">
            <v>AC</v>
          </cell>
          <cell r="M321" t="str">
            <v>M</v>
          </cell>
          <cell r="N321" t="str">
            <v>N</v>
          </cell>
          <cell r="O321">
            <v>0</v>
          </cell>
          <cell r="P321" t="str">
            <v>4850-NDB-301A</v>
          </cell>
          <cell r="Q321" t="str">
            <v>S</v>
          </cell>
          <cell r="S321">
            <v>1</v>
          </cell>
          <cell r="T321">
            <v>1.5</v>
          </cell>
          <cell r="X321">
            <v>0.86899999999999999</v>
          </cell>
          <cell r="Y321">
            <v>0.85</v>
          </cell>
        </row>
        <row r="322">
          <cell r="A322" t="str">
            <v>PEU-2</v>
          </cell>
          <cell r="B322" t="str">
            <v>41-P-4006</v>
          </cell>
          <cell r="C322" t="str">
            <v>Spare Dilute TEAl Pump</v>
          </cell>
          <cell r="D322">
            <v>4105</v>
          </cell>
          <cell r="E322" t="str">
            <v>ISBL</v>
          </cell>
          <cell r="J322" t="str">
            <v>3</v>
          </cell>
          <cell r="K322">
            <v>400</v>
          </cell>
          <cell r="L322" t="str">
            <v>AC</v>
          </cell>
          <cell r="M322" t="str">
            <v>M</v>
          </cell>
          <cell r="N322" t="str">
            <v>N</v>
          </cell>
          <cell r="O322">
            <v>0</v>
          </cell>
          <cell r="P322" t="str">
            <v>4850-NDB-301B</v>
          </cell>
          <cell r="Q322" t="str">
            <v>S</v>
          </cell>
          <cell r="S322">
            <v>0.2</v>
          </cell>
          <cell r="T322">
            <v>0.37</v>
          </cell>
          <cell r="X322">
            <v>0.78600000000000003</v>
          </cell>
          <cell r="Y322">
            <v>0.85</v>
          </cell>
        </row>
        <row r="323">
          <cell r="A323" t="str">
            <v>PEU-2</v>
          </cell>
          <cell r="B323" t="str">
            <v>41-P-4106</v>
          </cell>
          <cell r="C323" t="str">
            <v>Reactor A Dilute TEAl Pump</v>
          </cell>
          <cell r="D323">
            <v>4105</v>
          </cell>
          <cell r="E323" t="str">
            <v>ISBL</v>
          </cell>
          <cell r="J323" t="str">
            <v>3</v>
          </cell>
          <cell r="K323">
            <v>400</v>
          </cell>
          <cell r="L323" t="str">
            <v>AC</v>
          </cell>
          <cell r="M323" t="str">
            <v>M</v>
          </cell>
          <cell r="N323" t="str">
            <v>N</v>
          </cell>
          <cell r="O323">
            <v>0</v>
          </cell>
          <cell r="P323" t="str">
            <v>4850-NDB-301A</v>
          </cell>
          <cell r="Q323" t="str">
            <v>C</v>
          </cell>
          <cell r="S323">
            <v>0.2</v>
          </cell>
          <cell r="T323">
            <v>0.37</v>
          </cell>
          <cell r="X323">
            <v>0.78600000000000003</v>
          </cell>
          <cell r="Y323">
            <v>0.85</v>
          </cell>
        </row>
        <row r="324">
          <cell r="A324" t="str">
            <v>LAO</v>
          </cell>
          <cell r="B324" t="str">
            <v>MR-012-2A</v>
          </cell>
          <cell r="C324" t="str">
            <v>Priming motor for Recycle Column Feed Pumps</v>
          </cell>
          <cell r="D324" t="str">
            <v>x</v>
          </cell>
          <cell r="E324" t="str">
            <v>ISBL</v>
          </cell>
          <cell r="J324" t="str">
            <v>3</v>
          </cell>
          <cell r="K324">
            <v>400</v>
          </cell>
          <cell r="L324" t="str">
            <v>AC</v>
          </cell>
          <cell r="M324" t="str">
            <v>M</v>
          </cell>
          <cell r="N324" t="str">
            <v>N</v>
          </cell>
          <cell r="O324">
            <v>0</v>
          </cell>
          <cell r="P324" t="str">
            <v>4850-NDB-301A</v>
          </cell>
          <cell r="Q324" t="str">
            <v>C</v>
          </cell>
          <cell r="S324">
            <v>0.5</v>
          </cell>
          <cell r="T324">
            <v>0.75</v>
          </cell>
          <cell r="X324">
            <v>0.90200000000000002</v>
          </cell>
          <cell r="Y324">
            <v>0.85</v>
          </cell>
        </row>
        <row r="325">
          <cell r="A325" t="str">
            <v>LAO</v>
          </cell>
          <cell r="B325" t="str">
            <v>MR-012-2B</v>
          </cell>
          <cell r="C325" t="str">
            <v>Priming motor for Recycle Column Feed Pumps</v>
          </cell>
          <cell r="D325" t="str">
            <v>x</v>
          </cell>
          <cell r="E325" t="str">
            <v>ISBL</v>
          </cell>
          <cell r="J325" t="str">
            <v>3</v>
          </cell>
          <cell r="K325">
            <v>400</v>
          </cell>
          <cell r="L325" t="str">
            <v>AC</v>
          </cell>
          <cell r="M325" t="str">
            <v>M</v>
          </cell>
          <cell r="N325" t="str">
            <v>N</v>
          </cell>
          <cell r="O325">
            <v>0</v>
          </cell>
          <cell r="P325" t="str">
            <v>4850-NDB-301B</v>
          </cell>
          <cell r="Q325" t="str">
            <v>S</v>
          </cell>
          <cell r="S325">
            <v>0.5</v>
          </cell>
          <cell r="T325">
            <v>0.75</v>
          </cell>
          <cell r="X325">
            <v>0.90200000000000002</v>
          </cell>
          <cell r="Y325">
            <v>0.85</v>
          </cell>
        </row>
        <row r="326">
          <cell r="A326" t="str">
            <v>LAO</v>
          </cell>
          <cell r="B326" t="str">
            <v>51-P-1001A</v>
          </cell>
          <cell r="C326" t="str">
            <v>LC 2254 Pumps</v>
          </cell>
          <cell r="D326">
            <v>5101</v>
          </cell>
          <cell r="E326" t="str">
            <v>ISBL</v>
          </cell>
          <cell r="J326" t="str">
            <v>3</v>
          </cell>
          <cell r="K326">
            <v>400</v>
          </cell>
          <cell r="L326" t="str">
            <v>AC</v>
          </cell>
          <cell r="M326" t="str">
            <v>M</v>
          </cell>
          <cell r="N326" t="str">
            <v>N</v>
          </cell>
          <cell r="O326">
            <v>0</v>
          </cell>
          <cell r="P326" t="str">
            <v>4850-NDB-301B</v>
          </cell>
          <cell r="Q326" t="str">
            <v>C</v>
          </cell>
          <cell r="S326">
            <v>0.4</v>
          </cell>
          <cell r="T326">
            <v>0.55000000000000004</v>
          </cell>
          <cell r="X326">
            <v>0.78600000000000003</v>
          </cell>
          <cell r="Y326">
            <v>0.85</v>
          </cell>
        </row>
        <row r="327">
          <cell r="A327" t="str">
            <v>LAO</v>
          </cell>
          <cell r="B327" t="str">
            <v>51-P-1001B</v>
          </cell>
          <cell r="C327" t="str">
            <v>LC 2254 Pumps</v>
          </cell>
          <cell r="D327">
            <v>5101</v>
          </cell>
          <cell r="E327" t="str">
            <v>ISBL</v>
          </cell>
          <cell r="J327" t="str">
            <v>3</v>
          </cell>
          <cell r="K327">
            <v>400</v>
          </cell>
          <cell r="L327" t="str">
            <v>AC</v>
          </cell>
          <cell r="M327" t="str">
            <v>M</v>
          </cell>
          <cell r="N327" t="str">
            <v>N</v>
          </cell>
          <cell r="O327">
            <v>0</v>
          </cell>
          <cell r="P327" t="str">
            <v>4850-NDB-301A</v>
          </cell>
          <cell r="Q327" t="str">
            <v>S</v>
          </cell>
          <cell r="S327">
            <v>0.4</v>
          </cell>
          <cell r="T327">
            <v>0.55000000000000004</v>
          </cell>
          <cell r="X327">
            <v>0.78600000000000003</v>
          </cell>
          <cell r="Y327">
            <v>0.85</v>
          </cell>
        </row>
        <row r="328">
          <cell r="A328" t="str">
            <v>LAO</v>
          </cell>
          <cell r="B328" t="str">
            <v>51-P-1010A</v>
          </cell>
          <cell r="C328" t="str">
            <v>Amine Pumps</v>
          </cell>
          <cell r="D328">
            <v>5101</v>
          </cell>
          <cell r="E328" t="str">
            <v>ISBL</v>
          </cell>
          <cell r="J328" t="str">
            <v>3</v>
          </cell>
          <cell r="K328">
            <v>400</v>
          </cell>
          <cell r="L328" t="str">
            <v>AC</v>
          </cell>
          <cell r="M328" t="str">
            <v>M</v>
          </cell>
          <cell r="N328" t="str">
            <v>N</v>
          </cell>
          <cell r="O328">
            <v>0</v>
          </cell>
          <cell r="P328" t="str">
            <v>4850-NDB-301B</v>
          </cell>
          <cell r="Q328" t="str">
            <v>C</v>
          </cell>
          <cell r="S328">
            <v>0.4</v>
          </cell>
          <cell r="T328">
            <v>0.55000000000000004</v>
          </cell>
          <cell r="X328">
            <v>0.78600000000000003</v>
          </cell>
          <cell r="Y328">
            <v>0.85</v>
          </cell>
        </row>
        <row r="329">
          <cell r="A329" t="str">
            <v>LAO</v>
          </cell>
          <cell r="B329" t="str">
            <v>51-P-1010B</v>
          </cell>
          <cell r="C329" t="str">
            <v>Amine Pumps</v>
          </cell>
          <cell r="D329">
            <v>5101</v>
          </cell>
          <cell r="E329" t="str">
            <v>ISBL</v>
          </cell>
          <cell r="J329" t="str">
            <v>3</v>
          </cell>
          <cell r="K329">
            <v>400</v>
          </cell>
          <cell r="L329" t="str">
            <v>AC</v>
          </cell>
          <cell r="M329" t="str">
            <v>M</v>
          </cell>
          <cell r="N329" t="str">
            <v>N</v>
          </cell>
          <cell r="O329">
            <v>0</v>
          </cell>
          <cell r="P329" t="str">
            <v>4850-NDB-301A</v>
          </cell>
          <cell r="Q329" t="str">
            <v>S</v>
          </cell>
          <cell r="S329">
            <v>0.4</v>
          </cell>
          <cell r="T329">
            <v>0.55000000000000004</v>
          </cell>
          <cell r="X329">
            <v>0.78600000000000003</v>
          </cell>
          <cell r="Y329">
            <v>0.85</v>
          </cell>
        </row>
        <row r="330">
          <cell r="A330" t="str">
            <v>LAO</v>
          </cell>
          <cell r="B330" t="str">
            <v>51-P-1013A</v>
          </cell>
          <cell r="C330" t="str">
            <v>Flushing Pumps</v>
          </cell>
          <cell r="D330">
            <v>5101</v>
          </cell>
          <cell r="E330" t="str">
            <v>ISBL</v>
          </cell>
          <cell r="J330" t="str">
            <v>3</v>
          </cell>
          <cell r="K330">
            <v>400</v>
          </cell>
          <cell r="L330" t="str">
            <v>AC</v>
          </cell>
          <cell r="M330" t="str">
            <v>M</v>
          </cell>
          <cell r="N330" t="str">
            <v>N</v>
          </cell>
          <cell r="O330">
            <v>0</v>
          </cell>
          <cell r="P330" t="str">
            <v>4850-NDB-301B</v>
          </cell>
          <cell r="Q330" t="str">
            <v>C</v>
          </cell>
          <cell r="S330">
            <v>1.3</v>
          </cell>
          <cell r="T330">
            <v>2.2000000000000002</v>
          </cell>
          <cell r="X330">
            <v>0.78600000000000003</v>
          </cell>
          <cell r="Y330">
            <v>0.85</v>
          </cell>
        </row>
        <row r="331">
          <cell r="A331" t="str">
            <v>LAO</v>
          </cell>
          <cell r="B331" t="str">
            <v>51-P-1013B</v>
          </cell>
          <cell r="C331" t="str">
            <v>Flushing Pumps</v>
          </cell>
          <cell r="D331">
            <v>5101</v>
          </cell>
          <cell r="E331" t="str">
            <v>ISBL</v>
          </cell>
          <cell r="J331" t="str">
            <v>3</v>
          </cell>
          <cell r="K331">
            <v>400</v>
          </cell>
          <cell r="L331" t="str">
            <v>AC</v>
          </cell>
          <cell r="M331" t="str">
            <v>M</v>
          </cell>
          <cell r="N331" t="str">
            <v>N</v>
          </cell>
          <cell r="O331">
            <v>0</v>
          </cell>
          <cell r="P331" t="str">
            <v>4850-NDB-301A</v>
          </cell>
          <cell r="Q331" t="str">
            <v>S</v>
          </cell>
          <cell r="S331">
            <v>1.3</v>
          </cell>
          <cell r="T331">
            <v>2.2000000000000002</v>
          </cell>
          <cell r="X331">
            <v>0.78600000000000003</v>
          </cell>
          <cell r="Y331">
            <v>0.85</v>
          </cell>
        </row>
        <row r="332">
          <cell r="A332" t="str">
            <v>LAO</v>
          </cell>
          <cell r="B332" t="str">
            <v>51-P-1012A</v>
          </cell>
          <cell r="C332" t="str">
            <v xml:space="preserve">Catalyst Solvent Pumps </v>
          </cell>
          <cell r="D332">
            <v>4105</v>
          </cell>
          <cell r="E332" t="str">
            <v>ISBL</v>
          </cell>
          <cell r="J332" t="str">
            <v>3</v>
          </cell>
          <cell r="K332">
            <v>400</v>
          </cell>
          <cell r="L332" t="str">
            <v>AC</v>
          </cell>
          <cell r="M332" t="str">
            <v>M</v>
          </cell>
          <cell r="N332" t="str">
            <v>N</v>
          </cell>
          <cell r="O332">
            <v>0</v>
          </cell>
          <cell r="P332" t="str">
            <v>4850-NDB-301B</v>
          </cell>
          <cell r="Q332" t="str">
            <v>C</v>
          </cell>
          <cell r="S332">
            <v>0.6</v>
          </cell>
          <cell r="T332">
            <v>1.5</v>
          </cell>
          <cell r="X332">
            <v>0.78600000000000003</v>
          </cell>
          <cell r="Y332">
            <v>0.85</v>
          </cell>
        </row>
        <row r="333">
          <cell r="A333" t="str">
            <v>LAO</v>
          </cell>
          <cell r="B333" t="str">
            <v>51-P-1012B</v>
          </cell>
          <cell r="C333" t="str">
            <v xml:space="preserve">Catalyst Solvent Pumps </v>
          </cell>
          <cell r="D333">
            <v>4105</v>
          </cell>
          <cell r="E333" t="str">
            <v>ISBL</v>
          </cell>
          <cell r="J333" t="str">
            <v>3</v>
          </cell>
          <cell r="K333">
            <v>400</v>
          </cell>
          <cell r="L333" t="str">
            <v>AC</v>
          </cell>
          <cell r="M333" t="str">
            <v>M</v>
          </cell>
          <cell r="N333" t="str">
            <v>N</v>
          </cell>
          <cell r="O333">
            <v>0</v>
          </cell>
          <cell r="P333" t="str">
            <v>4850-NDB-301A</v>
          </cell>
          <cell r="Q333" t="str">
            <v>S</v>
          </cell>
          <cell r="S333">
            <v>0.6</v>
          </cell>
          <cell r="T333">
            <v>1.5</v>
          </cell>
          <cell r="X333">
            <v>0.78600000000000003</v>
          </cell>
          <cell r="Y333">
            <v>0.85</v>
          </cell>
        </row>
        <row r="334">
          <cell r="A334" t="str">
            <v>LAO</v>
          </cell>
          <cell r="B334" t="str">
            <v>51-PK-1001-2A</v>
          </cell>
          <cell r="C334" t="str">
            <v xml:space="preserve">TEA Pump </v>
          </cell>
          <cell r="D334">
            <v>5101</v>
          </cell>
          <cell r="E334" t="str">
            <v>ISBL</v>
          </cell>
          <cell r="J334" t="str">
            <v>3</v>
          </cell>
          <cell r="K334">
            <v>400</v>
          </cell>
          <cell r="L334" t="str">
            <v>AC</v>
          </cell>
          <cell r="M334" t="str">
            <v>M</v>
          </cell>
          <cell r="N334" t="str">
            <v>N</v>
          </cell>
          <cell r="O334">
            <v>0</v>
          </cell>
          <cell r="P334" t="str">
            <v>4850-NDB-301A</v>
          </cell>
          <cell r="Q334" t="str">
            <v>C</v>
          </cell>
          <cell r="S334">
            <v>0.5625</v>
          </cell>
          <cell r="T334">
            <v>0.75</v>
          </cell>
          <cell r="X334">
            <v>0.78600000000000003</v>
          </cell>
          <cell r="Y334">
            <v>0.85</v>
          </cell>
        </row>
        <row r="335">
          <cell r="A335" t="str">
            <v>LAO</v>
          </cell>
          <cell r="B335" t="str">
            <v>51-PK-1001-2B</v>
          </cell>
          <cell r="C335" t="str">
            <v xml:space="preserve">TEA Pump </v>
          </cell>
          <cell r="D335">
            <v>5101</v>
          </cell>
          <cell r="E335" t="str">
            <v>ISBL</v>
          </cell>
          <cell r="J335" t="str">
            <v>3</v>
          </cell>
          <cell r="K335">
            <v>400</v>
          </cell>
          <cell r="L335" t="str">
            <v>AC</v>
          </cell>
          <cell r="M335" t="str">
            <v>M</v>
          </cell>
          <cell r="N335" t="str">
            <v>N</v>
          </cell>
          <cell r="O335">
            <v>0</v>
          </cell>
          <cell r="P335" t="str">
            <v>4850-NDB-301B</v>
          </cell>
          <cell r="Q335" t="str">
            <v>S</v>
          </cell>
          <cell r="S335">
            <v>0.5625</v>
          </cell>
          <cell r="T335">
            <v>0.75</v>
          </cell>
          <cell r="X335">
            <v>0.78600000000000003</v>
          </cell>
          <cell r="Y335">
            <v>0.85</v>
          </cell>
        </row>
        <row r="336">
          <cell r="A336" t="str">
            <v>LAO</v>
          </cell>
          <cell r="B336" t="str">
            <v>51-PK-1001-3</v>
          </cell>
          <cell r="C336" t="str">
            <v xml:space="preserve">Seal Pumpout Pump </v>
          </cell>
          <cell r="D336">
            <v>5101</v>
          </cell>
          <cell r="E336" t="str">
            <v>ISBL</v>
          </cell>
          <cell r="J336" t="str">
            <v>3</v>
          </cell>
          <cell r="K336">
            <v>400</v>
          </cell>
          <cell r="L336" t="str">
            <v>AC</v>
          </cell>
          <cell r="M336" t="str">
            <v>M</v>
          </cell>
          <cell r="N336" t="str">
            <v>N</v>
          </cell>
          <cell r="O336">
            <v>0</v>
          </cell>
          <cell r="P336" t="str">
            <v>4850-NDB-301A</v>
          </cell>
          <cell r="Q336" t="str">
            <v>I</v>
          </cell>
          <cell r="S336">
            <v>0.15000000000000002</v>
          </cell>
          <cell r="T336">
            <v>0.2</v>
          </cell>
          <cell r="X336">
            <v>0.78600000000000003</v>
          </cell>
          <cell r="Y336">
            <v>0.85</v>
          </cell>
        </row>
        <row r="337">
          <cell r="A337">
            <v>0</v>
          </cell>
          <cell r="B337" t="str">
            <v>4850-LDB-301</v>
          </cell>
          <cell r="C337" t="str">
            <v>NORMAL LIGHTING POWER DISTRIBUTION PANEL</v>
          </cell>
          <cell r="D337">
            <v>4850</v>
          </cell>
          <cell r="E337" t="str">
            <v>ISBL</v>
          </cell>
          <cell r="J337" t="str">
            <v>3</v>
          </cell>
          <cell r="K337">
            <v>400</v>
          </cell>
          <cell r="L337" t="str">
            <v>AC</v>
          </cell>
          <cell r="M337" t="str">
            <v>F</v>
          </cell>
          <cell r="N337" t="str">
            <v>N</v>
          </cell>
          <cell r="O337">
            <v>0</v>
          </cell>
          <cell r="P337" t="str">
            <v>4850-NDB-301A</v>
          </cell>
          <cell r="Q337" t="str">
            <v>C</v>
          </cell>
          <cell r="S337">
            <v>96</v>
          </cell>
          <cell r="T337">
            <v>120</v>
          </cell>
          <cell r="X337">
            <v>0.79100000000000004</v>
          </cell>
          <cell r="Y337">
            <v>0.85</v>
          </cell>
        </row>
        <row r="338">
          <cell r="A338">
            <v>0</v>
          </cell>
          <cell r="B338" t="str">
            <v>4850-XDB-301</v>
          </cell>
          <cell r="C338" t="str">
            <v>SMALL POWER DISTRIBUTION PANEL</v>
          </cell>
          <cell r="D338">
            <v>4850</v>
          </cell>
          <cell r="E338" t="str">
            <v>ISBL</v>
          </cell>
          <cell r="J338" t="str">
            <v>3</v>
          </cell>
          <cell r="K338">
            <v>400</v>
          </cell>
          <cell r="L338" t="str">
            <v>AC</v>
          </cell>
          <cell r="M338" t="str">
            <v>F</v>
          </cell>
          <cell r="N338" t="str">
            <v>N</v>
          </cell>
          <cell r="O338">
            <v>0</v>
          </cell>
          <cell r="P338" t="str">
            <v>4850-NDB-301A</v>
          </cell>
          <cell r="Q338" t="str">
            <v>C</v>
          </cell>
          <cell r="S338">
            <v>96</v>
          </cell>
          <cell r="T338">
            <v>120</v>
          </cell>
          <cell r="X338">
            <v>0.79100000000000004</v>
          </cell>
          <cell r="Y338">
            <v>0.85</v>
          </cell>
        </row>
        <row r="339">
          <cell r="A339">
            <v>0</v>
          </cell>
          <cell r="B339" t="str">
            <v>4850-WDB-301</v>
          </cell>
          <cell r="C339" t="str">
            <v>WELDING RECEPTACLE PDP</v>
          </cell>
          <cell r="D339">
            <v>4850</v>
          </cell>
          <cell r="E339" t="str">
            <v>ISBL</v>
          </cell>
          <cell r="J339" t="str">
            <v>3</v>
          </cell>
          <cell r="K339">
            <v>400</v>
          </cell>
          <cell r="L339" t="str">
            <v>AC</v>
          </cell>
          <cell r="M339" t="str">
            <v>F</v>
          </cell>
          <cell r="N339" t="str">
            <v>N</v>
          </cell>
          <cell r="O339">
            <v>0</v>
          </cell>
          <cell r="P339" t="str">
            <v>4850-NDB-301B</v>
          </cell>
          <cell r="Q339" t="str">
            <v>C</v>
          </cell>
          <cell r="S339">
            <v>160</v>
          </cell>
          <cell r="T339">
            <v>200</v>
          </cell>
          <cell r="X339">
            <v>0.79100000000000004</v>
          </cell>
          <cell r="Y339">
            <v>0.85</v>
          </cell>
        </row>
        <row r="340">
          <cell r="A340">
            <v>0</v>
          </cell>
          <cell r="B340" t="str">
            <v>4850-UDB-401A</v>
          </cell>
          <cell r="C340" t="str">
            <v>400/220V AC UPS (FOR PROCESS)</v>
          </cell>
          <cell r="D340">
            <v>4850</v>
          </cell>
          <cell r="E340" t="str">
            <v>ISBL</v>
          </cell>
          <cell r="J340" t="str">
            <v>3</v>
          </cell>
          <cell r="K340">
            <v>400</v>
          </cell>
          <cell r="L340" t="str">
            <v>AC</v>
          </cell>
          <cell r="M340" t="str">
            <v>F</v>
          </cell>
          <cell r="N340" t="str">
            <v>N</v>
          </cell>
          <cell r="O340">
            <v>0</v>
          </cell>
          <cell r="P340" t="str">
            <v>4850-NDB-301A</v>
          </cell>
          <cell r="Q340" t="str">
            <v>S</v>
          </cell>
          <cell r="S340">
            <v>52</v>
          </cell>
          <cell r="T340">
            <v>65</v>
          </cell>
          <cell r="X340">
            <v>0.79100000000000004</v>
          </cell>
          <cell r="Y340">
            <v>0.85</v>
          </cell>
        </row>
        <row r="341">
          <cell r="A341">
            <v>0</v>
          </cell>
          <cell r="B341" t="str">
            <v>4850-UDB-401B</v>
          </cell>
          <cell r="C341" t="str">
            <v>400/220V AC UPS (FOR PROCESS)</v>
          </cell>
          <cell r="D341">
            <v>4850</v>
          </cell>
          <cell r="E341" t="str">
            <v>ISBL</v>
          </cell>
          <cell r="J341" t="str">
            <v>3</v>
          </cell>
          <cell r="K341">
            <v>400</v>
          </cell>
          <cell r="L341" t="str">
            <v>AC</v>
          </cell>
          <cell r="M341" t="str">
            <v>F</v>
          </cell>
          <cell r="N341" t="str">
            <v>N</v>
          </cell>
          <cell r="O341">
            <v>0</v>
          </cell>
          <cell r="P341" t="str">
            <v>4850-NDB-301B</v>
          </cell>
          <cell r="Q341" t="str">
            <v>S</v>
          </cell>
          <cell r="S341">
            <v>52</v>
          </cell>
          <cell r="T341">
            <v>65</v>
          </cell>
          <cell r="X341">
            <v>0.79100000000000004</v>
          </cell>
          <cell r="Y341">
            <v>0.85</v>
          </cell>
        </row>
        <row r="342">
          <cell r="A342">
            <v>0</v>
          </cell>
          <cell r="B342" t="str">
            <v>4850-UDB-402A</v>
          </cell>
          <cell r="C342" t="str">
            <v>400/220V AC UPS (FOR INSTRUMENT)</v>
          </cell>
          <cell r="D342">
            <v>4850</v>
          </cell>
          <cell r="E342" t="str">
            <v>ISBL</v>
          </cell>
          <cell r="J342" t="str">
            <v>3</v>
          </cell>
          <cell r="K342">
            <v>400</v>
          </cell>
          <cell r="L342" t="str">
            <v>AC</v>
          </cell>
          <cell r="M342" t="str">
            <v>F</v>
          </cell>
          <cell r="N342" t="str">
            <v>N</v>
          </cell>
          <cell r="O342">
            <v>0</v>
          </cell>
          <cell r="P342" t="str">
            <v>4850-NDB-301A</v>
          </cell>
          <cell r="Q342" t="str">
            <v>S</v>
          </cell>
          <cell r="S342">
            <v>24</v>
          </cell>
          <cell r="T342">
            <v>30</v>
          </cell>
          <cell r="X342">
            <v>0.79100000000000004</v>
          </cell>
          <cell r="Y342">
            <v>0.85</v>
          </cell>
        </row>
        <row r="343">
          <cell r="A343">
            <v>0</v>
          </cell>
          <cell r="B343" t="str">
            <v>4850-UDB-402B</v>
          </cell>
          <cell r="C343" t="str">
            <v>400/220V AC UPS (FOR INSTRUMENT)</v>
          </cell>
          <cell r="D343">
            <v>4850</v>
          </cell>
          <cell r="E343" t="str">
            <v>ISBL</v>
          </cell>
          <cell r="J343" t="str">
            <v>3</v>
          </cell>
          <cell r="K343">
            <v>400</v>
          </cell>
          <cell r="L343" t="str">
            <v>AC</v>
          </cell>
          <cell r="M343" t="str">
            <v>F</v>
          </cell>
          <cell r="N343" t="str">
            <v>N</v>
          </cell>
          <cell r="O343">
            <v>0</v>
          </cell>
          <cell r="P343" t="str">
            <v>4850-NDB-301B</v>
          </cell>
          <cell r="Q343" t="str">
            <v>S</v>
          </cell>
          <cell r="S343">
            <v>24</v>
          </cell>
          <cell r="T343">
            <v>30</v>
          </cell>
          <cell r="X343">
            <v>0.79100000000000004</v>
          </cell>
          <cell r="Y343">
            <v>0.85</v>
          </cell>
        </row>
        <row r="344">
          <cell r="A344">
            <v>0</v>
          </cell>
          <cell r="B344" t="str">
            <v>4850-UDB-403</v>
          </cell>
          <cell r="C344" t="str">
            <v>220V DC UPS (FOR SUBSTATION)</v>
          </cell>
          <cell r="D344">
            <v>4850</v>
          </cell>
          <cell r="E344" t="str">
            <v>ISBL</v>
          </cell>
          <cell r="J344" t="str">
            <v>3</v>
          </cell>
          <cell r="K344">
            <v>400</v>
          </cell>
          <cell r="L344" t="str">
            <v>AC</v>
          </cell>
          <cell r="M344" t="str">
            <v>F</v>
          </cell>
          <cell r="N344" t="str">
            <v>N</v>
          </cell>
          <cell r="O344">
            <v>0</v>
          </cell>
          <cell r="P344" t="str">
            <v>4850-NDB-301A</v>
          </cell>
          <cell r="Q344" t="str">
            <v>S</v>
          </cell>
          <cell r="S344">
            <v>24</v>
          </cell>
          <cell r="T344">
            <v>30</v>
          </cell>
          <cell r="X344">
            <v>0.79100000000000004</v>
          </cell>
          <cell r="Y344">
            <v>0.85</v>
          </cell>
        </row>
        <row r="345">
          <cell r="A345" t="str">
            <v>MS-xxxx</v>
          </cell>
          <cell r="B345" t="str">
            <v>41-E-4023</v>
          </cell>
          <cell r="C345" t="str">
            <v>Dump Tank Nitrogen Heater</v>
          </cell>
          <cell r="D345" t="str">
            <v>x</v>
          </cell>
          <cell r="E345" t="str">
            <v>ISBL</v>
          </cell>
          <cell r="J345" t="str">
            <v>3</v>
          </cell>
          <cell r="K345">
            <v>400</v>
          </cell>
          <cell r="L345" t="str">
            <v>AC</v>
          </cell>
          <cell r="M345" t="str">
            <v>F</v>
          </cell>
          <cell r="N345" t="str">
            <v>N</v>
          </cell>
          <cell r="O345" t="str">
            <v/>
          </cell>
          <cell r="P345" t="str">
            <v>4850-NDB-301A</v>
          </cell>
          <cell r="Q345" t="str">
            <v>C</v>
          </cell>
          <cell r="S345">
            <v>40</v>
          </cell>
          <cell r="T345">
            <v>50</v>
          </cell>
          <cell r="X345">
            <v>1</v>
          </cell>
          <cell r="Y345">
            <v>0.85</v>
          </cell>
        </row>
        <row r="346">
          <cell r="A346">
            <v>0</v>
          </cell>
          <cell r="B346" t="str">
            <v>4850-NEDB-301C</v>
          </cell>
          <cell r="C346" t="str">
            <v>EMERGENCY SWITCHGEAR</v>
          </cell>
          <cell r="D346">
            <v>4850</v>
          </cell>
          <cell r="E346" t="str">
            <v>ISBL</v>
          </cell>
          <cell r="J346" t="str">
            <v>3</v>
          </cell>
          <cell r="K346">
            <v>400</v>
          </cell>
          <cell r="L346" t="str">
            <v>AC</v>
          </cell>
          <cell r="M346" t="str">
            <v>F</v>
          </cell>
          <cell r="N346" t="str">
            <v>N</v>
          </cell>
          <cell r="O346">
            <v>0</v>
          </cell>
          <cell r="P346" t="str">
            <v>4850-NDB-301A</v>
          </cell>
          <cell r="Q346" t="str">
            <v>C</v>
          </cell>
          <cell r="S346">
            <v>0</v>
          </cell>
          <cell r="T346">
            <v>0</v>
          </cell>
          <cell r="X346">
            <v>0</v>
          </cell>
          <cell r="Y346">
            <v>0</v>
          </cell>
        </row>
        <row r="347">
          <cell r="A347" t="str">
            <v>PEU-2</v>
          </cell>
          <cell r="B347" t="str">
            <v>41-P-4206</v>
          </cell>
          <cell r="C347" t="str">
            <v>Reactor B Dilute TEAl Pump</v>
          </cell>
          <cell r="D347">
            <v>4105</v>
          </cell>
          <cell r="E347" t="str">
            <v>ISBL</v>
          </cell>
          <cell r="J347" t="str">
            <v>3</v>
          </cell>
          <cell r="K347">
            <v>400</v>
          </cell>
          <cell r="L347" t="str">
            <v>AC</v>
          </cell>
          <cell r="M347" t="str">
            <v>M</v>
          </cell>
          <cell r="N347" t="str">
            <v>N</v>
          </cell>
          <cell r="O347">
            <v>0</v>
          </cell>
          <cell r="P347" t="str">
            <v>4850-NDB-301B</v>
          </cell>
          <cell r="Q347" t="str">
            <v>C</v>
          </cell>
          <cell r="S347">
            <v>0.2</v>
          </cell>
          <cell r="T347">
            <v>0.37</v>
          </cell>
          <cell r="X347">
            <v>0.90200000000000002</v>
          </cell>
          <cell r="Y347">
            <v>0.85</v>
          </cell>
        </row>
        <row r="348">
          <cell r="A348" t="str">
            <v>PEU-2</v>
          </cell>
          <cell r="B348" t="str">
            <v>41-P-3302A</v>
          </cell>
          <cell r="C348" t="str">
            <v>Metallocene Catalyst Feed Pump</v>
          </cell>
          <cell r="D348">
            <v>4105</v>
          </cell>
          <cell r="E348" t="str">
            <v>ISBL</v>
          </cell>
          <cell r="J348" t="str">
            <v>3</v>
          </cell>
          <cell r="K348">
            <v>400</v>
          </cell>
          <cell r="L348" t="str">
            <v>AC</v>
          </cell>
          <cell r="M348" t="str">
            <v>M</v>
          </cell>
          <cell r="N348" t="str">
            <v>N</v>
          </cell>
          <cell r="O348">
            <v>0</v>
          </cell>
          <cell r="P348" t="str">
            <v>4850-NDB-301A</v>
          </cell>
          <cell r="Q348" t="str">
            <v>C</v>
          </cell>
          <cell r="S348">
            <v>0.5</v>
          </cell>
          <cell r="T348">
            <v>0.75</v>
          </cell>
          <cell r="X348">
            <v>1</v>
          </cell>
          <cell r="Y348">
            <v>0.85</v>
          </cell>
        </row>
        <row r="349">
          <cell r="A349" t="str">
            <v>PEU-2</v>
          </cell>
          <cell r="B349" t="str">
            <v>41-P-3302B</v>
          </cell>
          <cell r="C349" t="str">
            <v>Metallocene Catalyst Feed Pump</v>
          </cell>
          <cell r="D349">
            <v>4105</v>
          </cell>
          <cell r="E349" t="str">
            <v>ISBL</v>
          </cell>
          <cell r="J349" t="str">
            <v>3</v>
          </cell>
          <cell r="K349">
            <v>400</v>
          </cell>
          <cell r="L349" t="str">
            <v>AC</v>
          </cell>
          <cell r="M349" t="str">
            <v>M</v>
          </cell>
          <cell r="N349" t="str">
            <v>N</v>
          </cell>
          <cell r="O349">
            <v>0</v>
          </cell>
          <cell r="P349" t="str">
            <v>4850-NDB-301B</v>
          </cell>
          <cell r="Q349" t="str">
            <v>C</v>
          </cell>
          <cell r="S349">
            <v>0.5</v>
          </cell>
          <cell r="T349">
            <v>0.75</v>
          </cell>
          <cell r="X349">
            <v>0.90200000000000002</v>
          </cell>
          <cell r="Y349">
            <v>0.85</v>
          </cell>
        </row>
        <row r="350">
          <cell r="A350" t="str">
            <v>PEU-2</v>
          </cell>
          <cell r="B350" t="str">
            <v>41-P-4104</v>
          </cell>
          <cell r="C350" t="str">
            <v>Reactor A Seal Oil Makeup Pump</v>
          </cell>
          <cell r="D350" t="str">
            <v>x</v>
          </cell>
          <cell r="E350" t="str">
            <v>ISBL</v>
          </cell>
          <cell r="J350" t="str">
            <v>3</v>
          </cell>
          <cell r="K350">
            <v>400</v>
          </cell>
          <cell r="L350" t="str">
            <v>AC</v>
          </cell>
          <cell r="M350" t="str">
            <v>M</v>
          </cell>
          <cell r="N350" t="str">
            <v>N</v>
          </cell>
          <cell r="O350">
            <v>0</v>
          </cell>
          <cell r="P350" t="str">
            <v>4850-NDB-301B</v>
          </cell>
          <cell r="Q350" t="str">
            <v>S</v>
          </cell>
          <cell r="S350">
            <v>0.5</v>
          </cell>
          <cell r="T350">
            <v>0.75</v>
          </cell>
          <cell r="X350">
            <v>1</v>
          </cell>
          <cell r="Y350">
            <v>0.85</v>
          </cell>
        </row>
        <row r="351">
          <cell r="A351" t="str">
            <v>PEU-2</v>
          </cell>
          <cell r="B351" t="str">
            <v>41-P-4204</v>
          </cell>
          <cell r="C351" t="str">
            <v>Reactor B Seal Oil Makeup Pump</v>
          </cell>
          <cell r="D351" t="str">
            <v>x</v>
          </cell>
          <cell r="E351" t="str">
            <v>ISBL</v>
          </cell>
          <cell r="J351" t="str">
            <v>3</v>
          </cell>
          <cell r="K351">
            <v>400</v>
          </cell>
          <cell r="L351" t="str">
            <v>AC</v>
          </cell>
          <cell r="M351" t="str">
            <v>M</v>
          </cell>
          <cell r="N351" t="str">
            <v>N</v>
          </cell>
          <cell r="O351">
            <v>0</v>
          </cell>
          <cell r="P351" t="str">
            <v>4850-NDB-301B</v>
          </cell>
          <cell r="Q351" t="str">
            <v>S</v>
          </cell>
          <cell r="S351">
            <v>0.5</v>
          </cell>
          <cell r="T351">
            <v>0.75</v>
          </cell>
          <cell r="X351">
            <v>0.94099999999999995</v>
          </cell>
          <cell r="Y351">
            <v>0.85</v>
          </cell>
        </row>
        <row r="352">
          <cell r="A352" t="str">
            <v>-</v>
          </cell>
          <cell r="B352" t="str">
            <v>63-PK-0001A</v>
          </cell>
          <cell r="C352" t="str">
            <v>Biocide Dosing Pump Motor</v>
          </cell>
          <cell r="D352" t="str">
            <v>x</v>
          </cell>
          <cell r="E352" t="str">
            <v>ISBL</v>
          </cell>
          <cell r="J352" t="str">
            <v>3</v>
          </cell>
          <cell r="K352">
            <v>400</v>
          </cell>
          <cell r="L352" t="str">
            <v>AC</v>
          </cell>
          <cell r="M352" t="str">
            <v>M</v>
          </cell>
          <cell r="N352" t="str">
            <v>N</v>
          </cell>
          <cell r="O352">
            <v>0</v>
          </cell>
          <cell r="P352" t="str">
            <v>4850-NDB-301A</v>
          </cell>
          <cell r="Q352" t="str">
            <v>C</v>
          </cell>
          <cell r="S352">
            <v>0.7</v>
          </cell>
          <cell r="T352">
            <v>0.75</v>
          </cell>
          <cell r="X352">
            <v>0.90200000000000002</v>
          </cell>
          <cell r="Y352">
            <v>0.85</v>
          </cell>
        </row>
        <row r="353">
          <cell r="A353" t="str">
            <v>-</v>
          </cell>
          <cell r="B353" t="str">
            <v>63-PK-0001B</v>
          </cell>
          <cell r="C353" t="str">
            <v>Biocide Dosing Pump Motor</v>
          </cell>
          <cell r="D353" t="str">
            <v>x</v>
          </cell>
          <cell r="E353" t="str">
            <v>ISBL</v>
          </cell>
          <cell r="J353" t="str">
            <v>3</v>
          </cell>
          <cell r="K353">
            <v>400</v>
          </cell>
          <cell r="L353" t="str">
            <v>AC</v>
          </cell>
          <cell r="M353" t="str">
            <v>M</v>
          </cell>
          <cell r="N353" t="str">
            <v>N</v>
          </cell>
          <cell r="O353">
            <v>0</v>
          </cell>
          <cell r="P353" t="str">
            <v>4850-NDB-301B</v>
          </cell>
          <cell r="Q353" t="str">
            <v>S</v>
          </cell>
          <cell r="S353">
            <v>0.7</v>
          </cell>
          <cell r="T353">
            <v>0.75</v>
          </cell>
          <cell r="X353">
            <v>1</v>
          </cell>
          <cell r="Y353">
            <v>0.85</v>
          </cell>
        </row>
        <row r="354">
          <cell r="A354">
            <v>0</v>
          </cell>
          <cell r="B354" t="str">
            <v>63-PK-0002A</v>
          </cell>
          <cell r="C354" t="str">
            <v>Anti Scalant Dosing Pump Motor</v>
          </cell>
          <cell r="D354" t="str">
            <v>x</v>
          </cell>
          <cell r="E354" t="str">
            <v>ISBL</v>
          </cell>
          <cell r="J354" t="str">
            <v>3</v>
          </cell>
          <cell r="K354">
            <v>400</v>
          </cell>
          <cell r="L354" t="str">
            <v>AC</v>
          </cell>
          <cell r="M354" t="str">
            <v>M</v>
          </cell>
          <cell r="N354" t="str">
            <v>N</v>
          </cell>
          <cell r="O354">
            <v>0</v>
          </cell>
          <cell r="P354" t="str">
            <v>4850-NDB-301A</v>
          </cell>
          <cell r="Q354" t="str">
            <v>C</v>
          </cell>
          <cell r="S354">
            <v>0.7</v>
          </cell>
          <cell r="T354">
            <v>0.75</v>
          </cell>
          <cell r="X354">
            <v>0.90200000000000002</v>
          </cell>
          <cell r="Y354">
            <v>0.85</v>
          </cell>
        </row>
        <row r="355">
          <cell r="A355">
            <v>0</v>
          </cell>
          <cell r="B355" t="str">
            <v>63-PK-0002B</v>
          </cell>
          <cell r="C355" t="str">
            <v>Anti Scalant Dosing Pump Motor</v>
          </cell>
          <cell r="D355" t="str">
            <v>x</v>
          </cell>
          <cell r="E355" t="str">
            <v>ISBL</v>
          </cell>
          <cell r="J355" t="str">
            <v>3</v>
          </cell>
          <cell r="K355">
            <v>400</v>
          </cell>
          <cell r="L355" t="str">
            <v>AC</v>
          </cell>
          <cell r="M355" t="str">
            <v>M</v>
          </cell>
          <cell r="N355" t="str">
            <v>N</v>
          </cell>
          <cell r="O355">
            <v>0</v>
          </cell>
          <cell r="P355" t="str">
            <v>4850-NDB-301B</v>
          </cell>
          <cell r="Q355" t="str">
            <v>S</v>
          </cell>
          <cell r="S355">
            <v>0.7</v>
          </cell>
          <cell r="T355">
            <v>0.75</v>
          </cell>
          <cell r="X355">
            <v>1</v>
          </cell>
          <cell r="Y355">
            <v>0.85</v>
          </cell>
        </row>
        <row r="356">
          <cell r="A356">
            <v>0</v>
          </cell>
          <cell r="B356" t="str">
            <v>63-PK-0003A</v>
          </cell>
          <cell r="C356" t="str">
            <v>Corrosion Inhibitor Dosing Pump Motor</v>
          </cell>
          <cell r="D356" t="str">
            <v>x</v>
          </cell>
          <cell r="E356" t="str">
            <v>ISBL</v>
          </cell>
          <cell r="J356" t="str">
            <v>3</v>
          </cell>
          <cell r="K356">
            <v>400</v>
          </cell>
          <cell r="L356" t="str">
            <v>AC</v>
          </cell>
          <cell r="M356" t="str">
            <v>M</v>
          </cell>
          <cell r="N356" t="str">
            <v>N</v>
          </cell>
          <cell r="O356">
            <v>0</v>
          </cell>
          <cell r="P356" t="str">
            <v>4850-NDB-301A</v>
          </cell>
          <cell r="Q356" t="str">
            <v>C</v>
          </cell>
          <cell r="S356">
            <v>0.7</v>
          </cell>
          <cell r="T356">
            <v>0.75</v>
          </cell>
          <cell r="X356">
            <v>0.94099999999999995</v>
          </cell>
          <cell r="Y356">
            <v>0.85</v>
          </cell>
        </row>
        <row r="357">
          <cell r="A357">
            <v>0</v>
          </cell>
          <cell r="B357" t="str">
            <v>63-PK-0003B</v>
          </cell>
          <cell r="C357" t="str">
            <v>Corrosion Inhibitor Dosing Pump Motor</v>
          </cell>
          <cell r="D357" t="str">
            <v>x</v>
          </cell>
          <cell r="E357" t="str">
            <v>ISBL</v>
          </cell>
          <cell r="J357" t="str">
            <v>3</v>
          </cell>
          <cell r="K357">
            <v>400</v>
          </cell>
          <cell r="L357" t="str">
            <v>AC</v>
          </cell>
          <cell r="M357" t="str">
            <v>M</v>
          </cell>
          <cell r="N357" t="str">
            <v>N</v>
          </cell>
          <cell r="O357">
            <v>0</v>
          </cell>
          <cell r="P357" t="str">
            <v>4850-NDB-301B</v>
          </cell>
          <cell r="Q357" t="str">
            <v>S</v>
          </cell>
          <cell r="S357">
            <v>0.7</v>
          </cell>
          <cell r="T357">
            <v>0.75</v>
          </cell>
          <cell r="X357">
            <v>0.90200000000000002</v>
          </cell>
          <cell r="Y357">
            <v>0.85</v>
          </cell>
        </row>
        <row r="358">
          <cell r="A358">
            <v>0</v>
          </cell>
          <cell r="B358" t="str">
            <v>63-PK-0004A</v>
          </cell>
          <cell r="C358" t="str">
            <v>Sulfuric Acid Dosing Pump Motor</v>
          </cell>
          <cell r="D358" t="str">
            <v>x</v>
          </cell>
          <cell r="E358" t="str">
            <v>ISBL</v>
          </cell>
          <cell r="J358" t="str">
            <v>3</v>
          </cell>
          <cell r="K358">
            <v>400</v>
          </cell>
          <cell r="L358" t="str">
            <v>AC</v>
          </cell>
          <cell r="M358" t="str">
            <v>M</v>
          </cell>
          <cell r="N358" t="str">
            <v>N</v>
          </cell>
          <cell r="O358">
            <v>0</v>
          </cell>
          <cell r="P358" t="str">
            <v>4850-NDB-301A</v>
          </cell>
          <cell r="Q358" t="str">
            <v>C</v>
          </cell>
          <cell r="S358">
            <v>0.7</v>
          </cell>
          <cell r="T358">
            <v>0.75</v>
          </cell>
          <cell r="X358">
            <v>1</v>
          </cell>
          <cell r="Y358">
            <v>0.85</v>
          </cell>
        </row>
        <row r="359">
          <cell r="A359">
            <v>0</v>
          </cell>
          <cell r="B359" t="str">
            <v>63-PK-0004B</v>
          </cell>
          <cell r="C359" t="str">
            <v>Sulfuric Acid Dosing Pump Motor</v>
          </cell>
          <cell r="D359" t="str">
            <v>x</v>
          </cell>
          <cell r="E359" t="str">
            <v>ISBL</v>
          </cell>
          <cell r="J359" t="str">
            <v>3</v>
          </cell>
          <cell r="K359">
            <v>400</v>
          </cell>
          <cell r="L359" t="str">
            <v>AC</v>
          </cell>
          <cell r="M359" t="str">
            <v>M</v>
          </cell>
          <cell r="N359" t="str">
            <v>N</v>
          </cell>
          <cell r="O359">
            <v>0</v>
          </cell>
          <cell r="P359" t="str">
            <v>4850-NDB-301B</v>
          </cell>
          <cell r="Q359" t="str">
            <v>S</v>
          </cell>
          <cell r="S359">
            <v>0.7</v>
          </cell>
          <cell r="T359">
            <v>0.75</v>
          </cell>
          <cell r="X359">
            <v>0.90200000000000002</v>
          </cell>
          <cell r="Y359">
            <v>0.85</v>
          </cell>
        </row>
        <row r="360">
          <cell r="A360">
            <v>0</v>
          </cell>
          <cell r="B360" t="str">
            <v>63-PK-0005A</v>
          </cell>
          <cell r="C360" t="str">
            <v>Caustic Soda Dosing Pump Motor</v>
          </cell>
          <cell r="D360" t="str">
            <v>x</v>
          </cell>
          <cell r="E360" t="str">
            <v>ISBL</v>
          </cell>
          <cell r="J360" t="str">
            <v>3</v>
          </cell>
          <cell r="K360">
            <v>400</v>
          </cell>
          <cell r="L360" t="str">
            <v>AC</v>
          </cell>
          <cell r="M360" t="str">
            <v>M</v>
          </cell>
          <cell r="N360" t="str">
            <v>N</v>
          </cell>
          <cell r="O360">
            <v>0</v>
          </cell>
          <cell r="P360" t="str">
            <v>4850-NDB-301A</v>
          </cell>
          <cell r="Q360" t="str">
            <v>C</v>
          </cell>
          <cell r="S360">
            <v>0.7</v>
          </cell>
          <cell r="T360">
            <v>0.75</v>
          </cell>
          <cell r="X360">
            <v>1</v>
          </cell>
          <cell r="Y360">
            <v>0.85</v>
          </cell>
        </row>
        <row r="361">
          <cell r="A361">
            <v>0</v>
          </cell>
          <cell r="B361" t="str">
            <v>63-PK-0005B</v>
          </cell>
          <cell r="C361" t="str">
            <v>Caustic Soda Dosing Pump Motor</v>
          </cell>
          <cell r="D361" t="str">
            <v>x</v>
          </cell>
          <cell r="E361" t="str">
            <v>ISBL</v>
          </cell>
          <cell r="J361" t="str">
            <v>3</v>
          </cell>
          <cell r="K361">
            <v>400</v>
          </cell>
          <cell r="L361" t="str">
            <v>AC</v>
          </cell>
          <cell r="M361" t="str">
            <v>M</v>
          </cell>
          <cell r="N361" t="str">
            <v>N</v>
          </cell>
          <cell r="O361">
            <v>0</v>
          </cell>
          <cell r="P361" t="str">
            <v>4850-NDB-301B</v>
          </cell>
          <cell r="Q361" t="str">
            <v>S</v>
          </cell>
          <cell r="S361">
            <v>0.7</v>
          </cell>
          <cell r="T361">
            <v>0.75</v>
          </cell>
          <cell r="X361">
            <v>0.94099999999999995</v>
          </cell>
          <cell r="Y361">
            <v>0.85</v>
          </cell>
        </row>
        <row r="362">
          <cell r="A362" t="str">
            <v>PEU-2</v>
          </cell>
          <cell r="B362" t="str">
            <v>41-MI-6001A</v>
          </cell>
          <cell r="C362" t="str">
            <v xml:space="preserve">Additive LIW Feeder </v>
          </cell>
          <cell r="D362" t="str">
            <v>x</v>
          </cell>
          <cell r="E362" t="str">
            <v>ISBL</v>
          </cell>
          <cell r="J362" t="str">
            <v>3</v>
          </cell>
          <cell r="K362">
            <v>400</v>
          </cell>
          <cell r="L362" t="str">
            <v>AC</v>
          </cell>
          <cell r="M362" t="str">
            <v>M</v>
          </cell>
          <cell r="N362" t="str">
            <v>N</v>
          </cell>
          <cell r="O362" t="str">
            <v>VSD</v>
          </cell>
          <cell r="P362" t="str">
            <v>4850-NDB-301A</v>
          </cell>
          <cell r="Q362" t="str">
            <v>C</v>
          </cell>
          <cell r="S362">
            <v>0.44000000000000006</v>
          </cell>
          <cell r="T362">
            <v>0.55000000000000004</v>
          </cell>
          <cell r="X362">
            <v>0.93</v>
          </cell>
          <cell r="Y362">
            <v>0.85</v>
          </cell>
        </row>
        <row r="363">
          <cell r="A363" t="str">
            <v>PEU-2</v>
          </cell>
          <cell r="B363" t="str">
            <v>41-MI-6001B</v>
          </cell>
          <cell r="C363" t="str">
            <v xml:space="preserve">Additive LIW Feeder </v>
          </cell>
          <cell r="D363" t="str">
            <v>x</v>
          </cell>
          <cell r="E363" t="str">
            <v>ISBL</v>
          </cell>
          <cell r="J363" t="str">
            <v>3</v>
          </cell>
          <cell r="K363">
            <v>400</v>
          </cell>
          <cell r="L363" t="str">
            <v>AC</v>
          </cell>
          <cell r="M363" t="str">
            <v>M</v>
          </cell>
          <cell r="N363" t="str">
            <v>N</v>
          </cell>
          <cell r="O363" t="str">
            <v>VSD</v>
          </cell>
          <cell r="P363" t="str">
            <v>4850-NDB-301B</v>
          </cell>
          <cell r="Q363" t="str">
            <v>C</v>
          </cell>
          <cell r="S363">
            <v>0.44000000000000006</v>
          </cell>
          <cell r="T363">
            <v>0.55000000000000004</v>
          </cell>
          <cell r="X363">
            <v>0.93</v>
          </cell>
          <cell r="Y363">
            <v>0.85</v>
          </cell>
        </row>
        <row r="364">
          <cell r="A364" t="str">
            <v>PEU-2</v>
          </cell>
          <cell r="B364" t="str">
            <v>41-MI-6001C</v>
          </cell>
          <cell r="C364" t="str">
            <v xml:space="preserve">Additive LIW Feeder </v>
          </cell>
          <cell r="D364" t="str">
            <v>x</v>
          </cell>
          <cell r="E364" t="str">
            <v>ISBL</v>
          </cell>
          <cell r="J364" t="str">
            <v>3</v>
          </cell>
          <cell r="K364">
            <v>400</v>
          </cell>
          <cell r="L364" t="str">
            <v>AC</v>
          </cell>
          <cell r="M364" t="str">
            <v>M</v>
          </cell>
          <cell r="N364" t="str">
            <v>N</v>
          </cell>
          <cell r="O364" t="str">
            <v>VSD</v>
          </cell>
          <cell r="P364" t="str">
            <v>4850-NDB-301A</v>
          </cell>
          <cell r="Q364" t="str">
            <v>C</v>
          </cell>
          <cell r="S364">
            <v>0.44000000000000006</v>
          </cell>
          <cell r="T364">
            <v>0.55000000000000004</v>
          </cell>
          <cell r="X364">
            <v>0.93</v>
          </cell>
          <cell r="Y364">
            <v>0.85</v>
          </cell>
        </row>
        <row r="365">
          <cell r="A365" t="str">
            <v>PEU-2</v>
          </cell>
          <cell r="B365" t="str">
            <v>41-MI-6001D</v>
          </cell>
          <cell r="C365" t="str">
            <v xml:space="preserve">Additive LIW Feeder </v>
          </cell>
          <cell r="D365" t="str">
            <v>x</v>
          </cell>
          <cell r="E365" t="str">
            <v>ISBL</v>
          </cell>
          <cell r="J365" t="str">
            <v>3</v>
          </cell>
          <cell r="K365">
            <v>400</v>
          </cell>
          <cell r="L365" t="str">
            <v>AC</v>
          </cell>
          <cell r="M365" t="str">
            <v>M</v>
          </cell>
          <cell r="N365" t="str">
            <v>N</v>
          </cell>
          <cell r="O365" t="str">
            <v>VSD</v>
          </cell>
          <cell r="P365" t="str">
            <v>4850-NDB-301B</v>
          </cell>
          <cell r="Q365" t="str">
            <v>C</v>
          </cell>
          <cell r="S365">
            <v>0.44000000000000006</v>
          </cell>
          <cell r="T365">
            <v>0.55000000000000004</v>
          </cell>
          <cell r="X365">
            <v>0.93</v>
          </cell>
          <cell r="Y365">
            <v>0.85</v>
          </cell>
        </row>
        <row r="366">
          <cell r="A366" t="str">
            <v>PEU-2</v>
          </cell>
          <cell r="B366" t="str">
            <v>41-MI-6005</v>
          </cell>
          <cell r="C366" t="str">
            <v>Rerun LIW Feeder</v>
          </cell>
          <cell r="D366" t="str">
            <v>x</v>
          </cell>
          <cell r="E366" t="str">
            <v>ISBL</v>
          </cell>
          <cell r="J366" t="str">
            <v>3</v>
          </cell>
          <cell r="K366">
            <v>400</v>
          </cell>
          <cell r="L366" t="str">
            <v>AC</v>
          </cell>
          <cell r="M366" t="str">
            <v>M</v>
          </cell>
          <cell r="N366" t="str">
            <v>N</v>
          </cell>
          <cell r="O366" t="str">
            <v>VSD</v>
          </cell>
          <cell r="P366" t="str">
            <v>4850-NDB-301B</v>
          </cell>
          <cell r="Q366" t="str">
            <v>C</v>
          </cell>
          <cell r="S366">
            <v>0.44000000000000006</v>
          </cell>
          <cell r="T366">
            <v>0.55000000000000004</v>
          </cell>
          <cell r="X366">
            <v>0.93</v>
          </cell>
          <cell r="Y366">
            <v>0.85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 t="str">
            <v>ISBL</v>
          </cell>
          <cell r="J367" t="str">
            <v>3</v>
          </cell>
          <cell r="K367">
            <v>0</v>
          </cell>
          <cell r="L367" t="str">
            <v>AC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S367">
            <v>0</v>
          </cell>
          <cell r="T367">
            <v>0</v>
          </cell>
          <cell r="X367">
            <v>0</v>
          </cell>
          <cell r="Y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 t="str">
            <v>ISBL</v>
          </cell>
          <cell r="J368" t="str">
            <v>3</v>
          </cell>
          <cell r="K368">
            <v>0</v>
          </cell>
          <cell r="L368" t="str">
            <v>AC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S368">
            <v>0</v>
          </cell>
          <cell r="T368">
            <v>0</v>
          </cell>
          <cell r="X368">
            <v>0</v>
          </cell>
          <cell r="Y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0</v>
          </cell>
          <cell r="E369" t="str">
            <v>ISBL</v>
          </cell>
          <cell r="J369" t="str">
            <v>3</v>
          </cell>
          <cell r="K369">
            <v>0</v>
          </cell>
          <cell r="L369" t="str">
            <v>AC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S369">
            <v>0</v>
          </cell>
          <cell r="T369">
            <v>0</v>
          </cell>
          <cell r="X369">
            <v>0</v>
          </cell>
          <cell r="Y369">
            <v>0</v>
          </cell>
        </row>
        <row r="370">
          <cell r="A370" t="str">
            <v>Flare</v>
          </cell>
          <cell r="B370" t="str">
            <v>67-PK-7001</v>
          </cell>
          <cell r="C370" t="str">
            <v>ACWL for Flare PKG</v>
          </cell>
          <cell r="D370">
            <v>6700</v>
          </cell>
          <cell r="E370" t="str">
            <v>ISBL</v>
          </cell>
          <cell r="J370" t="str">
            <v>3</v>
          </cell>
          <cell r="K370">
            <v>400</v>
          </cell>
          <cell r="L370" t="str">
            <v>AC</v>
          </cell>
          <cell r="M370" t="str">
            <v>F</v>
          </cell>
          <cell r="N370" t="str">
            <v>N</v>
          </cell>
          <cell r="O370" t="str">
            <v/>
          </cell>
          <cell r="P370" t="str">
            <v>4850-NDB-301C</v>
          </cell>
          <cell r="Q370" t="str">
            <v>C</v>
          </cell>
          <cell r="S370">
            <v>2.4000000000000004</v>
          </cell>
          <cell r="T370">
            <v>3</v>
          </cell>
          <cell r="X370">
            <v>1</v>
          </cell>
          <cell r="Y370">
            <v>1</v>
          </cell>
        </row>
        <row r="371">
          <cell r="A371" t="str">
            <v>Flare</v>
          </cell>
          <cell r="B371" t="str">
            <v>41-PK-4101</v>
          </cell>
          <cell r="C371" t="str">
            <v>ACWL for Loop Reactor Area</v>
          </cell>
          <cell r="D371">
            <v>6700</v>
          </cell>
          <cell r="E371" t="str">
            <v>ISBL</v>
          </cell>
          <cell r="J371" t="str">
            <v>3</v>
          </cell>
          <cell r="K371">
            <v>400</v>
          </cell>
          <cell r="L371" t="str">
            <v>AC</v>
          </cell>
          <cell r="M371" t="str">
            <v>F</v>
          </cell>
          <cell r="N371" t="str">
            <v>N</v>
          </cell>
          <cell r="O371" t="str">
            <v/>
          </cell>
          <cell r="P371" t="str">
            <v>4850-NDB-301C</v>
          </cell>
          <cell r="Q371" t="str">
            <v>C</v>
          </cell>
          <cell r="S371">
            <v>0.8</v>
          </cell>
          <cell r="T371">
            <v>1</v>
          </cell>
          <cell r="X371">
            <v>1</v>
          </cell>
          <cell r="Y371">
            <v>1</v>
          </cell>
        </row>
        <row r="372">
          <cell r="A372">
            <v>0</v>
          </cell>
          <cell r="B372" t="str">
            <v>51-P-1003A</v>
          </cell>
          <cell r="C372" t="str">
            <v>Pumparound Pumps</v>
          </cell>
          <cell r="D372">
            <v>5102</v>
          </cell>
          <cell r="E372" t="str">
            <v>ISBL</v>
          </cell>
          <cell r="J372" t="str">
            <v>3</v>
          </cell>
          <cell r="K372">
            <v>400</v>
          </cell>
          <cell r="L372" t="str">
            <v>AC</v>
          </cell>
          <cell r="M372" t="str">
            <v>M</v>
          </cell>
          <cell r="N372" t="str">
            <v>N</v>
          </cell>
          <cell r="O372" t="str">
            <v>Soft Starter</v>
          </cell>
          <cell r="P372" t="str">
            <v>4850-NDB-301C</v>
          </cell>
          <cell r="Q372" t="str">
            <v>C</v>
          </cell>
          <cell r="S372">
            <v>180</v>
          </cell>
          <cell r="T372">
            <v>200</v>
          </cell>
          <cell r="X372">
            <v>0.95899999999999996</v>
          </cell>
          <cell r="Y372">
            <v>0.85</v>
          </cell>
        </row>
        <row r="373">
          <cell r="A373">
            <v>0</v>
          </cell>
          <cell r="B373" t="str">
            <v>51-P-1003B</v>
          </cell>
          <cell r="C373" t="str">
            <v>Pumparound Pumps</v>
          </cell>
          <cell r="D373">
            <v>5102</v>
          </cell>
          <cell r="E373" t="str">
            <v>ISBL</v>
          </cell>
          <cell r="J373" t="str">
            <v>3</v>
          </cell>
          <cell r="K373">
            <v>400</v>
          </cell>
          <cell r="L373" t="str">
            <v>AC</v>
          </cell>
          <cell r="M373" t="str">
            <v>M</v>
          </cell>
          <cell r="N373" t="str">
            <v>N</v>
          </cell>
          <cell r="O373" t="str">
            <v>Soft Starter</v>
          </cell>
          <cell r="P373" t="str">
            <v>4850-NDB-301C</v>
          </cell>
          <cell r="Q373" t="str">
            <v>C</v>
          </cell>
          <cell r="S373">
            <v>180</v>
          </cell>
          <cell r="T373">
            <v>200</v>
          </cell>
          <cell r="X373">
            <v>0.95899999999999996</v>
          </cell>
          <cell r="Y373">
            <v>0.85</v>
          </cell>
        </row>
        <row r="374">
          <cell r="A374">
            <v>0</v>
          </cell>
          <cell r="B374" t="str">
            <v>51-P-1003C</v>
          </cell>
          <cell r="C374" t="str">
            <v>Pumparound Pumps</v>
          </cell>
          <cell r="D374">
            <v>5102</v>
          </cell>
          <cell r="E374" t="str">
            <v>ISBL</v>
          </cell>
          <cell r="J374" t="str">
            <v>3</v>
          </cell>
          <cell r="K374">
            <v>400</v>
          </cell>
          <cell r="L374" t="str">
            <v>AC</v>
          </cell>
          <cell r="M374" t="str">
            <v>M</v>
          </cell>
          <cell r="N374" t="str">
            <v>N</v>
          </cell>
          <cell r="O374" t="str">
            <v>Soft Starter</v>
          </cell>
          <cell r="P374" t="str">
            <v>4850-NDB-301C</v>
          </cell>
          <cell r="Q374" t="str">
            <v>C</v>
          </cell>
          <cell r="S374">
            <v>180</v>
          </cell>
          <cell r="T374">
            <v>200</v>
          </cell>
          <cell r="X374">
            <v>0.95899999999999996</v>
          </cell>
          <cell r="Y374">
            <v>0.85</v>
          </cell>
        </row>
        <row r="375">
          <cell r="A375">
            <v>0</v>
          </cell>
          <cell r="B375" t="str">
            <v>51-P-1003D</v>
          </cell>
          <cell r="C375" t="str">
            <v>Pumparound Pumps</v>
          </cell>
          <cell r="D375">
            <v>5102</v>
          </cell>
          <cell r="E375" t="str">
            <v>ISBL</v>
          </cell>
          <cell r="J375" t="str">
            <v>3</v>
          </cell>
          <cell r="K375">
            <v>400</v>
          </cell>
          <cell r="L375" t="str">
            <v>AC</v>
          </cell>
          <cell r="M375" t="str">
            <v>M</v>
          </cell>
          <cell r="N375" t="str">
            <v>N</v>
          </cell>
          <cell r="O375" t="str">
            <v>Soft Starter</v>
          </cell>
          <cell r="P375" t="str">
            <v>4850-NDB-301C</v>
          </cell>
          <cell r="Q375" t="str">
            <v>S</v>
          </cell>
          <cell r="S375">
            <v>180</v>
          </cell>
          <cell r="T375">
            <v>200</v>
          </cell>
          <cell r="X375">
            <v>0.95899999999999996</v>
          </cell>
          <cell r="Y375">
            <v>0.85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 t="str">
            <v>ISBL</v>
          </cell>
          <cell r="J376" t="str">
            <v>3</v>
          </cell>
          <cell r="K376">
            <v>0</v>
          </cell>
          <cell r="L376" t="str">
            <v>AC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S376">
            <v>0</v>
          </cell>
          <cell r="T376">
            <v>0</v>
          </cell>
          <cell r="X376">
            <v>0</v>
          </cell>
          <cell r="Y376">
            <v>0</v>
          </cell>
        </row>
        <row r="377">
          <cell r="A377">
            <v>0</v>
          </cell>
          <cell r="B377" t="str">
            <v>4850-ENDB-301C</v>
          </cell>
          <cell r="C377" t="str">
            <v>LIGHTING POWER (EMERGENCY)</v>
          </cell>
          <cell r="D377">
            <v>4850</v>
          </cell>
          <cell r="E377" t="str">
            <v>ISBL</v>
          </cell>
          <cell r="J377" t="str">
            <v>3</v>
          </cell>
          <cell r="K377">
            <v>400</v>
          </cell>
          <cell r="L377" t="str">
            <v>AC</v>
          </cell>
          <cell r="M377" t="str">
            <v>F</v>
          </cell>
          <cell r="N377" t="str">
            <v>N</v>
          </cell>
          <cell r="O377">
            <v>0</v>
          </cell>
          <cell r="P377" t="str">
            <v>4850-NDB-301C</v>
          </cell>
          <cell r="Q377" t="str">
            <v>C</v>
          </cell>
          <cell r="S377">
            <v>24</v>
          </cell>
          <cell r="T377">
            <v>30</v>
          </cell>
          <cell r="X377">
            <v>0.79100000000000004</v>
          </cell>
          <cell r="Y377">
            <v>0.85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 t="str">
            <v>ISBL</v>
          </cell>
          <cell r="J378" t="str">
            <v>3</v>
          </cell>
          <cell r="K378">
            <v>0</v>
          </cell>
          <cell r="L378" t="str">
            <v>AC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S378">
            <v>0</v>
          </cell>
          <cell r="T378">
            <v>0</v>
          </cell>
          <cell r="X378">
            <v>0</v>
          </cell>
          <cell r="Y378">
            <v>0</v>
          </cell>
        </row>
        <row r="379">
          <cell r="A379">
            <v>0</v>
          </cell>
          <cell r="B379" t="str">
            <v>4850-UDB-401A</v>
          </cell>
          <cell r="C379" t="str">
            <v>400/220V AC UPS (FOR PROCESS)</v>
          </cell>
          <cell r="D379">
            <v>4850</v>
          </cell>
          <cell r="E379" t="str">
            <v>ISBL</v>
          </cell>
          <cell r="J379" t="str">
            <v>3</v>
          </cell>
          <cell r="K379">
            <v>400</v>
          </cell>
          <cell r="L379" t="str">
            <v>AC</v>
          </cell>
          <cell r="M379" t="str">
            <v>F</v>
          </cell>
          <cell r="N379" t="str">
            <v>N</v>
          </cell>
          <cell r="O379">
            <v>0</v>
          </cell>
          <cell r="P379" t="str">
            <v>4850-NDB-301C</v>
          </cell>
          <cell r="Q379" t="str">
            <v>C</v>
          </cell>
          <cell r="S379">
            <v>52</v>
          </cell>
          <cell r="T379">
            <v>65</v>
          </cell>
          <cell r="X379">
            <v>0.79100000000000004</v>
          </cell>
          <cell r="Y379">
            <v>0.85</v>
          </cell>
        </row>
        <row r="380">
          <cell r="A380">
            <v>0</v>
          </cell>
          <cell r="B380" t="str">
            <v>4850-UDB-401B</v>
          </cell>
          <cell r="C380" t="str">
            <v>400/220V AC UPS (FOR PROCESS)</v>
          </cell>
          <cell r="D380">
            <v>4850</v>
          </cell>
          <cell r="E380" t="str">
            <v>ISBL</v>
          </cell>
          <cell r="J380" t="str">
            <v>3</v>
          </cell>
          <cell r="K380">
            <v>400</v>
          </cell>
          <cell r="L380" t="str">
            <v>AC</v>
          </cell>
          <cell r="M380" t="str">
            <v>F</v>
          </cell>
          <cell r="N380" t="str">
            <v>N</v>
          </cell>
          <cell r="O380">
            <v>0</v>
          </cell>
          <cell r="P380" t="str">
            <v>4850-NDB-301C</v>
          </cell>
          <cell r="Q380" t="str">
            <v>S</v>
          </cell>
          <cell r="S380">
            <v>52</v>
          </cell>
          <cell r="T380">
            <v>65</v>
          </cell>
          <cell r="X380">
            <v>0.79100000000000004</v>
          </cell>
          <cell r="Y380">
            <v>0.85</v>
          </cell>
        </row>
        <row r="381">
          <cell r="A381">
            <v>0</v>
          </cell>
          <cell r="B381" t="str">
            <v>4850-UDB-402A</v>
          </cell>
          <cell r="C381" t="str">
            <v>400/220V AC UPS (FOR INSTRUMENT)</v>
          </cell>
          <cell r="D381">
            <v>4850</v>
          </cell>
          <cell r="E381" t="str">
            <v>ISBL</v>
          </cell>
          <cell r="J381" t="str">
            <v>3</v>
          </cell>
          <cell r="K381">
            <v>400</v>
          </cell>
          <cell r="L381" t="str">
            <v>AC</v>
          </cell>
          <cell r="M381" t="str">
            <v>F</v>
          </cell>
          <cell r="N381" t="str">
            <v>N</v>
          </cell>
          <cell r="O381">
            <v>0</v>
          </cell>
          <cell r="P381" t="str">
            <v>4850-NDB-301C</v>
          </cell>
          <cell r="Q381" t="str">
            <v>C</v>
          </cell>
          <cell r="S381">
            <v>24</v>
          </cell>
          <cell r="T381">
            <v>30</v>
          </cell>
          <cell r="X381">
            <v>0.79100000000000004</v>
          </cell>
          <cell r="Y381">
            <v>0.85</v>
          </cell>
        </row>
        <row r="382">
          <cell r="A382">
            <v>0</v>
          </cell>
          <cell r="B382" t="str">
            <v>4850-UDB-402B</v>
          </cell>
          <cell r="C382" t="str">
            <v>400/220V AC UPS (FOR INSTRUMENT)</v>
          </cell>
          <cell r="D382">
            <v>4850</v>
          </cell>
          <cell r="E382" t="str">
            <v>ISBL</v>
          </cell>
          <cell r="J382" t="str">
            <v>3</v>
          </cell>
          <cell r="K382">
            <v>400</v>
          </cell>
          <cell r="L382" t="str">
            <v>AC</v>
          </cell>
          <cell r="M382" t="str">
            <v>F</v>
          </cell>
          <cell r="N382" t="str">
            <v>N</v>
          </cell>
          <cell r="O382">
            <v>0</v>
          </cell>
          <cell r="P382" t="str">
            <v>4850-NDB-301C</v>
          </cell>
          <cell r="Q382" t="str">
            <v>S</v>
          </cell>
          <cell r="S382">
            <v>24</v>
          </cell>
          <cell r="T382">
            <v>30</v>
          </cell>
          <cell r="X382">
            <v>0.79100000000000004</v>
          </cell>
          <cell r="Y382">
            <v>0.85</v>
          </cell>
        </row>
        <row r="383">
          <cell r="A383">
            <v>0</v>
          </cell>
          <cell r="B383" t="str">
            <v>4850-UDB-403</v>
          </cell>
          <cell r="C383" t="str">
            <v>220V DC UPS (FOR SUBSTATION)</v>
          </cell>
          <cell r="D383">
            <v>4850</v>
          </cell>
          <cell r="E383" t="str">
            <v>ISBL</v>
          </cell>
          <cell r="J383" t="str">
            <v>3</v>
          </cell>
          <cell r="K383">
            <v>400</v>
          </cell>
          <cell r="L383" t="str">
            <v>AC</v>
          </cell>
          <cell r="M383" t="str">
            <v>F</v>
          </cell>
          <cell r="N383" t="str">
            <v>N</v>
          </cell>
          <cell r="O383">
            <v>0</v>
          </cell>
          <cell r="P383" t="str">
            <v>4850-NDB-301C</v>
          </cell>
          <cell r="Q383" t="str">
            <v>C</v>
          </cell>
          <cell r="S383">
            <v>24</v>
          </cell>
          <cell r="T383">
            <v>30</v>
          </cell>
          <cell r="X383">
            <v>0.79100000000000004</v>
          </cell>
          <cell r="Y383">
            <v>0.85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 t="str">
            <v>ISBL</v>
          </cell>
          <cell r="J384" t="str">
            <v>3</v>
          </cell>
          <cell r="K384">
            <v>0</v>
          </cell>
          <cell r="L384" t="str">
            <v>AC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S384">
            <v>0</v>
          </cell>
          <cell r="T384">
            <v>0</v>
          </cell>
          <cell r="X384">
            <v>0</v>
          </cell>
          <cell r="Y384">
            <v>0</v>
          </cell>
        </row>
        <row r="385">
          <cell r="A385">
            <v>0</v>
          </cell>
          <cell r="B385" t="str">
            <v>FM200</v>
          </cell>
          <cell r="C385" t="str">
            <v>FM200 System (Gas Suppression System)</v>
          </cell>
          <cell r="D385">
            <v>4850</v>
          </cell>
          <cell r="E385" t="str">
            <v>ISBL</v>
          </cell>
          <cell r="J385" t="str">
            <v>3</v>
          </cell>
          <cell r="K385">
            <v>400</v>
          </cell>
          <cell r="L385" t="str">
            <v>AC</v>
          </cell>
          <cell r="M385" t="str">
            <v>F</v>
          </cell>
          <cell r="N385" t="str">
            <v>N</v>
          </cell>
          <cell r="O385" t="str">
            <v/>
          </cell>
          <cell r="P385" t="str">
            <v>4850-NDB-301C</v>
          </cell>
          <cell r="Q385" t="str">
            <v>C</v>
          </cell>
          <cell r="S385">
            <v>2.5600000000000005</v>
          </cell>
          <cell r="T385">
            <v>3.2</v>
          </cell>
          <cell r="X385">
            <v>1</v>
          </cell>
          <cell r="Y385">
            <v>1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 t="str">
            <v>ISBL</v>
          </cell>
          <cell r="J386" t="str">
            <v>3</v>
          </cell>
          <cell r="K386">
            <v>0</v>
          </cell>
          <cell r="L386" t="str">
            <v>AC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S386">
            <v>0</v>
          </cell>
          <cell r="T386">
            <v>0</v>
          </cell>
          <cell r="X386">
            <v>0</v>
          </cell>
          <cell r="Y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 t="str">
            <v>ISBL</v>
          </cell>
          <cell r="J387" t="str">
            <v>3</v>
          </cell>
          <cell r="K387">
            <v>0</v>
          </cell>
          <cell r="L387" t="str">
            <v>AC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S387">
            <v>0</v>
          </cell>
          <cell r="T387">
            <v>0</v>
          </cell>
          <cell r="X387">
            <v>0</v>
          </cell>
          <cell r="Y387">
            <v>0</v>
          </cell>
        </row>
        <row r="388">
          <cell r="A388" t="str">
            <v>PEU-2</v>
          </cell>
          <cell r="B388" t="str">
            <v>5101-LDB-301</v>
          </cell>
          <cell r="C388" t="str">
            <v>Outdoor Normal Lighting Panel-LC2254 &amp; Butene-1</v>
          </cell>
          <cell r="D388">
            <v>0</v>
          </cell>
          <cell r="E388" t="str">
            <v>ISBL</v>
          </cell>
          <cell r="J388" t="str">
            <v>3</v>
          </cell>
          <cell r="K388">
            <v>690</v>
          </cell>
          <cell r="L388" t="str">
            <v>AC</v>
          </cell>
          <cell r="M388" t="str">
            <v>F</v>
          </cell>
          <cell r="N388" t="str">
            <v>N</v>
          </cell>
          <cell r="O388">
            <v>0</v>
          </cell>
          <cell r="P388" t="str">
            <v>4850-LDB-301A</v>
          </cell>
          <cell r="Q388" t="str">
            <v>C</v>
          </cell>
          <cell r="S388">
            <v>4</v>
          </cell>
          <cell r="T388">
            <v>5</v>
          </cell>
          <cell r="X388">
            <v>1</v>
          </cell>
          <cell r="Y388">
            <v>0.85</v>
          </cell>
        </row>
        <row r="389">
          <cell r="A389" t="str">
            <v>PEU-2</v>
          </cell>
          <cell r="B389" t="str">
            <v>5102-LDB-301</v>
          </cell>
          <cell r="C389" t="str">
            <v>Outdoor Normal Lighting Panel-Reactor &amp; Pumparound</v>
          </cell>
          <cell r="D389">
            <v>0</v>
          </cell>
          <cell r="E389" t="str">
            <v>ISBL</v>
          </cell>
          <cell r="J389" t="str">
            <v>3</v>
          </cell>
          <cell r="K389">
            <v>690</v>
          </cell>
          <cell r="L389" t="str">
            <v>AC</v>
          </cell>
          <cell r="M389" t="str">
            <v>F</v>
          </cell>
          <cell r="N389" t="str">
            <v>N</v>
          </cell>
          <cell r="O389">
            <v>0</v>
          </cell>
          <cell r="P389" t="str">
            <v>4850-LDB-301A</v>
          </cell>
          <cell r="Q389" t="str">
            <v>C</v>
          </cell>
          <cell r="S389">
            <v>4</v>
          </cell>
          <cell r="T389">
            <v>5</v>
          </cell>
          <cell r="X389">
            <v>1</v>
          </cell>
          <cell r="Y389">
            <v>0.85</v>
          </cell>
        </row>
        <row r="390">
          <cell r="A390" t="str">
            <v>CT</v>
          </cell>
          <cell r="B390" t="str">
            <v>4105-LDB-301</v>
          </cell>
          <cell r="C390" t="str">
            <v>Outdoor Normal Lighting Panel- Catalyst Area</v>
          </cell>
          <cell r="D390">
            <v>0</v>
          </cell>
          <cell r="E390" t="str">
            <v>ISBL</v>
          </cell>
          <cell r="J390" t="str">
            <v>3</v>
          </cell>
          <cell r="K390">
            <v>690</v>
          </cell>
          <cell r="L390" t="str">
            <v>AC</v>
          </cell>
          <cell r="M390" t="str">
            <v>F</v>
          </cell>
          <cell r="N390" t="str">
            <v>N</v>
          </cell>
          <cell r="O390">
            <v>0</v>
          </cell>
          <cell r="P390" t="str">
            <v>4850-LDB-301A</v>
          </cell>
          <cell r="Q390" t="str">
            <v>C</v>
          </cell>
          <cell r="S390">
            <v>8</v>
          </cell>
          <cell r="T390">
            <v>10</v>
          </cell>
          <cell r="X390">
            <v>1</v>
          </cell>
          <cell r="Y390">
            <v>0.85</v>
          </cell>
        </row>
        <row r="391">
          <cell r="A391" t="str">
            <v>PEU-2</v>
          </cell>
          <cell r="B391" t="str">
            <v>4106-LDB-301</v>
          </cell>
          <cell r="C391" t="str">
            <v>Outdoor Normal Lighting Panel-Glycol &amp; Oily Water System</v>
          </cell>
          <cell r="D391">
            <v>0</v>
          </cell>
          <cell r="E391" t="str">
            <v>ISBL</v>
          </cell>
          <cell r="J391" t="str">
            <v>3</v>
          </cell>
          <cell r="K391">
            <v>690</v>
          </cell>
          <cell r="L391" t="str">
            <v>AC</v>
          </cell>
          <cell r="M391" t="str">
            <v>F</v>
          </cell>
          <cell r="N391" t="str">
            <v>N</v>
          </cell>
          <cell r="O391">
            <v>0</v>
          </cell>
          <cell r="P391" t="str">
            <v>4850-LDB-301A</v>
          </cell>
          <cell r="Q391" t="str">
            <v>C</v>
          </cell>
          <cell r="S391">
            <v>4</v>
          </cell>
          <cell r="T391">
            <v>5</v>
          </cell>
          <cell r="X391">
            <v>1</v>
          </cell>
          <cell r="Y391">
            <v>0.85</v>
          </cell>
        </row>
        <row r="392">
          <cell r="A392" t="str">
            <v>PEU-2</v>
          </cell>
          <cell r="B392" t="str">
            <v>4103-LDB-301</v>
          </cell>
          <cell r="C392" t="str">
            <v>Outdoor Normal Lighting Panel-Treater Area</v>
          </cell>
          <cell r="D392">
            <v>0</v>
          </cell>
          <cell r="E392" t="str">
            <v>ISBL</v>
          </cell>
          <cell r="J392" t="str">
            <v>3</v>
          </cell>
          <cell r="K392">
            <v>690</v>
          </cell>
          <cell r="L392" t="str">
            <v>AC</v>
          </cell>
          <cell r="M392" t="str">
            <v>F</v>
          </cell>
          <cell r="N392" t="str">
            <v>N</v>
          </cell>
          <cell r="O392">
            <v>0</v>
          </cell>
          <cell r="P392" t="str">
            <v>4850-LDB-301A</v>
          </cell>
          <cell r="Q392" t="str">
            <v>C</v>
          </cell>
          <cell r="S392">
            <v>8</v>
          </cell>
          <cell r="T392">
            <v>10</v>
          </cell>
          <cell r="X392">
            <v>1</v>
          </cell>
          <cell r="Y392">
            <v>0.85</v>
          </cell>
        </row>
        <row r="393">
          <cell r="A393" t="str">
            <v>PEU-2</v>
          </cell>
          <cell r="B393" t="str">
            <v>4104-LDB-301</v>
          </cell>
          <cell r="C393" t="str">
            <v>Outdoor Normal Lighting Panel-Rx Coolant &amp; Recycle Fractionation</v>
          </cell>
          <cell r="D393">
            <v>0</v>
          </cell>
          <cell r="E393" t="str">
            <v>ISBL</v>
          </cell>
          <cell r="J393" t="str">
            <v>3</v>
          </cell>
          <cell r="K393">
            <v>690</v>
          </cell>
          <cell r="L393" t="str">
            <v>AC</v>
          </cell>
          <cell r="M393" t="str">
            <v>F</v>
          </cell>
          <cell r="N393" t="str">
            <v>N</v>
          </cell>
          <cell r="O393">
            <v>0</v>
          </cell>
          <cell r="P393" t="str">
            <v>4850-LDB-301A</v>
          </cell>
          <cell r="Q393" t="str">
            <v>C</v>
          </cell>
          <cell r="S393">
            <v>8</v>
          </cell>
          <cell r="T393">
            <v>10</v>
          </cell>
          <cell r="X393">
            <v>1</v>
          </cell>
          <cell r="Y393">
            <v>0.85</v>
          </cell>
        </row>
        <row r="394">
          <cell r="A394" t="str">
            <v>PEU-2</v>
          </cell>
          <cell r="B394" t="str">
            <v>4101-LDB-301</v>
          </cell>
          <cell r="C394" t="str">
            <v>Outdoor Normal Lighting Panel-HP Nitrogen &amp; INRU Comp.</v>
          </cell>
          <cell r="D394">
            <v>0</v>
          </cell>
          <cell r="E394" t="str">
            <v>ISBL</v>
          </cell>
          <cell r="J394" t="str">
            <v>3</v>
          </cell>
          <cell r="K394">
            <v>690</v>
          </cell>
          <cell r="L394" t="str">
            <v>AC</v>
          </cell>
          <cell r="M394" t="str">
            <v>F</v>
          </cell>
          <cell r="N394" t="str">
            <v>N</v>
          </cell>
          <cell r="O394">
            <v>0</v>
          </cell>
          <cell r="P394" t="str">
            <v>4850-LDB-301A</v>
          </cell>
          <cell r="Q394" t="str">
            <v>C</v>
          </cell>
          <cell r="S394">
            <v>8</v>
          </cell>
          <cell r="T394">
            <v>10</v>
          </cell>
          <cell r="X394">
            <v>1</v>
          </cell>
          <cell r="Y394">
            <v>0.85</v>
          </cell>
        </row>
        <row r="395">
          <cell r="A395" t="str">
            <v>PEU-2</v>
          </cell>
          <cell r="B395" t="str">
            <v>4102-LDB-301</v>
          </cell>
          <cell r="C395" t="str">
            <v>Outdoor Normal Lighting Panel-Loop Reactor &amp; Fluff Transfer</v>
          </cell>
          <cell r="D395">
            <v>0</v>
          </cell>
          <cell r="E395" t="str">
            <v>ISBL</v>
          </cell>
          <cell r="J395" t="str">
            <v>3</v>
          </cell>
          <cell r="K395">
            <v>690</v>
          </cell>
          <cell r="L395" t="str">
            <v>AC</v>
          </cell>
          <cell r="M395" t="str">
            <v>F</v>
          </cell>
          <cell r="N395" t="str">
            <v>N</v>
          </cell>
          <cell r="O395">
            <v>0</v>
          </cell>
          <cell r="P395" t="str">
            <v>4850-LDB-301A</v>
          </cell>
          <cell r="Q395" t="str">
            <v>C</v>
          </cell>
          <cell r="S395">
            <v>8</v>
          </cell>
          <cell r="T395">
            <v>10</v>
          </cell>
          <cell r="X395">
            <v>1</v>
          </cell>
          <cell r="Y395">
            <v>0.85</v>
          </cell>
        </row>
        <row r="396">
          <cell r="A396" t="str">
            <v>CT</v>
          </cell>
          <cell r="B396" t="str">
            <v>6300-LDB-301</v>
          </cell>
          <cell r="C396" t="str">
            <v>Outdoor Normal Lighting Panel-Cooling water supply</v>
          </cell>
          <cell r="D396">
            <v>0</v>
          </cell>
          <cell r="E396" t="str">
            <v>ISBL</v>
          </cell>
          <cell r="J396" t="str">
            <v>3</v>
          </cell>
          <cell r="K396">
            <v>690</v>
          </cell>
          <cell r="L396" t="str">
            <v>AC</v>
          </cell>
          <cell r="M396" t="str">
            <v>F</v>
          </cell>
          <cell r="N396" t="str">
            <v>N</v>
          </cell>
          <cell r="O396">
            <v>0</v>
          </cell>
          <cell r="P396" t="str">
            <v>4850-LDB-301A</v>
          </cell>
          <cell r="Q396" t="str">
            <v>C</v>
          </cell>
          <cell r="S396">
            <v>8</v>
          </cell>
          <cell r="T396">
            <v>10</v>
          </cell>
          <cell r="X396">
            <v>1</v>
          </cell>
          <cell r="Y396">
            <v>0.85</v>
          </cell>
        </row>
        <row r="397">
          <cell r="A397" t="str">
            <v>PEU-2</v>
          </cell>
          <cell r="B397" t="str">
            <v>5101-LDB-302</v>
          </cell>
          <cell r="C397" t="str">
            <v>Building Normal Lighting Panel-LC2254 &amp; Butene-1</v>
          </cell>
          <cell r="D397">
            <v>0</v>
          </cell>
          <cell r="E397" t="str">
            <v>ISBL</v>
          </cell>
          <cell r="J397" t="str">
            <v>3</v>
          </cell>
          <cell r="K397">
            <v>690</v>
          </cell>
          <cell r="L397" t="str">
            <v>AC</v>
          </cell>
          <cell r="M397" t="str">
            <v>F</v>
          </cell>
          <cell r="N397" t="str">
            <v>N</v>
          </cell>
          <cell r="O397">
            <v>0</v>
          </cell>
          <cell r="P397" t="str">
            <v>4850-LDB-301A</v>
          </cell>
          <cell r="Q397" t="str">
            <v>C</v>
          </cell>
          <cell r="S397">
            <v>4</v>
          </cell>
          <cell r="T397">
            <v>5</v>
          </cell>
          <cell r="X397">
            <v>1</v>
          </cell>
          <cell r="Y397">
            <v>0.85</v>
          </cell>
        </row>
        <row r="398">
          <cell r="A398" t="str">
            <v>PEU-2</v>
          </cell>
          <cell r="B398" t="str">
            <v>4105-LDB-302</v>
          </cell>
          <cell r="C398" t="str">
            <v>Building Normal Lighting Panel - Catalyst Area</v>
          </cell>
          <cell r="D398">
            <v>0</v>
          </cell>
          <cell r="E398" t="str">
            <v>ISBL</v>
          </cell>
          <cell r="J398" t="str">
            <v>3</v>
          </cell>
          <cell r="K398">
            <v>690</v>
          </cell>
          <cell r="L398" t="str">
            <v>AC</v>
          </cell>
          <cell r="M398" t="str">
            <v>F</v>
          </cell>
          <cell r="N398" t="str">
            <v>N</v>
          </cell>
          <cell r="O398">
            <v>0</v>
          </cell>
          <cell r="P398" t="str">
            <v>4850-LDB-301A</v>
          </cell>
          <cell r="Q398" t="str">
            <v>C</v>
          </cell>
          <cell r="S398">
            <v>4</v>
          </cell>
          <cell r="T398">
            <v>5</v>
          </cell>
          <cell r="X398">
            <v>1</v>
          </cell>
          <cell r="Y398">
            <v>0.85</v>
          </cell>
        </row>
        <row r="399">
          <cell r="A399" t="str">
            <v>PEU-2</v>
          </cell>
          <cell r="B399" t="str">
            <v>4101-LDB-302</v>
          </cell>
          <cell r="C399" t="str">
            <v>Building Normal Lighting Panel-HP Nitrogen &amp; INRU Comp.</v>
          </cell>
          <cell r="D399">
            <v>0</v>
          </cell>
          <cell r="E399" t="str">
            <v>ISBL</v>
          </cell>
          <cell r="J399" t="str">
            <v>3</v>
          </cell>
          <cell r="K399">
            <v>690</v>
          </cell>
          <cell r="L399" t="str">
            <v>AC</v>
          </cell>
          <cell r="M399" t="str">
            <v>F</v>
          </cell>
          <cell r="N399" t="str">
            <v>N</v>
          </cell>
          <cell r="O399">
            <v>0</v>
          </cell>
          <cell r="P399" t="str">
            <v>4850-LDB-301A</v>
          </cell>
          <cell r="Q399" t="str">
            <v>C</v>
          </cell>
          <cell r="S399">
            <v>8</v>
          </cell>
          <cell r="T399">
            <v>10</v>
          </cell>
          <cell r="X399">
            <v>1</v>
          </cell>
          <cell r="Y399">
            <v>0.85</v>
          </cell>
        </row>
        <row r="400">
          <cell r="A400" t="str">
            <v>PEU-2</v>
          </cell>
          <cell r="B400" t="str">
            <v>4102-LDB-302</v>
          </cell>
          <cell r="C400" t="str">
            <v>Outdoor Normal Lighting Panel-Loop Reactor &amp; Fluff Transfer</v>
          </cell>
          <cell r="D400">
            <v>0</v>
          </cell>
          <cell r="E400" t="str">
            <v>ISBL</v>
          </cell>
          <cell r="J400" t="str">
            <v>3</v>
          </cell>
          <cell r="K400">
            <v>690</v>
          </cell>
          <cell r="L400" t="str">
            <v>AC</v>
          </cell>
          <cell r="M400" t="str">
            <v>F</v>
          </cell>
          <cell r="N400" t="str">
            <v>N</v>
          </cell>
          <cell r="O400">
            <v>0</v>
          </cell>
          <cell r="P400" t="str">
            <v>4850-LDB-301A</v>
          </cell>
          <cell r="Q400" t="str">
            <v>C</v>
          </cell>
          <cell r="S400">
            <v>8</v>
          </cell>
          <cell r="T400">
            <v>10</v>
          </cell>
          <cell r="X400">
            <v>1</v>
          </cell>
          <cell r="Y400">
            <v>0.85</v>
          </cell>
        </row>
        <row r="401">
          <cell r="A401" t="str">
            <v>PEU-2</v>
          </cell>
          <cell r="B401" t="str">
            <v>4107-LDB-301</v>
          </cell>
          <cell r="C401" t="str">
            <v>Indoor Normal Lighting Panel-Extrusion B/D &amp; Pellet Conveying</v>
          </cell>
          <cell r="D401">
            <v>0</v>
          </cell>
          <cell r="E401" t="str">
            <v>ISBL</v>
          </cell>
          <cell r="J401" t="str">
            <v>3</v>
          </cell>
          <cell r="K401">
            <v>690</v>
          </cell>
          <cell r="L401" t="str">
            <v>AC</v>
          </cell>
          <cell r="M401" t="str">
            <v>F</v>
          </cell>
          <cell r="N401" t="str">
            <v>N</v>
          </cell>
          <cell r="O401">
            <v>0</v>
          </cell>
          <cell r="P401" t="str">
            <v>4850-LDB-301A</v>
          </cell>
          <cell r="Q401" t="str">
            <v>C</v>
          </cell>
          <cell r="S401">
            <v>6.4</v>
          </cell>
          <cell r="T401">
            <v>8</v>
          </cell>
          <cell r="X401">
            <v>1</v>
          </cell>
          <cell r="Y401">
            <v>0.85</v>
          </cell>
        </row>
        <row r="402">
          <cell r="A402" t="str">
            <v>PEU-2</v>
          </cell>
          <cell r="B402" t="str">
            <v>4108-LDB-301</v>
          </cell>
          <cell r="C402" t="str">
            <v>Outdoor Normal Lighting Panel-Pellet Run Blend Silo</v>
          </cell>
          <cell r="D402">
            <v>0</v>
          </cell>
          <cell r="E402" t="str">
            <v>ISBL</v>
          </cell>
          <cell r="J402" t="str">
            <v>3</v>
          </cell>
          <cell r="K402">
            <v>690</v>
          </cell>
          <cell r="L402" t="str">
            <v>AC</v>
          </cell>
          <cell r="M402" t="str">
            <v>F</v>
          </cell>
          <cell r="N402" t="str">
            <v>N</v>
          </cell>
          <cell r="O402">
            <v>0</v>
          </cell>
          <cell r="P402" t="str">
            <v>4850-LDB-301A</v>
          </cell>
          <cell r="Q402" t="str">
            <v>C</v>
          </cell>
          <cell r="S402">
            <v>4</v>
          </cell>
          <cell r="T402">
            <v>5</v>
          </cell>
          <cell r="X402">
            <v>1</v>
          </cell>
          <cell r="Y402">
            <v>0.85</v>
          </cell>
        </row>
        <row r="403">
          <cell r="A403" t="str">
            <v>PEU-2</v>
          </cell>
          <cell r="B403" t="str">
            <v>6700-LDB-301</v>
          </cell>
          <cell r="C403" t="str">
            <v>Outdoor Normal Lighting Panel-Flare Area</v>
          </cell>
          <cell r="D403">
            <v>0</v>
          </cell>
          <cell r="E403" t="str">
            <v>ISBL</v>
          </cell>
          <cell r="J403" t="str">
            <v>3</v>
          </cell>
          <cell r="K403">
            <v>690</v>
          </cell>
          <cell r="L403" t="str">
            <v>AC</v>
          </cell>
          <cell r="M403" t="str">
            <v>F</v>
          </cell>
          <cell r="N403" t="str">
            <v>N</v>
          </cell>
          <cell r="O403">
            <v>0</v>
          </cell>
          <cell r="P403" t="str">
            <v>4850-LDB-301A</v>
          </cell>
          <cell r="Q403" t="str">
            <v>C</v>
          </cell>
          <cell r="S403">
            <v>4</v>
          </cell>
          <cell r="T403">
            <v>5</v>
          </cell>
          <cell r="X403">
            <v>1</v>
          </cell>
          <cell r="Y403">
            <v>0.85</v>
          </cell>
        </row>
        <row r="404">
          <cell r="A404" t="str">
            <v>SS</v>
          </cell>
          <cell r="B404" t="str">
            <v>4850-LDB-300</v>
          </cell>
          <cell r="C404" t="str">
            <v>Substation Normal Lighting Panel</v>
          </cell>
          <cell r="D404">
            <v>0</v>
          </cell>
          <cell r="E404" t="str">
            <v>ISBL</v>
          </cell>
          <cell r="J404" t="str">
            <v>3</v>
          </cell>
          <cell r="K404">
            <v>690</v>
          </cell>
          <cell r="L404" t="str">
            <v>AC</v>
          </cell>
          <cell r="M404" t="str">
            <v>F</v>
          </cell>
          <cell r="N404" t="str">
            <v>N</v>
          </cell>
          <cell r="O404">
            <v>0</v>
          </cell>
          <cell r="P404" t="str">
            <v>4850-LDB-301A</v>
          </cell>
          <cell r="Q404" t="str">
            <v>C</v>
          </cell>
          <cell r="S404">
            <v>8</v>
          </cell>
          <cell r="T404">
            <v>10</v>
          </cell>
          <cell r="X404">
            <v>1</v>
          </cell>
          <cell r="Y404">
            <v>0.85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 t="str">
            <v>ISBL</v>
          </cell>
          <cell r="J405" t="str">
            <v>3</v>
          </cell>
          <cell r="K405">
            <v>0</v>
          </cell>
          <cell r="L405" t="str">
            <v>AC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S405">
            <v>0</v>
          </cell>
          <cell r="T405">
            <v>0</v>
          </cell>
          <cell r="X405" t="str">
            <v/>
          </cell>
          <cell r="Y405">
            <v>0</v>
          </cell>
        </row>
        <row r="406">
          <cell r="A406" t="str">
            <v>PEU-2</v>
          </cell>
          <cell r="B406" t="str">
            <v>5101-XDB-301</v>
          </cell>
          <cell r="C406" t="str">
            <v>Outdoor Normal Small Power Panel-LC2254 &amp; Butene-1</v>
          </cell>
          <cell r="D406">
            <v>0</v>
          </cell>
          <cell r="E406" t="str">
            <v>ISBL</v>
          </cell>
          <cell r="J406" t="str">
            <v>3</v>
          </cell>
          <cell r="K406">
            <v>690</v>
          </cell>
          <cell r="L406" t="str">
            <v>AC</v>
          </cell>
          <cell r="M406" t="str">
            <v>F</v>
          </cell>
          <cell r="N406" t="str">
            <v>N</v>
          </cell>
          <cell r="O406">
            <v>0</v>
          </cell>
          <cell r="P406" t="str">
            <v>4850-XDB-301A</v>
          </cell>
          <cell r="Q406" t="str">
            <v>C</v>
          </cell>
          <cell r="S406">
            <v>2.4000000000000004</v>
          </cell>
          <cell r="T406">
            <v>3</v>
          </cell>
          <cell r="X406">
            <v>1</v>
          </cell>
          <cell r="Y406">
            <v>0.85</v>
          </cell>
        </row>
        <row r="407">
          <cell r="A407" t="str">
            <v>PEU-2</v>
          </cell>
          <cell r="B407" t="str">
            <v>5102-XDB-301</v>
          </cell>
          <cell r="C407" t="str">
            <v>Outdoor Normal Small Power Panel-Reactor &amp; Pumparound</v>
          </cell>
          <cell r="D407">
            <v>0</v>
          </cell>
          <cell r="E407" t="str">
            <v>ISBL</v>
          </cell>
          <cell r="J407" t="str">
            <v>3</v>
          </cell>
          <cell r="K407">
            <v>690</v>
          </cell>
          <cell r="L407" t="str">
            <v>AC</v>
          </cell>
          <cell r="M407" t="str">
            <v>F</v>
          </cell>
          <cell r="N407" t="str">
            <v>N</v>
          </cell>
          <cell r="O407">
            <v>0</v>
          </cell>
          <cell r="P407" t="str">
            <v>4850-XDB-301A</v>
          </cell>
          <cell r="Q407" t="str">
            <v>C</v>
          </cell>
          <cell r="S407">
            <v>2.4000000000000004</v>
          </cell>
          <cell r="T407">
            <v>3</v>
          </cell>
          <cell r="X407">
            <v>1</v>
          </cell>
          <cell r="Y407">
            <v>0.85</v>
          </cell>
        </row>
        <row r="408">
          <cell r="A408" t="str">
            <v>CT</v>
          </cell>
          <cell r="B408" t="str">
            <v>4105-XDB-301</v>
          </cell>
          <cell r="C408" t="str">
            <v>Outdoor Normal Small Power Panel- Catalyst Area</v>
          </cell>
          <cell r="D408">
            <v>0</v>
          </cell>
          <cell r="E408" t="str">
            <v>ISBL</v>
          </cell>
          <cell r="J408" t="str">
            <v>3</v>
          </cell>
          <cell r="K408">
            <v>690</v>
          </cell>
          <cell r="L408" t="str">
            <v>AC</v>
          </cell>
          <cell r="M408" t="str">
            <v>F</v>
          </cell>
          <cell r="N408" t="str">
            <v>N</v>
          </cell>
          <cell r="O408">
            <v>0</v>
          </cell>
          <cell r="P408" t="str">
            <v>4850-XDB-301A</v>
          </cell>
          <cell r="Q408" t="str">
            <v>C</v>
          </cell>
          <cell r="S408">
            <v>4</v>
          </cell>
          <cell r="T408">
            <v>5</v>
          </cell>
          <cell r="X408">
            <v>1</v>
          </cell>
          <cell r="Y408">
            <v>0.85</v>
          </cell>
        </row>
        <row r="409">
          <cell r="A409" t="str">
            <v>PEU-2</v>
          </cell>
          <cell r="B409" t="str">
            <v>4106-XDB-301</v>
          </cell>
          <cell r="C409" t="str">
            <v>Outdoor Normal Small Power Panel-Glycol &amp; Oily Water System</v>
          </cell>
          <cell r="D409">
            <v>0</v>
          </cell>
          <cell r="E409" t="str">
            <v>ISBL</v>
          </cell>
          <cell r="J409" t="str">
            <v>3</v>
          </cell>
          <cell r="K409">
            <v>690</v>
          </cell>
          <cell r="L409" t="str">
            <v>AC</v>
          </cell>
          <cell r="M409" t="str">
            <v>F</v>
          </cell>
          <cell r="N409" t="str">
            <v>N</v>
          </cell>
          <cell r="O409">
            <v>0</v>
          </cell>
          <cell r="P409" t="str">
            <v>4850-XDB-301A</v>
          </cell>
          <cell r="Q409" t="str">
            <v>C</v>
          </cell>
          <cell r="S409">
            <v>2.4000000000000004</v>
          </cell>
          <cell r="T409">
            <v>3</v>
          </cell>
          <cell r="X409">
            <v>1</v>
          </cell>
          <cell r="Y409">
            <v>0.85</v>
          </cell>
        </row>
        <row r="410">
          <cell r="A410" t="str">
            <v>PEU-2</v>
          </cell>
          <cell r="B410" t="str">
            <v>4103-XDB-301</v>
          </cell>
          <cell r="C410" t="str">
            <v>Outdoor Normal Small Power Panel-Treater Area</v>
          </cell>
          <cell r="D410">
            <v>0</v>
          </cell>
          <cell r="E410" t="str">
            <v>ISBL</v>
          </cell>
          <cell r="J410" t="str">
            <v>3</v>
          </cell>
          <cell r="K410">
            <v>690</v>
          </cell>
          <cell r="L410" t="str">
            <v>AC</v>
          </cell>
          <cell r="M410" t="str">
            <v>F</v>
          </cell>
          <cell r="N410" t="str">
            <v>N</v>
          </cell>
          <cell r="O410">
            <v>0</v>
          </cell>
          <cell r="P410" t="str">
            <v>4850-XDB-301A</v>
          </cell>
          <cell r="Q410" t="str">
            <v>C</v>
          </cell>
          <cell r="S410">
            <v>4</v>
          </cell>
          <cell r="T410">
            <v>5</v>
          </cell>
          <cell r="X410">
            <v>1</v>
          </cell>
          <cell r="Y410">
            <v>0.85</v>
          </cell>
        </row>
        <row r="411">
          <cell r="A411" t="str">
            <v>PEU-2</v>
          </cell>
          <cell r="B411" t="str">
            <v>4104-XDB-301</v>
          </cell>
          <cell r="C411" t="str">
            <v>Outdoor Normal Small Power Panel-Rx Coolant &amp; Recycle Fractionation</v>
          </cell>
          <cell r="D411">
            <v>0</v>
          </cell>
          <cell r="E411" t="str">
            <v>ISBL</v>
          </cell>
          <cell r="J411" t="str">
            <v>3</v>
          </cell>
          <cell r="K411">
            <v>690</v>
          </cell>
          <cell r="L411" t="str">
            <v>AC</v>
          </cell>
          <cell r="M411" t="str">
            <v>F</v>
          </cell>
          <cell r="N411" t="str">
            <v>N</v>
          </cell>
          <cell r="O411">
            <v>0</v>
          </cell>
          <cell r="P411" t="str">
            <v>4850-XDB-301A</v>
          </cell>
          <cell r="Q411" t="str">
            <v>C</v>
          </cell>
          <cell r="S411">
            <v>4</v>
          </cell>
          <cell r="T411">
            <v>5</v>
          </cell>
          <cell r="X411">
            <v>1</v>
          </cell>
          <cell r="Y411">
            <v>0.85</v>
          </cell>
        </row>
        <row r="412">
          <cell r="A412" t="str">
            <v>PEU-2</v>
          </cell>
          <cell r="B412" t="str">
            <v>4101-XDB-301</v>
          </cell>
          <cell r="C412" t="str">
            <v>Outdoor Normal Small Power Panel-HP Nitrogen &amp; INRU Comp.</v>
          </cell>
          <cell r="D412">
            <v>0</v>
          </cell>
          <cell r="E412" t="str">
            <v>ISBL</v>
          </cell>
          <cell r="J412" t="str">
            <v>3</v>
          </cell>
          <cell r="K412">
            <v>690</v>
          </cell>
          <cell r="L412" t="str">
            <v>AC</v>
          </cell>
          <cell r="M412" t="str">
            <v>F</v>
          </cell>
          <cell r="N412" t="str">
            <v>N</v>
          </cell>
          <cell r="O412">
            <v>0</v>
          </cell>
          <cell r="P412" t="str">
            <v>4850-XDB-301A</v>
          </cell>
          <cell r="Q412" t="str">
            <v>C</v>
          </cell>
          <cell r="S412">
            <v>4</v>
          </cell>
          <cell r="T412">
            <v>5</v>
          </cell>
          <cell r="X412">
            <v>1</v>
          </cell>
          <cell r="Y412">
            <v>0.85</v>
          </cell>
        </row>
        <row r="413">
          <cell r="A413" t="str">
            <v>PEU-2</v>
          </cell>
          <cell r="B413" t="str">
            <v>4102-XDB-301</v>
          </cell>
          <cell r="C413" t="str">
            <v>Outdoor Normal Small Power Panel-Loop Reactor &amp; Fluff Transfer</v>
          </cell>
          <cell r="D413">
            <v>0</v>
          </cell>
          <cell r="E413" t="str">
            <v>ISBL</v>
          </cell>
          <cell r="J413" t="str">
            <v>3</v>
          </cell>
          <cell r="K413">
            <v>690</v>
          </cell>
          <cell r="L413" t="str">
            <v>AC</v>
          </cell>
          <cell r="M413" t="str">
            <v>F</v>
          </cell>
          <cell r="N413" t="str">
            <v>N</v>
          </cell>
          <cell r="O413">
            <v>0</v>
          </cell>
          <cell r="P413" t="str">
            <v>4850-XDB-301A</v>
          </cell>
          <cell r="Q413" t="str">
            <v>C</v>
          </cell>
          <cell r="S413">
            <v>4</v>
          </cell>
          <cell r="T413">
            <v>5</v>
          </cell>
          <cell r="X413">
            <v>1</v>
          </cell>
          <cell r="Y413">
            <v>0.85</v>
          </cell>
        </row>
        <row r="414">
          <cell r="A414" t="str">
            <v>CT</v>
          </cell>
          <cell r="B414" t="str">
            <v>6300-XDB-301</v>
          </cell>
          <cell r="C414" t="str">
            <v>Outdoor Normal Small Power Panel-Cooling water supply</v>
          </cell>
          <cell r="D414">
            <v>0</v>
          </cell>
          <cell r="E414" t="str">
            <v>ISBL</v>
          </cell>
          <cell r="J414" t="str">
            <v>3</v>
          </cell>
          <cell r="K414">
            <v>690</v>
          </cell>
          <cell r="L414" t="str">
            <v>AC</v>
          </cell>
          <cell r="M414" t="str">
            <v>F</v>
          </cell>
          <cell r="N414" t="str">
            <v>N</v>
          </cell>
          <cell r="O414">
            <v>0</v>
          </cell>
          <cell r="P414" t="str">
            <v>4850-XDB-301A</v>
          </cell>
          <cell r="Q414" t="str">
            <v>C</v>
          </cell>
          <cell r="S414">
            <v>4</v>
          </cell>
          <cell r="T414">
            <v>5</v>
          </cell>
          <cell r="X414">
            <v>1</v>
          </cell>
          <cell r="Y414">
            <v>0.85</v>
          </cell>
        </row>
        <row r="415">
          <cell r="A415" t="str">
            <v>PEU-2</v>
          </cell>
          <cell r="B415" t="str">
            <v>4107-XDB-301</v>
          </cell>
          <cell r="C415" t="str">
            <v>Indoor Normal Small Power Panel-Extrusion B/D &amp; Pellet Conveying</v>
          </cell>
          <cell r="D415">
            <v>0</v>
          </cell>
          <cell r="E415" t="str">
            <v>ISBL</v>
          </cell>
          <cell r="J415" t="str">
            <v>3</v>
          </cell>
          <cell r="K415">
            <v>690</v>
          </cell>
          <cell r="L415" t="str">
            <v>AC</v>
          </cell>
          <cell r="M415" t="str">
            <v>F</v>
          </cell>
          <cell r="N415" t="str">
            <v>N</v>
          </cell>
          <cell r="O415">
            <v>0</v>
          </cell>
          <cell r="P415" t="str">
            <v>4850-XDB-301A</v>
          </cell>
          <cell r="Q415" t="str">
            <v>C</v>
          </cell>
          <cell r="S415">
            <v>4</v>
          </cell>
          <cell r="T415">
            <v>5</v>
          </cell>
          <cell r="X415">
            <v>1</v>
          </cell>
          <cell r="Y415">
            <v>0.85</v>
          </cell>
        </row>
        <row r="416">
          <cell r="A416" t="str">
            <v>PEU-2</v>
          </cell>
          <cell r="B416" t="str">
            <v>4108-XDB-301</v>
          </cell>
          <cell r="C416" t="str">
            <v>Outdoor Normal Small Power Panel-Pellet Run Blend Silo</v>
          </cell>
          <cell r="D416">
            <v>0</v>
          </cell>
          <cell r="E416" t="str">
            <v>ISBL</v>
          </cell>
          <cell r="J416" t="str">
            <v>3</v>
          </cell>
          <cell r="K416">
            <v>690</v>
          </cell>
          <cell r="L416" t="str">
            <v>AC</v>
          </cell>
          <cell r="M416" t="str">
            <v>F</v>
          </cell>
          <cell r="N416" t="str">
            <v>N</v>
          </cell>
          <cell r="O416">
            <v>0</v>
          </cell>
          <cell r="P416" t="str">
            <v>4850-XDB-301A</v>
          </cell>
          <cell r="Q416" t="str">
            <v>C</v>
          </cell>
          <cell r="S416">
            <v>2.4000000000000004</v>
          </cell>
          <cell r="T416">
            <v>3</v>
          </cell>
          <cell r="X416">
            <v>1</v>
          </cell>
          <cell r="Y416">
            <v>0.85</v>
          </cell>
        </row>
        <row r="417">
          <cell r="A417" t="str">
            <v>PEU-2</v>
          </cell>
          <cell r="B417" t="str">
            <v>6700-XDB-301</v>
          </cell>
          <cell r="C417" t="str">
            <v>Outdoor Normal Small Power Panel-Flare Area</v>
          </cell>
          <cell r="D417">
            <v>0</v>
          </cell>
          <cell r="E417" t="str">
            <v>ISBL</v>
          </cell>
          <cell r="J417" t="str">
            <v>3</v>
          </cell>
          <cell r="K417">
            <v>690</v>
          </cell>
          <cell r="L417" t="str">
            <v>AC</v>
          </cell>
          <cell r="M417" t="str">
            <v>F</v>
          </cell>
          <cell r="N417" t="str">
            <v>N</v>
          </cell>
          <cell r="O417">
            <v>0</v>
          </cell>
          <cell r="P417" t="str">
            <v>4850-XDB-301A</v>
          </cell>
          <cell r="Q417" t="str">
            <v>C</v>
          </cell>
          <cell r="S417">
            <v>2.4000000000000004</v>
          </cell>
          <cell r="T417">
            <v>3</v>
          </cell>
          <cell r="X417">
            <v>1</v>
          </cell>
          <cell r="Y417">
            <v>0.85</v>
          </cell>
        </row>
        <row r="418">
          <cell r="A418" t="str">
            <v>SS</v>
          </cell>
          <cell r="B418" t="str">
            <v>4850-XDB-300</v>
          </cell>
          <cell r="C418" t="str">
            <v>Substation Normal Small Power Panel</v>
          </cell>
          <cell r="D418">
            <v>0</v>
          </cell>
          <cell r="E418" t="str">
            <v>ISBL</v>
          </cell>
          <cell r="J418" t="str">
            <v>3</v>
          </cell>
          <cell r="K418">
            <v>690</v>
          </cell>
          <cell r="L418" t="str">
            <v>AC</v>
          </cell>
          <cell r="M418" t="str">
            <v>F</v>
          </cell>
          <cell r="N418" t="str">
            <v>N</v>
          </cell>
          <cell r="O418">
            <v>0</v>
          </cell>
          <cell r="P418" t="str">
            <v>4850-XDB-301A</v>
          </cell>
          <cell r="Q418" t="str">
            <v>C</v>
          </cell>
          <cell r="S418">
            <v>4</v>
          </cell>
          <cell r="T418">
            <v>5</v>
          </cell>
          <cell r="X418">
            <v>1</v>
          </cell>
          <cell r="Y418">
            <v>0.85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 t="str">
            <v>ISBL</v>
          </cell>
          <cell r="J419" t="str">
            <v>3</v>
          </cell>
          <cell r="K419">
            <v>0</v>
          </cell>
          <cell r="L419" t="str">
            <v>AC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S419">
            <v>0</v>
          </cell>
          <cell r="T419">
            <v>0</v>
          </cell>
          <cell r="X419">
            <v>0</v>
          </cell>
          <cell r="Y419">
            <v>0</v>
          </cell>
        </row>
        <row r="420">
          <cell r="A420" t="str">
            <v>PEU-2</v>
          </cell>
          <cell r="B420" t="str">
            <v>5101-ELDB-301</v>
          </cell>
          <cell r="C420" t="str">
            <v>Outdoor Emergency Lighting Panel-LC2254 &amp; Butene-1</v>
          </cell>
          <cell r="D420">
            <v>0</v>
          </cell>
          <cell r="E420" t="str">
            <v>ISBL</v>
          </cell>
          <cell r="J420" t="str">
            <v>3</v>
          </cell>
          <cell r="K420">
            <v>690</v>
          </cell>
          <cell r="L420" t="str">
            <v>AC</v>
          </cell>
          <cell r="M420" t="str">
            <v>F</v>
          </cell>
          <cell r="N420" t="str">
            <v>N</v>
          </cell>
          <cell r="O420">
            <v>0</v>
          </cell>
          <cell r="P420" t="str">
            <v>4850-ELDB-301B</v>
          </cell>
          <cell r="Q420" t="str">
            <v>C</v>
          </cell>
          <cell r="S420">
            <v>2.4000000000000004</v>
          </cell>
          <cell r="T420">
            <v>3</v>
          </cell>
          <cell r="X420">
            <v>1</v>
          </cell>
          <cell r="Y420">
            <v>0.85</v>
          </cell>
        </row>
        <row r="421">
          <cell r="A421" t="str">
            <v>PEU-2</v>
          </cell>
          <cell r="B421" t="str">
            <v>5102-ELDB-301</v>
          </cell>
          <cell r="C421" t="str">
            <v>Outdoor Emergency Lighting Panel-Reactor &amp; Pumparound</v>
          </cell>
          <cell r="D421">
            <v>0</v>
          </cell>
          <cell r="E421" t="str">
            <v>ISBL</v>
          </cell>
          <cell r="J421" t="str">
            <v>3</v>
          </cell>
          <cell r="K421">
            <v>690</v>
          </cell>
          <cell r="L421" t="str">
            <v>AC</v>
          </cell>
          <cell r="M421" t="str">
            <v>F</v>
          </cell>
          <cell r="N421" t="str">
            <v>N</v>
          </cell>
          <cell r="O421">
            <v>0</v>
          </cell>
          <cell r="P421" t="str">
            <v>4850-ELDB-301B</v>
          </cell>
          <cell r="Q421" t="str">
            <v>C</v>
          </cell>
          <cell r="S421">
            <v>2.4000000000000004</v>
          </cell>
          <cell r="T421">
            <v>3</v>
          </cell>
          <cell r="X421">
            <v>1</v>
          </cell>
          <cell r="Y421">
            <v>0.85</v>
          </cell>
        </row>
        <row r="422">
          <cell r="A422" t="str">
            <v>CT</v>
          </cell>
          <cell r="B422" t="str">
            <v>4105-ELDB-301</v>
          </cell>
          <cell r="C422" t="str">
            <v>Outdoor Emergency Lighting Panel- Catalyst Area</v>
          </cell>
          <cell r="D422">
            <v>0</v>
          </cell>
          <cell r="E422" t="str">
            <v>ISBL</v>
          </cell>
          <cell r="J422" t="str">
            <v>3</v>
          </cell>
          <cell r="K422">
            <v>690</v>
          </cell>
          <cell r="L422" t="str">
            <v>AC</v>
          </cell>
          <cell r="M422" t="str">
            <v>F</v>
          </cell>
          <cell r="N422" t="str">
            <v>N</v>
          </cell>
          <cell r="O422">
            <v>0</v>
          </cell>
          <cell r="P422" t="str">
            <v>4850-ELDB-301B</v>
          </cell>
          <cell r="Q422" t="str">
            <v>C</v>
          </cell>
          <cell r="S422">
            <v>4</v>
          </cell>
          <cell r="T422">
            <v>5</v>
          </cell>
          <cell r="X422">
            <v>1</v>
          </cell>
          <cell r="Y422">
            <v>0.85</v>
          </cell>
        </row>
        <row r="423">
          <cell r="A423" t="str">
            <v>PEU-2</v>
          </cell>
          <cell r="B423" t="str">
            <v>4106-ELDB-301</v>
          </cell>
          <cell r="C423" t="str">
            <v>Outdoor Emergency Lighting Panel-Glycol &amp; Oily Water System</v>
          </cell>
          <cell r="D423">
            <v>0</v>
          </cell>
          <cell r="E423" t="str">
            <v>ISBL</v>
          </cell>
          <cell r="J423" t="str">
            <v>3</v>
          </cell>
          <cell r="K423">
            <v>690</v>
          </cell>
          <cell r="L423" t="str">
            <v>AC</v>
          </cell>
          <cell r="M423" t="str">
            <v>F</v>
          </cell>
          <cell r="N423" t="str">
            <v>N</v>
          </cell>
          <cell r="O423">
            <v>0</v>
          </cell>
          <cell r="P423" t="str">
            <v>4850-ELDB-301B</v>
          </cell>
          <cell r="Q423" t="str">
            <v>C</v>
          </cell>
          <cell r="S423">
            <v>2.4000000000000004</v>
          </cell>
          <cell r="T423">
            <v>3</v>
          </cell>
          <cell r="X423">
            <v>1</v>
          </cell>
          <cell r="Y423">
            <v>0.85</v>
          </cell>
        </row>
        <row r="424">
          <cell r="A424" t="str">
            <v>PEU-2</v>
          </cell>
          <cell r="B424" t="str">
            <v>4103-ELDB-301</v>
          </cell>
          <cell r="C424" t="str">
            <v>Outdoor Emergency Lighting Panel-Treater Area</v>
          </cell>
          <cell r="D424">
            <v>0</v>
          </cell>
          <cell r="E424" t="str">
            <v>ISBL</v>
          </cell>
          <cell r="J424" t="str">
            <v>3</v>
          </cell>
          <cell r="K424">
            <v>690</v>
          </cell>
          <cell r="L424" t="str">
            <v>AC</v>
          </cell>
          <cell r="M424" t="str">
            <v>F</v>
          </cell>
          <cell r="N424" t="str">
            <v>N</v>
          </cell>
          <cell r="O424">
            <v>0</v>
          </cell>
          <cell r="P424" t="str">
            <v>4850-ELDB-301B</v>
          </cell>
          <cell r="Q424" t="str">
            <v>C</v>
          </cell>
          <cell r="S424">
            <v>4</v>
          </cell>
          <cell r="T424">
            <v>5</v>
          </cell>
          <cell r="X424">
            <v>1</v>
          </cell>
          <cell r="Y424">
            <v>0.85</v>
          </cell>
        </row>
        <row r="425">
          <cell r="A425" t="str">
            <v>PEU-2</v>
          </cell>
          <cell r="B425" t="str">
            <v>4104-ELDB-301</v>
          </cell>
          <cell r="C425" t="str">
            <v>Outdoor Emergency Lighting Panel-Rx Coolant &amp; Recycle Fractionation</v>
          </cell>
          <cell r="D425">
            <v>0</v>
          </cell>
          <cell r="E425" t="str">
            <v>ISBL</v>
          </cell>
          <cell r="J425" t="str">
            <v>3</v>
          </cell>
          <cell r="K425">
            <v>690</v>
          </cell>
          <cell r="L425" t="str">
            <v>AC</v>
          </cell>
          <cell r="M425" t="str">
            <v>F</v>
          </cell>
          <cell r="N425" t="str">
            <v>N</v>
          </cell>
          <cell r="O425">
            <v>0</v>
          </cell>
          <cell r="P425" t="str">
            <v>4850-ELDB-301B</v>
          </cell>
          <cell r="Q425" t="str">
            <v>C</v>
          </cell>
          <cell r="S425">
            <v>4</v>
          </cell>
          <cell r="T425">
            <v>5</v>
          </cell>
          <cell r="X425">
            <v>1</v>
          </cell>
          <cell r="Y425">
            <v>0.85</v>
          </cell>
        </row>
        <row r="426">
          <cell r="A426" t="str">
            <v>PEU-2</v>
          </cell>
          <cell r="B426" t="str">
            <v>4101-ELDB-301</v>
          </cell>
          <cell r="C426" t="str">
            <v>Outdoor Emergency Lighting Panel-HP Nitrogen &amp; INRU Comp.</v>
          </cell>
          <cell r="D426">
            <v>0</v>
          </cell>
          <cell r="E426" t="str">
            <v>ISBL</v>
          </cell>
          <cell r="J426" t="str">
            <v>3</v>
          </cell>
          <cell r="K426">
            <v>690</v>
          </cell>
          <cell r="L426" t="str">
            <v>AC</v>
          </cell>
          <cell r="M426" t="str">
            <v>F</v>
          </cell>
          <cell r="N426" t="str">
            <v>N</v>
          </cell>
          <cell r="O426">
            <v>0</v>
          </cell>
          <cell r="P426" t="str">
            <v>4850-ELDB-301B</v>
          </cell>
          <cell r="Q426" t="str">
            <v>C</v>
          </cell>
          <cell r="S426">
            <v>4</v>
          </cell>
          <cell r="T426">
            <v>5</v>
          </cell>
          <cell r="X426">
            <v>1</v>
          </cell>
          <cell r="Y426">
            <v>0.85</v>
          </cell>
        </row>
        <row r="427">
          <cell r="A427" t="str">
            <v>PEU-2</v>
          </cell>
          <cell r="B427" t="str">
            <v>4102-ELDB-301</v>
          </cell>
          <cell r="C427" t="str">
            <v>Outdoor Emergency Lighting Panel-Loop Reactor &amp; Fluff Transfer</v>
          </cell>
          <cell r="D427">
            <v>0</v>
          </cell>
          <cell r="E427" t="str">
            <v>ISBL</v>
          </cell>
          <cell r="J427" t="str">
            <v>3</v>
          </cell>
          <cell r="K427">
            <v>690</v>
          </cell>
          <cell r="L427" t="str">
            <v>AC</v>
          </cell>
          <cell r="M427" t="str">
            <v>F</v>
          </cell>
          <cell r="N427" t="str">
            <v>N</v>
          </cell>
          <cell r="O427">
            <v>0</v>
          </cell>
          <cell r="P427" t="str">
            <v>4850-ELDB-301B</v>
          </cell>
          <cell r="Q427" t="str">
            <v>C</v>
          </cell>
          <cell r="S427">
            <v>4</v>
          </cell>
          <cell r="T427">
            <v>5</v>
          </cell>
          <cell r="X427">
            <v>1</v>
          </cell>
          <cell r="Y427">
            <v>0.85</v>
          </cell>
        </row>
        <row r="428">
          <cell r="A428" t="str">
            <v>CT</v>
          </cell>
          <cell r="B428" t="str">
            <v>6300-ELDB-301</v>
          </cell>
          <cell r="C428" t="str">
            <v>Outdoor Emergency Lighting Panel-Cooling water supply</v>
          </cell>
          <cell r="D428">
            <v>0</v>
          </cell>
          <cell r="E428" t="str">
            <v>ISBL</v>
          </cell>
          <cell r="J428" t="str">
            <v>3</v>
          </cell>
          <cell r="K428">
            <v>690</v>
          </cell>
          <cell r="L428" t="str">
            <v>AC</v>
          </cell>
          <cell r="M428" t="str">
            <v>F</v>
          </cell>
          <cell r="N428" t="str">
            <v>N</v>
          </cell>
          <cell r="O428">
            <v>0</v>
          </cell>
          <cell r="P428" t="str">
            <v>4850-ELDB-301B</v>
          </cell>
          <cell r="Q428" t="str">
            <v>C</v>
          </cell>
          <cell r="S428">
            <v>4</v>
          </cell>
          <cell r="T428">
            <v>5</v>
          </cell>
          <cell r="X428">
            <v>1</v>
          </cell>
          <cell r="Y428">
            <v>0.85</v>
          </cell>
        </row>
        <row r="429">
          <cell r="A429" t="str">
            <v>PEU-2</v>
          </cell>
          <cell r="B429" t="str">
            <v>5101-ELDB-302</v>
          </cell>
          <cell r="C429" t="str">
            <v>Building Emergency Lighting Panel-LC2254 &amp; Butene-1</v>
          </cell>
          <cell r="D429">
            <v>0</v>
          </cell>
          <cell r="E429" t="str">
            <v>ISBL</v>
          </cell>
          <cell r="J429" t="str">
            <v>3</v>
          </cell>
          <cell r="K429">
            <v>690</v>
          </cell>
          <cell r="L429" t="str">
            <v>AC</v>
          </cell>
          <cell r="M429" t="str">
            <v>F</v>
          </cell>
          <cell r="N429" t="str">
            <v>N</v>
          </cell>
          <cell r="O429">
            <v>0</v>
          </cell>
          <cell r="P429" t="str">
            <v>4850-ELDB-301B</v>
          </cell>
          <cell r="Q429" t="str">
            <v>C</v>
          </cell>
          <cell r="S429">
            <v>2.4000000000000004</v>
          </cell>
          <cell r="T429">
            <v>3</v>
          </cell>
          <cell r="X429">
            <v>1</v>
          </cell>
          <cell r="Y429">
            <v>0.85</v>
          </cell>
        </row>
        <row r="430">
          <cell r="A430" t="str">
            <v>PEU-2</v>
          </cell>
          <cell r="B430" t="str">
            <v>4105-ELDB-302</v>
          </cell>
          <cell r="C430" t="str">
            <v>Building Emergency Lighting Panel - Catalyst Area</v>
          </cell>
          <cell r="D430">
            <v>0</v>
          </cell>
          <cell r="E430" t="str">
            <v>ISBL</v>
          </cell>
          <cell r="J430" t="str">
            <v>3</v>
          </cell>
          <cell r="K430">
            <v>690</v>
          </cell>
          <cell r="L430" t="str">
            <v>AC</v>
          </cell>
          <cell r="M430" t="str">
            <v>F</v>
          </cell>
          <cell r="N430" t="str">
            <v>N</v>
          </cell>
          <cell r="O430">
            <v>0</v>
          </cell>
          <cell r="P430" t="str">
            <v>4850-ELDB-301B</v>
          </cell>
          <cell r="Q430" t="str">
            <v>C</v>
          </cell>
          <cell r="S430">
            <v>2.4000000000000004</v>
          </cell>
          <cell r="T430">
            <v>3</v>
          </cell>
          <cell r="X430">
            <v>1</v>
          </cell>
          <cell r="Y430">
            <v>0.85</v>
          </cell>
        </row>
        <row r="431">
          <cell r="A431" t="str">
            <v>PEU-2</v>
          </cell>
          <cell r="B431" t="str">
            <v>4101-ELDB-302</v>
          </cell>
          <cell r="C431" t="str">
            <v>Building Emergency Lighting Panel-HP Nitrogen &amp; INRU Comp.</v>
          </cell>
          <cell r="D431">
            <v>0</v>
          </cell>
          <cell r="E431" t="str">
            <v>ISBL</v>
          </cell>
          <cell r="J431" t="str">
            <v>3</v>
          </cell>
          <cell r="K431">
            <v>690</v>
          </cell>
          <cell r="L431" t="str">
            <v>AC</v>
          </cell>
          <cell r="M431" t="str">
            <v>F</v>
          </cell>
          <cell r="N431" t="str">
            <v>N</v>
          </cell>
          <cell r="O431">
            <v>0</v>
          </cell>
          <cell r="P431" t="str">
            <v>4850-ELDB-301B</v>
          </cell>
          <cell r="Q431" t="str">
            <v>C</v>
          </cell>
          <cell r="S431">
            <v>4</v>
          </cell>
          <cell r="T431">
            <v>5</v>
          </cell>
          <cell r="X431">
            <v>1</v>
          </cell>
          <cell r="Y431">
            <v>0.85</v>
          </cell>
        </row>
        <row r="432">
          <cell r="A432" t="str">
            <v>PEU-2</v>
          </cell>
          <cell r="B432" t="str">
            <v>4102-ELDB-302</v>
          </cell>
          <cell r="C432" t="str">
            <v>Outdoor Emergency Lighting Panel-Loop Reactor &amp; Fluff Transfer</v>
          </cell>
          <cell r="D432">
            <v>0</v>
          </cell>
          <cell r="E432" t="str">
            <v>ISBL</v>
          </cell>
          <cell r="J432" t="str">
            <v>3</v>
          </cell>
          <cell r="K432">
            <v>690</v>
          </cell>
          <cell r="L432" t="str">
            <v>AC</v>
          </cell>
          <cell r="M432" t="str">
            <v>F</v>
          </cell>
          <cell r="N432" t="str">
            <v>N</v>
          </cell>
          <cell r="O432">
            <v>0</v>
          </cell>
          <cell r="P432" t="str">
            <v>4850-ELDB-301B</v>
          </cell>
          <cell r="Q432" t="str">
            <v>C</v>
          </cell>
          <cell r="S432">
            <v>4</v>
          </cell>
          <cell r="T432">
            <v>5</v>
          </cell>
          <cell r="X432">
            <v>1</v>
          </cell>
          <cell r="Y432">
            <v>0.85</v>
          </cell>
        </row>
        <row r="433">
          <cell r="A433" t="str">
            <v>PEU-2</v>
          </cell>
          <cell r="B433" t="str">
            <v>4107-ELDB-301</v>
          </cell>
          <cell r="C433" t="str">
            <v>Indoor Emergency Lighting Panel-Extrusion B/D &amp; Pellet Conveying</v>
          </cell>
          <cell r="D433">
            <v>0</v>
          </cell>
          <cell r="E433" t="str">
            <v>ISBL</v>
          </cell>
          <cell r="J433" t="str">
            <v>3</v>
          </cell>
          <cell r="K433">
            <v>690</v>
          </cell>
          <cell r="L433" t="str">
            <v>AC</v>
          </cell>
          <cell r="M433" t="str">
            <v>F</v>
          </cell>
          <cell r="N433" t="str">
            <v>N</v>
          </cell>
          <cell r="O433">
            <v>0</v>
          </cell>
          <cell r="P433" t="str">
            <v>4850-ELDB-301B</v>
          </cell>
          <cell r="Q433" t="str">
            <v>C</v>
          </cell>
          <cell r="S433">
            <v>3.2</v>
          </cell>
          <cell r="T433">
            <v>4</v>
          </cell>
          <cell r="X433">
            <v>1</v>
          </cell>
          <cell r="Y433">
            <v>0.85</v>
          </cell>
        </row>
        <row r="434">
          <cell r="A434" t="str">
            <v>PEU-2</v>
          </cell>
          <cell r="B434" t="str">
            <v>4108-ELDB-301</v>
          </cell>
          <cell r="C434" t="str">
            <v>Outdoor Emergency Lighting Panel-Pellet Run Blend Silo</v>
          </cell>
          <cell r="D434">
            <v>0</v>
          </cell>
          <cell r="E434" t="str">
            <v>ISBL</v>
          </cell>
          <cell r="J434" t="str">
            <v>3</v>
          </cell>
          <cell r="K434">
            <v>690</v>
          </cell>
          <cell r="L434" t="str">
            <v>AC</v>
          </cell>
          <cell r="M434" t="str">
            <v>F</v>
          </cell>
          <cell r="N434" t="str">
            <v>N</v>
          </cell>
          <cell r="O434">
            <v>0</v>
          </cell>
          <cell r="P434" t="str">
            <v>4850-ELDB-301B</v>
          </cell>
          <cell r="Q434" t="str">
            <v>C</v>
          </cell>
          <cell r="S434">
            <v>2.4000000000000004</v>
          </cell>
          <cell r="T434">
            <v>3</v>
          </cell>
          <cell r="X434">
            <v>1</v>
          </cell>
          <cell r="Y434">
            <v>0.85</v>
          </cell>
        </row>
        <row r="435">
          <cell r="A435" t="str">
            <v>PEU-2</v>
          </cell>
          <cell r="B435" t="str">
            <v>6700-ELDB-301</v>
          </cell>
          <cell r="C435" t="str">
            <v>Outdoor Emergency Lighting Panel-Flare Area</v>
          </cell>
          <cell r="D435">
            <v>0</v>
          </cell>
          <cell r="E435" t="str">
            <v>ISBL</v>
          </cell>
          <cell r="J435" t="str">
            <v>3</v>
          </cell>
          <cell r="K435">
            <v>690</v>
          </cell>
          <cell r="L435" t="str">
            <v>AC</v>
          </cell>
          <cell r="M435" t="str">
            <v>F</v>
          </cell>
          <cell r="N435" t="str">
            <v>N</v>
          </cell>
          <cell r="O435">
            <v>0</v>
          </cell>
          <cell r="P435" t="str">
            <v>4850-ELDB-301B</v>
          </cell>
          <cell r="Q435" t="str">
            <v>C</v>
          </cell>
          <cell r="S435">
            <v>2.4000000000000004</v>
          </cell>
          <cell r="T435">
            <v>3</v>
          </cell>
          <cell r="X435">
            <v>1</v>
          </cell>
          <cell r="Y435">
            <v>0.85</v>
          </cell>
        </row>
        <row r="436">
          <cell r="A436" t="str">
            <v>SS</v>
          </cell>
          <cell r="B436" t="str">
            <v>4850-ELDB-300</v>
          </cell>
          <cell r="C436" t="str">
            <v>Substation Emergency Lighting Panel</v>
          </cell>
          <cell r="D436">
            <v>0</v>
          </cell>
          <cell r="E436" t="str">
            <v>ISBL</v>
          </cell>
          <cell r="J436" t="str">
            <v>3</v>
          </cell>
          <cell r="K436">
            <v>690</v>
          </cell>
          <cell r="L436" t="str">
            <v>AC</v>
          </cell>
          <cell r="M436" t="str">
            <v>F</v>
          </cell>
          <cell r="N436" t="str">
            <v>N</v>
          </cell>
          <cell r="O436">
            <v>0</v>
          </cell>
          <cell r="P436" t="str">
            <v>4850-ELDB-301B</v>
          </cell>
          <cell r="Q436" t="str">
            <v>C</v>
          </cell>
          <cell r="S436">
            <v>4</v>
          </cell>
          <cell r="T436">
            <v>5</v>
          </cell>
          <cell r="X436">
            <v>1</v>
          </cell>
          <cell r="Y436">
            <v>0.85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 t="str">
            <v>ISBL</v>
          </cell>
          <cell r="J437" t="str">
            <v>3</v>
          </cell>
          <cell r="K437">
            <v>0</v>
          </cell>
          <cell r="L437" t="str">
            <v>AC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S437">
            <v>0</v>
          </cell>
          <cell r="T437">
            <v>0</v>
          </cell>
          <cell r="X437">
            <v>0</v>
          </cell>
          <cell r="Y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 t="str">
            <v>ISBL</v>
          </cell>
          <cell r="J438" t="str">
            <v>3</v>
          </cell>
          <cell r="K438">
            <v>0</v>
          </cell>
          <cell r="L438" t="str">
            <v>AC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S438">
            <v>0</v>
          </cell>
          <cell r="T438">
            <v>0</v>
          </cell>
          <cell r="X438">
            <v>0</v>
          </cell>
          <cell r="Y438">
            <v>0</v>
          </cell>
        </row>
        <row r="439">
          <cell r="A439">
            <v>0</v>
          </cell>
          <cell r="B439" t="str">
            <v>1-WXS-801</v>
          </cell>
          <cell r="C439" t="str">
            <v>Welding Receptacle-Process Area</v>
          </cell>
          <cell r="D439">
            <v>0</v>
          </cell>
          <cell r="E439" t="str">
            <v>ISBL</v>
          </cell>
          <cell r="J439" t="str">
            <v>3</v>
          </cell>
          <cell r="K439">
            <v>690</v>
          </cell>
          <cell r="L439" t="str">
            <v>AC</v>
          </cell>
          <cell r="M439" t="str">
            <v>F</v>
          </cell>
          <cell r="N439" t="str">
            <v>N</v>
          </cell>
          <cell r="O439">
            <v>0</v>
          </cell>
          <cell r="P439" t="str">
            <v>4850-WDB-301A</v>
          </cell>
          <cell r="Q439" t="str">
            <v>I</v>
          </cell>
          <cell r="S439">
            <v>48</v>
          </cell>
          <cell r="T439">
            <v>60</v>
          </cell>
          <cell r="X439">
            <v>1</v>
          </cell>
          <cell r="Y439">
            <v>0.85</v>
          </cell>
        </row>
        <row r="440">
          <cell r="A440">
            <v>0</v>
          </cell>
          <cell r="B440" t="str">
            <v>1-WXS-802</v>
          </cell>
          <cell r="C440" t="str">
            <v>Welding Receptacle-Process Area</v>
          </cell>
          <cell r="D440">
            <v>0</v>
          </cell>
          <cell r="E440" t="str">
            <v>ISBL</v>
          </cell>
          <cell r="J440" t="str">
            <v>3</v>
          </cell>
          <cell r="K440">
            <v>690</v>
          </cell>
          <cell r="L440" t="str">
            <v>AC</v>
          </cell>
          <cell r="M440" t="str">
            <v>F</v>
          </cell>
          <cell r="N440" t="str">
            <v>N</v>
          </cell>
          <cell r="O440">
            <v>0</v>
          </cell>
          <cell r="P440" t="str">
            <v>4850-WDB-301A</v>
          </cell>
          <cell r="Q440" t="str">
            <v>I</v>
          </cell>
          <cell r="S440">
            <v>48</v>
          </cell>
          <cell r="T440">
            <v>60</v>
          </cell>
          <cell r="X440">
            <v>1</v>
          </cell>
          <cell r="Y440">
            <v>0.85</v>
          </cell>
        </row>
        <row r="441">
          <cell r="A441">
            <v>0</v>
          </cell>
          <cell r="B441" t="str">
            <v>1-WXS-803</v>
          </cell>
          <cell r="C441" t="str">
            <v>Welding Receptacle-Process Area</v>
          </cell>
          <cell r="D441">
            <v>0</v>
          </cell>
          <cell r="E441" t="str">
            <v>ISBL</v>
          </cell>
          <cell r="J441" t="str">
            <v>3</v>
          </cell>
          <cell r="K441">
            <v>690</v>
          </cell>
          <cell r="L441" t="str">
            <v>AC</v>
          </cell>
          <cell r="M441" t="str">
            <v>F</v>
          </cell>
          <cell r="N441" t="str">
            <v>N</v>
          </cell>
          <cell r="O441">
            <v>0</v>
          </cell>
          <cell r="P441" t="str">
            <v>4850-WDB-301A</v>
          </cell>
          <cell r="Q441" t="str">
            <v>I</v>
          </cell>
          <cell r="S441">
            <v>48</v>
          </cell>
          <cell r="T441">
            <v>60</v>
          </cell>
          <cell r="X441">
            <v>1</v>
          </cell>
          <cell r="Y441">
            <v>0.85</v>
          </cell>
        </row>
        <row r="442">
          <cell r="A442">
            <v>0</v>
          </cell>
          <cell r="B442" t="str">
            <v>1-WXS-804</v>
          </cell>
          <cell r="C442" t="str">
            <v>Welding Receptacle-Process Area</v>
          </cell>
          <cell r="D442">
            <v>0</v>
          </cell>
          <cell r="E442" t="str">
            <v>ISBL</v>
          </cell>
          <cell r="J442" t="str">
            <v>3</v>
          </cell>
          <cell r="K442">
            <v>690</v>
          </cell>
          <cell r="L442" t="str">
            <v>AC</v>
          </cell>
          <cell r="M442" t="str">
            <v>F</v>
          </cell>
          <cell r="N442" t="str">
            <v>N</v>
          </cell>
          <cell r="O442">
            <v>0</v>
          </cell>
          <cell r="P442" t="str">
            <v>4850-WDB-301A</v>
          </cell>
          <cell r="Q442" t="str">
            <v>I</v>
          </cell>
          <cell r="S442">
            <v>48</v>
          </cell>
          <cell r="T442">
            <v>60</v>
          </cell>
          <cell r="X442">
            <v>1</v>
          </cell>
          <cell r="Y442">
            <v>0.85</v>
          </cell>
        </row>
        <row r="443">
          <cell r="A443">
            <v>0</v>
          </cell>
          <cell r="B443" t="str">
            <v>1-WXS-805</v>
          </cell>
          <cell r="C443" t="str">
            <v>Welding Receptacle-Process Area</v>
          </cell>
          <cell r="D443">
            <v>0</v>
          </cell>
          <cell r="E443" t="str">
            <v>ISBL</v>
          </cell>
          <cell r="J443" t="str">
            <v>3</v>
          </cell>
          <cell r="K443">
            <v>690</v>
          </cell>
          <cell r="L443" t="str">
            <v>AC</v>
          </cell>
          <cell r="M443" t="str">
            <v>F</v>
          </cell>
          <cell r="N443" t="str">
            <v>N</v>
          </cell>
          <cell r="O443">
            <v>0</v>
          </cell>
          <cell r="P443" t="str">
            <v>4850-WDB-301A</v>
          </cell>
          <cell r="Q443" t="str">
            <v>I</v>
          </cell>
          <cell r="S443">
            <v>48</v>
          </cell>
          <cell r="T443">
            <v>60</v>
          </cell>
          <cell r="X443">
            <v>1</v>
          </cell>
          <cell r="Y443">
            <v>0.85</v>
          </cell>
        </row>
        <row r="444">
          <cell r="A444">
            <v>0</v>
          </cell>
          <cell r="B444" t="str">
            <v>1-WXS-806</v>
          </cell>
          <cell r="C444" t="str">
            <v>Welding Receptacle-Process Area</v>
          </cell>
          <cell r="D444">
            <v>0</v>
          </cell>
          <cell r="E444" t="str">
            <v>ISBL</v>
          </cell>
          <cell r="J444" t="str">
            <v>3</v>
          </cell>
          <cell r="K444">
            <v>690</v>
          </cell>
          <cell r="L444" t="str">
            <v>AC</v>
          </cell>
          <cell r="M444" t="str">
            <v>F</v>
          </cell>
          <cell r="N444" t="str">
            <v>N</v>
          </cell>
          <cell r="O444">
            <v>0</v>
          </cell>
          <cell r="P444" t="str">
            <v>4850-WDB-301A</v>
          </cell>
          <cell r="Q444" t="str">
            <v>I</v>
          </cell>
          <cell r="S444">
            <v>48</v>
          </cell>
          <cell r="T444">
            <v>60</v>
          </cell>
          <cell r="X444">
            <v>1</v>
          </cell>
          <cell r="Y444">
            <v>0.85</v>
          </cell>
        </row>
        <row r="445">
          <cell r="A445">
            <v>0</v>
          </cell>
          <cell r="B445" t="str">
            <v>1-WXS-807</v>
          </cell>
          <cell r="C445" t="str">
            <v>Welding Receptacle-Process Area</v>
          </cell>
          <cell r="D445">
            <v>0</v>
          </cell>
          <cell r="E445" t="str">
            <v>ISBL</v>
          </cell>
          <cell r="J445" t="str">
            <v>3</v>
          </cell>
          <cell r="K445">
            <v>690</v>
          </cell>
          <cell r="L445" t="str">
            <v>AC</v>
          </cell>
          <cell r="M445" t="str">
            <v>F</v>
          </cell>
          <cell r="N445" t="str">
            <v>N</v>
          </cell>
          <cell r="O445">
            <v>0</v>
          </cell>
          <cell r="P445" t="str">
            <v>4850-WDB-301A</v>
          </cell>
          <cell r="Q445" t="str">
            <v>I</v>
          </cell>
          <cell r="S445">
            <v>48</v>
          </cell>
          <cell r="T445">
            <v>60</v>
          </cell>
          <cell r="X445">
            <v>1</v>
          </cell>
          <cell r="Y445">
            <v>0.85</v>
          </cell>
        </row>
        <row r="446">
          <cell r="A446">
            <v>0</v>
          </cell>
          <cell r="B446" t="str">
            <v>1-WXS-808</v>
          </cell>
          <cell r="C446" t="str">
            <v>Welding Receptacle-Process Area</v>
          </cell>
          <cell r="D446">
            <v>0</v>
          </cell>
          <cell r="E446" t="str">
            <v>ISBL</v>
          </cell>
          <cell r="J446" t="str">
            <v>3</v>
          </cell>
          <cell r="K446">
            <v>690</v>
          </cell>
          <cell r="L446" t="str">
            <v>AC</v>
          </cell>
          <cell r="M446" t="str">
            <v>F</v>
          </cell>
          <cell r="N446" t="str">
            <v>N</v>
          </cell>
          <cell r="O446">
            <v>0</v>
          </cell>
          <cell r="P446" t="str">
            <v>4850-WDB-301A</v>
          </cell>
          <cell r="Q446" t="str">
            <v>I</v>
          </cell>
          <cell r="S446">
            <v>48</v>
          </cell>
          <cell r="T446">
            <v>60</v>
          </cell>
          <cell r="X446">
            <v>1</v>
          </cell>
          <cell r="Y446">
            <v>0.85</v>
          </cell>
        </row>
        <row r="447">
          <cell r="A447">
            <v>0</v>
          </cell>
          <cell r="B447" t="str">
            <v>1-WXS-809</v>
          </cell>
          <cell r="C447" t="str">
            <v>Welding Receptacle-Process Area</v>
          </cell>
          <cell r="D447">
            <v>0</v>
          </cell>
          <cell r="E447" t="str">
            <v>ISBL</v>
          </cell>
          <cell r="J447" t="str">
            <v>3</v>
          </cell>
          <cell r="K447">
            <v>690</v>
          </cell>
          <cell r="L447" t="str">
            <v>AC</v>
          </cell>
          <cell r="M447" t="str">
            <v>F</v>
          </cell>
          <cell r="N447" t="str">
            <v>N</v>
          </cell>
          <cell r="O447">
            <v>0</v>
          </cell>
          <cell r="P447" t="str">
            <v>4850-WDB-301A</v>
          </cell>
          <cell r="Q447" t="str">
            <v>I</v>
          </cell>
          <cell r="S447">
            <v>48</v>
          </cell>
          <cell r="T447">
            <v>60</v>
          </cell>
          <cell r="X447">
            <v>1</v>
          </cell>
          <cell r="Y447">
            <v>0.85</v>
          </cell>
        </row>
        <row r="448">
          <cell r="A448">
            <v>0</v>
          </cell>
          <cell r="B448" t="str">
            <v>1-WXS-810</v>
          </cell>
          <cell r="C448" t="str">
            <v>Welding Receptacle-Process Area</v>
          </cell>
          <cell r="D448">
            <v>0</v>
          </cell>
          <cell r="E448" t="str">
            <v>ISBL</v>
          </cell>
          <cell r="J448" t="str">
            <v>3</v>
          </cell>
          <cell r="K448">
            <v>690</v>
          </cell>
          <cell r="L448" t="str">
            <v>AC</v>
          </cell>
          <cell r="M448" t="str">
            <v>F</v>
          </cell>
          <cell r="N448" t="str">
            <v>N</v>
          </cell>
          <cell r="O448">
            <v>0</v>
          </cell>
          <cell r="P448" t="str">
            <v>4850-WDB-301A</v>
          </cell>
          <cell r="Q448" t="str">
            <v>I</v>
          </cell>
          <cell r="S448">
            <v>48</v>
          </cell>
          <cell r="T448">
            <v>60</v>
          </cell>
          <cell r="X448">
            <v>1</v>
          </cell>
          <cell r="Y448">
            <v>0.85</v>
          </cell>
        </row>
        <row r="449">
          <cell r="A449">
            <v>0</v>
          </cell>
          <cell r="B449" t="str">
            <v>1-WXS-811</v>
          </cell>
          <cell r="C449" t="str">
            <v>Welding Receptacle-Process Area</v>
          </cell>
          <cell r="D449">
            <v>0</v>
          </cell>
          <cell r="E449" t="str">
            <v>ISBL</v>
          </cell>
          <cell r="J449" t="str">
            <v>3</v>
          </cell>
          <cell r="K449">
            <v>690</v>
          </cell>
          <cell r="L449" t="str">
            <v>AC</v>
          </cell>
          <cell r="M449" t="str">
            <v>F</v>
          </cell>
          <cell r="N449" t="str">
            <v>N</v>
          </cell>
          <cell r="O449">
            <v>0</v>
          </cell>
          <cell r="P449" t="str">
            <v>4850-WDB-301A</v>
          </cell>
          <cell r="Q449" t="str">
            <v>I</v>
          </cell>
          <cell r="S449">
            <v>48</v>
          </cell>
          <cell r="T449">
            <v>60</v>
          </cell>
          <cell r="X449">
            <v>1</v>
          </cell>
          <cell r="Y449">
            <v>0.85</v>
          </cell>
        </row>
        <row r="450">
          <cell r="A450">
            <v>0</v>
          </cell>
          <cell r="B450" t="str">
            <v>1-WXS-812</v>
          </cell>
          <cell r="C450" t="str">
            <v>Welding Receptacle-Substation TR Yard</v>
          </cell>
          <cell r="D450">
            <v>0</v>
          </cell>
          <cell r="E450" t="str">
            <v>ISBL</v>
          </cell>
          <cell r="J450" t="str">
            <v>3</v>
          </cell>
          <cell r="K450">
            <v>690</v>
          </cell>
          <cell r="L450" t="str">
            <v>AC</v>
          </cell>
          <cell r="M450" t="str">
            <v>F</v>
          </cell>
          <cell r="N450" t="str">
            <v>N</v>
          </cell>
          <cell r="O450">
            <v>0</v>
          </cell>
          <cell r="P450" t="str">
            <v>4850-WDB-301A</v>
          </cell>
          <cell r="Q450" t="str">
            <v>I</v>
          </cell>
          <cell r="S450">
            <v>48</v>
          </cell>
          <cell r="T450">
            <v>60</v>
          </cell>
          <cell r="X450">
            <v>1</v>
          </cell>
          <cell r="Y450">
            <v>0.85</v>
          </cell>
        </row>
        <row r="451">
          <cell r="A451">
            <v>0</v>
          </cell>
          <cell r="B451" t="str">
            <v>1-WXS-813</v>
          </cell>
          <cell r="C451" t="str">
            <v>Welding Receptacle-Substation TR Yard</v>
          </cell>
          <cell r="D451">
            <v>0</v>
          </cell>
          <cell r="E451" t="str">
            <v>ISBL</v>
          </cell>
          <cell r="J451" t="str">
            <v>3</v>
          </cell>
          <cell r="K451">
            <v>690</v>
          </cell>
          <cell r="L451" t="str">
            <v>AC</v>
          </cell>
          <cell r="M451" t="str">
            <v>F</v>
          </cell>
          <cell r="N451" t="str">
            <v>N</v>
          </cell>
          <cell r="O451">
            <v>0</v>
          </cell>
          <cell r="P451" t="str">
            <v>4850-WDB-301A</v>
          </cell>
          <cell r="Q451" t="str">
            <v>I</v>
          </cell>
          <cell r="S451">
            <v>48</v>
          </cell>
          <cell r="T451">
            <v>60</v>
          </cell>
          <cell r="X451">
            <v>1</v>
          </cell>
          <cell r="Y451">
            <v>0.85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0</v>
          </cell>
          <cell r="E452" t="str">
            <v>ISBL</v>
          </cell>
          <cell r="J452" t="str">
            <v>3</v>
          </cell>
          <cell r="K452">
            <v>0</v>
          </cell>
          <cell r="L452" t="str">
            <v>AC</v>
          </cell>
          <cell r="M452" t="str">
            <v>F</v>
          </cell>
          <cell r="N452" t="str">
            <v>N</v>
          </cell>
          <cell r="O452">
            <v>0</v>
          </cell>
          <cell r="P452">
            <v>0</v>
          </cell>
          <cell r="Q452" t="str">
            <v>I</v>
          </cell>
          <cell r="S452">
            <v>48</v>
          </cell>
          <cell r="T452">
            <v>60</v>
          </cell>
          <cell r="X452">
            <v>1</v>
          </cell>
          <cell r="Y452">
            <v>0.85</v>
          </cell>
        </row>
        <row r="453">
          <cell r="A453" t="str">
            <v>LAO</v>
          </cell>
          <cell r="B453" t="str">
            <v>1-WXS-B01</v>
          </cell>
          <cell r="C453" t="str">
            <v>Welding Receptacle-ButeneArea</v>
          </cell>
          <cell r="D453">
            <v>0</v>
          </cell>
          <cell r="E453" t="str">
            <v>ISBL</v>
          </cell>
          <cell r="J453" t="str">
            <v>3</v>
          </cell>
          <cell r="K453">
            <v>690</v>
          </cell>
          <cell r="L453" t="str">
            <v>AC</v>
          </cell>
          <cell r="M453" t="str">
            <v>F</v>
          </cell>
          <cell r="N453" t="str">
            <v>N</v>
          </cell>
          <cell r="O453">
            <v>0</v>
          </cell>
          <cell r="P453" t="str">
            <v>4850-WDB-301A</v>
          </cell>
          <cell r="Q453" t="str">
            <v>I</v>
          </cell>
          <cell r="S453">
            <v>48</v>
          </cell>
          <cell r="T453">
            <v>60</v>
          </cell>
          <cell r="X453">
            <v>1</v>
          </cell>
          <cell r="Y453">
            <v>0.85</v>
          </cell>
        </row>
        <row r="454">
          <cell r="A454" t="str">
            <v>LAO</v>
          </cell>
          <cell r="B454" t="str">
            <v>1-WXS-B02</v>
          </cell>
          <cell r="C454" t="str">
            <v>Welding Receptacle-ButeneArea</v>
          </cell>
          <cell r="D454">
            <v>0</v>
          </cell>
          <cell r="E454" t="str">
            <v>ISBL</v>
          </cell>
          <cell r="J454" t="str">
            <v>3</v>
          </cell>
          <cell r="K454">
            <v>690</v>
          </cell>
          <cell r="L454" t="str">
            <v>AC</v>
          </cell>
          <cell r="M454" t="str">
            <v>F</v>
          </cell>
          <cell r="N454" t="str">
            <v>N</v>
          </cell>
          <cell r="O454">
            <v>0</v>
          </cell>
          <cell r="P454" t="str">
            <v>4850-WDB-301A</v>
          </cell>
          <cell r="Q454" t="str">
            <v>I</v>
          </cell>
          <cell r="S454">
            <v>48</v>
          </cell>
          <cell r="T454">
            <v>60</v>
          </cell>
          <cell r="X454">
            <v>1</v>
          </cell>
          <cell r="Y454">
            <v>0.85</v>
          </cell>
        </row>
        <row r="455">
          <cell r="A455" t="str">
            <v>LAO</v>
          </cell>
          <cell r="B455" t="str">
            <v>1-WXS-B03</v>
          </cell>
          <cell r="C455" t="str">
            <v>Welding Receptacle-ButeneArea</v>
          </cell>
          <cell r="D455">
            <v>0</v>
          </cell>
          <cell r="E455" t="str">
            <v>ISBL</v>
          </cell>
          <cell r="J455" t="str">
            <v>3</v>
          </cell>
          <cell r="K455">
            <v>690</v>
          </cell>
          <cell r="L455" t="str">
            <v>AC</v>
          </cell>
          <cell r="M455" t="str">
            <v>F</v>
          </cell>
          <cell r="N455" t="str">
            <v>N</v>
          </cell>
          <cell r="O455">
            <v>0</v>
          </cell>
          <cell r="P455" t="str">
            <v>4850-WDB-301A</v>
          </cell>
          <cell r="Q455" t="str">
            <v>I</v>
          </cell>
          <cell r="S455">
            <v>48</v>
          </cell>
          <cell r="T455">
            <v>60</v>
          </cell>
          <cell r="X455">
            <v>1</v>
          </cell>
          <cell r="Y455">
            <v>0.85</v>
          </cell>
        </row>
        <row r="456">
          <cell r="A456" t="str">
            <v>LAO</v>
          </cell>
          <cell r="B456" t="str">
            <v>1-WXS-B04</v>
          </cell>
          <cell r="C456" t="str">
            <v>Welding Receptacle-ButeneArea</v>
          </cell>
          <cell r="D456">
            <v>0</v>
          </cell>
          <cell r="E456" t="str">
            <v>ISBL</v>
          </cell>
          <cell r="J456" t="str">
            <v>3</v>
          </cell>
          <cell r="K456">
            <v>690</v>
          </cell>
          <cell r="L456" t="str">
            <v>AC</v>
          </cell>
          <cell r="M456" t="str">
            <v>F</v>
          </cell>
          <cell r="N456" t="str">
            <v>N</v>
          </cell>
          <cell r="O456">
            <v>0</v>
          </cell>
          <cell r="P456" t="str">
            <v>4850-WDB-301A</v>
          </cell>
          <cell r="Q456" t="str">
            <v>I</v>
          </cell>
          <cell r="S456">
            <v>48</v>
          </cell>
          <cell r="T456">
            <v>60</v>
          </cell>
          <cell r="X456">
            <v>1</v>
          </cell>
          <cell r="Y456">
            <v>0.85</v>
          </cell>
        </row>
        <row r="457">
          <cell r="A457" t="str">
            <v>LAO</v>
          </cell>
          <cell r="B457" t="str">
            <v>1-WXS-B05</v>
          </cell>
          <cell r="C457" t="str">
            <v>Welding Receptacle-ButeneArea</v>
          </cell>
          <cell r="D457">
            <v>0</v>
          </cell>
          <cell r="E457" t="str">
            <v>ISBL</v>
          </cell>
          <cell r="J457" t="str">
            <v>3</v>
          </cell>
          <cell r="K457">
            <v>690</v>
          </cell>
          <cell r="L457" t="str">
            <v>AC</v>
          </cell>
          <cell r="M457" t="str">
            <v>F</v>
          </cell>
          <cell r="N457" t="str">
            <v>N</v>
          </cell>
          <cell r="O457">
            <v>0</v>
          </cell>
          <cell r="P457" t="str">
            <v>4850-WDB-301A</v>
          </cell>
          <cell r="Q457" t="str">
            <v>I</v>
          </cell>
          <cell r="S457">
            <v>48</v>
          </cell>
          <cell r="T457">
            <v>60</v>
          </cell>
          <cell r="X457">
            <v>1</v>
          </cell>
          <cell r="Y457">
            <v>0.85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 t="str">
            <v>ISBL</v>
          </cell>
          <cell r="J458" t="str">
            <v>3</v>
          </cell>
          <cell r="K458">
            <v>0</v>
          </cell>
          <cell r="L458" t="str">
            <v>AC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S458">
            <v>0</v>
          </cell>
          <cell r="T458">
            <v>0</v>
          </cell>
          <cell r="X458">
            <v>0</v>
          </cell>
          <cell r="Y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 t="str">
            <v>ISBL</v>
          </cell>
          <cell r="J459" t="str">
            <v>3</v>
          </cell>
          <cell r="K459">
            <v>0</v>
          </cell>
          <cell r="L459" t="str">
            <v>AC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S459">
            <v>0</v>
          </cell>
          <cell r="T459">
            <v>0</v>
          </cell>
          <cell r="X459">
            <v>0</v>
          </cell>
          <cell r="Y459">
            <v>0</v>
          </cell>
        </row>
        <row r="460">
          <cell r="A460" t="str">
            <v>PEU-2</v>
          </cell>
          <cell r="B460" t="str">
            <v>4850-NEH-301</v>
          </cell>
          <cell r="C460" t="str">
            <v>Electrical Heat Tracing Panel 1</v>
          </cell>
          <cell r="D460">
            <v>0</v>
          </cell>
          <cell r="E460" t="str">
            <v>ISBL</v>
          </cell>
          <cell r="J460" t="str">
            <v>3</v>
          </cell>
          <cell r="K460">
            <v>690</v>
          </cell>
          <cell r="L460" t="str">
            <v>AC</v>
          </cell>
          <cell r="M460" t="str">
            <v>F</v>
          </cell>
          <cell r="N460" t="str">
            <v>N</v>
          </cell>
          <cell r="O460">
            <v>0</v>
          </cell>
          <cell r="P460" t="str">
            <v>4850-NDB-302A</v>
          </cell>
          <cell r="Q460" t="str">
            <v>C</v>
          </cell>
          <cell r="S460">
            <v>80</v>
          </cell>
          <cell r="T460">
            <v>100</v>
          </cell>
          <cell r="X460">
            <v>1</v>
          </cell>
          <cell r="Y460">
            <v>0.85</v>
          </cell>
        </row>
        <row r="461">
          <cell r="A461" t="str">
            <v>PEU-2</v>
          </cell>
          <cell r="B461" t="str">
            <v>4850-NEH-302</v>
          </cell>
          <cell r="C461" t="str">
            <v>Electrical Heat Tracing Panel 2</v>
          </cell>
          <cell r="D461">
            <v>0</v>
          </cell>
          <cell r="E461" t="str">
            <v>ISBL</v>
          </cell>
          <cell r="J461" t="str">
            <v>3</v>
          </cell>
          <cell r="K461">
            <v>690</v>
          </cell>
          <cell r="L461" t="str">
            <v>AC</v>
          </cell>
          <cell r="M461" t="str">
            <v>F</v>
          </cell>
          <cell r="N461" t="str">
            <v>N</v>
          </cell>
          <cell r="O461">
            <v>0</v>
          </cell>
          <cell r="P461" t="str">
            <v>4850-NDB-302A</v>
          </cell>
          <cell r="Q461" t="str">
            <v>C</v>
          </cell>
          <cell r="S461">
            <v>80</v>
          </cell>
          <cell r="T461">
            <v>100</v>
          </cell>
          <cell r="X461">
            <v>1</v>
          </cell>
          <cell r="Y461">
            <v>0.85</v>
          </cell>
        </row>
        <row r="462">
          <cell r="A462" t="str">
            <v>PEU-2</v>
          </cell>
          <cell r="B462" t="str">
            <v>4850-NEH-303</v>
          </cell>
          <cell r="C462" t="str">
            <v>Electrical Heat Tracing Panel 3</v>
          </cell>
          <cell r="D462">
            <v>0</v>
          </cell>
          <cell r="E462" t="str">
            <v>ISBL</v>
          </cell>
          <cell r="J462" t="str">
            <v>3</v>
          </cell>
          <cell r="K462">
            <v>690</v>
          </cell>
          <cell r="L462" t="str">
            <v>AC</v>
          </cell>
          <cell r="M462" t="str">
            <v>F</v>
          </cell>
          <cell r="N462" t="str">
            <v>N</v>
          </cell>
          <cell r="O462">
            <v>0</v>
          </cell>
          <cell r="P462" t="str">
            <v>4850-NDB-302A</v>
          </cell>
          <cell r="Q462" t="str">
            <v>C</v>
          </cell>
          <cell r="S462">
            <v>80</v>
          </cell>
          <cell r="T462">
            <v>100</v>
          </cell>
          <cell r="X462">
            <v>1</v>
          </cell>
          <cell r="Y462">
            <v>0.85</v>
          </cell>
        </row>
        <row r="463">
          <cell r="A463" t="str">
            <v>PEU-2</v>
          </cell>
          <cell r="B463" t="str">
            <v>4850-NEH-304</v>
          </cell>
          <cell r="C463" t="str">
            <v>Electrical Heat Tracing Panel 4</v>
          </cell>
          <cell r="D463">
            <v>0</v>
          </cell>
          <cell r="E463" t="str">
            <v>ISBL</v>
          </cell>
          <cell r="J463" t="str">
            <v>3</v>
          </cell>
          <cell r="K463">
            <v>690</v>
          </cell>
          <cell r="L463" t="str">
            <v>AC</v>
          </cell>
          <cell r="M463" t="str">
            <v>F</v>
          </cell>
          <cell r="N463" t="str">
            <v>N</v>
          </cell>
          <cell r="O463">
            <v>0</v>
          </cell>
          <cell r="P463" t="str">
            <v>4850-NDB-302A</v>
          </cell>
          <cell r="Q463" t="str">
            <v>C</v>
          </cell>
          <cell r="S463">
            <v>80</v>
          </cell>
          <cell r="T463">
            <v>100</v>
          </cell>
          <cell r="X463">
            <v>1</v>
          </cell>
          <cell r="Y463">
            <v>0.85</v>
          </cell>
        </row>
        <row r="464">
          <cell r="A464" t="str">
            <v>PEU-2</v>
          </cell>
          <cell r="B464" t="str">
            <v>4850-NEH-305</v>
          </cell>
          <cell r="C464" t="str">
            <v>Electrical Heat Tracing Panel 5</v>
          </cell>
          <cell r="D464">
            <v>0</v>
          </cell>
          <cell r="E464" t="str">
            <v>ISBL</v>
          </cell>
          <cell r="J464" t="str">
            <v>3</v>
          </cell>
          <cell r="K464">
            <v>690</v>
          </cell>
          <cell r="L464" t="str">
            <v>AC</v>
          </cell>
          <cell r="M464" t="str">
            <v>F</v>
          </cell>
          <cell r="N464" t="str">
            <v>N</v>
          </cell>
          <cell r="O464">
            <v>0</v>
          </cell>
          <cell r="P464" t="str">
            <v>4850-NDB-302A</v>
          </cell>
          <cell r="Q464" t="str">
            <v>C</v>
          </cell>
          <cell r="S464">
            <v>80</v>
          </cell>
          <cell r="T464">
            <v>100</v>
          </cell>
          <cell r="X464">
            <v>1</v>
          </cell>
          <cell r="Y464">
            <v>0.85</v>
          </cell>
        </row>
        <row r="465">
          <cell r="A465" t="str">
            <v>PEU-2</v>
          </cell>
          <cell r="B465" t="str">
            <v>4850-NEH-306</v>
          </cell>
          <cell r="C465" t="str">
            <v>Electrical Heat Tracing Panel 6</v>
          </cell>
          <cell r="D465">
            <v>0</v>
          </cell>
          <cell r="E465" t="str">
            <v>ISBL</v>
          </cell>
          <cell r="J465" t="str">
            <v>3</v>
          </cell>
          <cell r="K465">
            <v>690</v>
          </cell>
          <cell r="L465" t="str">
            <v>AC</v>
          </cell>
          <cell r="M465" t="str">
            <v>F</v>
          </cell>
          <cell r="N465" t="str">
            <v>N</v>
          </cell>
          <cell r="O465">
            <v>0</v>
          </cell>
          <cell r="P465" t="str">
            <v>4850-NDB-302A</v>
          </cell>
          <cell r="Q465" t="str">
            <v>C</v>
          </cell>
          <cell r="S465">
            <v>80</v>
          </cell>
          <cell r="T465">
            <v>100</v>
          </cell>
          <cell r="X465">
            <v>1</v>
          </cell>
          <cell r="Y465">
            <v>0.85</v>
          </cell>
        </row>
        <row r="466">
          <cell r="A466" t="str">
            <v>PEU-2</v>
          </cell>
          <cell r="B466" t="str">
            <v>4850-NEH-307</v>
          </cell>
          <cell r="C466" t="str">
            <v>Electrical Heat Tracing Panel 7</v>
          </cell>
          <cell r="D466">
            <v>0</v>
          </cell>
          <cell r="E466" t="str">
            <v>ISBL</v>
          </cell>
          <cell r="J466" t="str">
            <v>3</v>
          </cell>
          <cell r="K466">
            <v>690</v>
          </cell>
          <cell r="L466" t="str">
            <v>AC</v>
          </cell>
          <cell r="M466" t="str">
            <v>F</v>
          </cell>
          <cell r="N466" t="str">
            <v>N</v>
          </cell>
          <cell r="O466">
            <v>0</v>
          </cell>
          <cell r="P466" t="str">
            <v>4850-NDB-302A</v>
          </cell>
          <cell r="Q466" t="str">
            <v>C</v>
          </cell>
          <cell r="S466">
            <v>80</v>
          </cell>
          <cell r="T466">
            <v>100</v>
          </cell>
          <cell r="X466">
            <v>1</v>
          </cell>
          <cell r="Y466">
            <v>0.85</v>
          </cell>
        </row>
        <row r="467">
          <cell r="A467" t="str">
            <v>PEU-2</v>
          </cell>
          <cell r="B467" t="str">
            <v>4850-NEH-308</v>
          </cell>
          <cell r="C467" t="str">
            <v>Electrical Heat Tracing Panel 8</v>
          </cell>
          <cell r="D467">
            <v>0</v>
          </cell>
          <cell r="E467" t="str">
            <v>ISBL</v>
          </cell>
          <cell r="J467" t="str">
            <v>3</v>
          </cell>
          <cell r="K467">
            <v>690</v>
          </cell>
          <cell r="L467" t="str">
            <v>AC</v>
          </cell>
          <cell r="M467" t="str">
            <v>F</v>
          </cell>
          <cell r="N467" t="str">
            <v>N</v>
          </cell>
          <cell r="O467">
            <v>0</v>
          </cell>
          <cell r="P467" t="str">
            <v>4850-NDB-302A</v>
          </cell>
          <cell r="Q467" t="str">
            <v>C</v>
          </cell>
          <cell r="S467">
            <v>80</v>
          </cell>
          <cell r="T467">
            <v>100</v>
          </cell>
          <cell r="X467">
            <v>1</v>
          </cell>
          <cell r="Y467">
            <v>0.85</v>
          </cell>
        </row>
        <row r="468">
          <cell r="A468" t="str">
            <v>PEU-2</v>
          </cell>
          <cell r="B468" t="str">
            <v>4850-NEH-309</v>
          </cell>
          <cell r="C468" t="str">
            <v>Electrical Heat Tracing Panel 9</v>
          </cell>
          <cell r="D468">
            <v>0</v>
          </cell>
          <cell r="E468" t="str">
            <v>ISBL</v>
          </cell>
          <cell r="J468" t="str">
            <v>3</v>
          </cell>
          <cell r="K468">
            <v>690</v>
          </cell>
          <cell r="L468" t="str">
            <v>AC</v>
          </cell>
          <cell r="M468" t="str">
            <v>F</v>
          </cell>
          <cell r="N468" t="str">
            <v>N</v>
          </cell>
          <cell r="O468">
            <v>0</v>
          </cell>
          <cell r="P468" t="str">
            <v>4850-NDB-302A</v>
          </cell>
          <cell r="Q468" t="str">
            <v>C</v>
          </cell>
          <cell r="S468">
            <v>80</v>
          </cell>
          <cell r="T468">
            <v>100</v>
          </cell>
          <cell r="X468">
            <v>1</v>
          </cell>
          <cell r="Y468">
            <v>0.85</v>
          </cell>
        </row>
        <row r="469">
          <cell r="A469" t="str">
            <v>PEU-2</v>
          </cell>
          <cell r="B469" t="str">
            <v>4850-NEH-310</v>
          </cell>
          <cell r="C469" t="str">
            <v>Electrical Heat Tracing Panel 10</v>
          </cell>
          <cell r="D469">
            <v>0</v>
          </cell>
          <cell r="E469" t="str">
            <v>ISBL</v>
          </cell>
          <cell r="J469" t="str">
            <v>3</v>
          </cell>
          <cell r="K469">
            <v>690</v>
          </cell>
          <cell r="L469" t="str">
            <v>AC</v>
          </cell>
          <cell r="M469" t="str">
            <v>F</v>
          </cell>
          <cell r="N469" t="str">
            <v>N</v>
          </cell>
          <cell r="O469">
            <v>0</v>
          </cell>
          <cell r="P469" t="str">
            <v>4850-NDB-302A</v>
          </cell>
          <cell r="Q469" t="str">
            <v>C</v>
          </cell>
          <cell r="S469">
            <v>40</v>
          </cell>
          <cell r="T469">
            <v>50</v>
          </cell>
          <cell r="X469">
            <v>1</v>
          </cell>
          <cell r="Y469">
            <v>0.85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 t="str">
            <v>ISBL</v>
          </cell>
          <cell r="J470" t="str">
            <v>3</v>
          </cell>
          <cell r="K470">
            <v>0</v>
          </cell>
          <cell r="L470" t="str">
            <v>AC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S470">
            <v>0</v>
          </cell>
          <cell r="T470">
            <v>0</v>
          </cell>
          <cell r="X470">
            <v>0</v>
          </cell>
          <cell r="Y470">
            <v>0</v>
          </cell>
        </row>
        <row r="471">
          <cell r="A471" t="str">
            <v>PEU-2</v>
          </cell>
          <cell r="B471" t="str">
            <v>4850-NEH-311</v>
          </cell>
          <cell r="C471" t="str">
            <v>Electrical Heat Tracing Panel 11</v>
          </cell>
          <cell r="D471">
            <v>0</v>
          </cell>
          <cell r="E471" t="str">
            <v>ISBL</v>
          </cell>
          <cell r="J471" t="str">
            <v>3</v>
          </cell>
          <cell r="K471">
            <v>690</v>
          </cell>
          <cell r="L471" t="str">
            <v>AC</v>
          </cell>
          <cell r="M471" t="str">
            <v>F</v>
          </cell>
          <cell r="N471" t="str">
            <v>N</v>
          </cell>
          <cell r="O471">
            <v>0</v>
          </cell>
          <cell r="P471" t="str">
            <v>4850-NDB-302B</v>
          </cell>
          <cell r="Q471" t="str">
            <v>C</v>
          </cell>
          <cell r="S471">
            <v>80</v>
          </cell>
          <cell r="T471">
            <v>100</v>
          </cell>
          <cell r="X471">
            <v>1</v>
          </cell>
          <cell r="Y471">
            <v>0.85</v>
          </cell>
        </row>
        <row r="472">
          <cell r="A472" t="str">
            <v>PEU-2</v>
          </cell>
          <cell r="B472" t="str">
            <v>4850-NEH-312</v>
          </cell>
          <cell r="C472" t="str">
            <v>Electrical Heat Tracing Panel 12</v>
          </cell>
          <cell r="D472">
            <v>0</v>
          </cell>
          <cell r="E472" t="str">
            <v>ISBL</v>
          </cell>
          <cell r="J472" t="str">
            <v>3</v>
          </cell>
          <cell r="K472">
            <v>690</v>
          </cell>
          <cell r="L472" t="str">
            <v>AC</v>
          </cell>
          <cell r="M472" t="str">
            <v>F</v>
          </cell>
          <cell r="N472" t="str">
            <v>N</v>
          </cell>
          <cell r="O472">
            <v>0</v>
          </cell>
          <cell r="P472" t="str">
            <v>4850-NDB-302B</v>
          </cell>
          <cell r="Q472" t="str">
            <v>C</v>
          </cell>
          <cell r="S472">
            <v>80</v>
          </cell>
          <cell r="T472">
            <v>100</v>
          </cell>
          <cell r="X472">
            <v>1</v>
          </cell>
          <cell r="Y472">
            <v>0.85</v>
          </cell>
        </row>
        <row r="473">
          <cell r="A473" t="str">
            <v>PEU-2</v>
          </cell>
          <cell r="B473" t="str">
            <v>4850-NEH-313</v>
          </cell>
          <cell r="C473" t="str">
            <v>Electrical Heat Tracing Panel 13</v>
          </cell>
          <cell r="D473">
            <v>0</v>
          </cell>
          <cell r="E473" t="str">
            <v>ISBL</v>
          </cell>
          <cell r="J473" t="str">
            <v>3</v>
          </cell>
          <cell r="K473">
            <v>690</v>
          </cell>
          <cell r="L473" t="str">
            <v>AC</v>
          </cell>
          <cell r="M473" t="str">
            <v>F</v>
          </cell>
          <cell r="N473" t="str">
            <v>N</v>
          </cell>
          <cell r="O473">
            <v>0</v>
          </cell>
          <cell r="P473" t="str">
            <v>4850-NDB-302B</v>
          </cell>
          <cell r="Q473" t="str">
            <v>C</v>
          </cell>
          <cell r="S473">
            <v>80</v>
          </cell>
          <cell r="T473">
            <v>100</v>
          </cell>
          <cell r="X473">
            <v>1</v>
          </cell>
          <cell r="Y473">
            <v>0.85</v>
          </cell>
        </row>
        <row r="474">
          <cell r="A474" t="str">
            <v>PEU-2</v>
          </cell>
          <cell r="B474" t="str">
            <v>4850-NEH-314</v>
          </cell>
          <cell r="C474" t="str">
            <v>Electrical Heat Tracing Panel 14</v>
          </cell>
          <cell r="D474">
            <v>0</v>
          </cell>
          <cell r="E474" t="str">
            <v>ISBL</v>
          </cell>
          <cell r="J474" t="str">
            <v>3</v>
          </cell>
          <cell r="K474">
            <v>690</v>
          </cell>
          <cell r="L474" t="str">
            <v>AC</v>
          </cell>
          <cell r="M474" t="str">
            <v>F</v>
          </cell>
          <cell r="N474" t="str">
            <v>N</v>
          </cell>
          <cell r="O474">
            <v>0</v>
          </cell>
          <cell r="P474" t="str">
            <v>4850-NDB-302B</v>
          </cell>
          <cell r="Q474" t="str">
            <v>C</v>
          </cell>
          <cell r="S474">
            <v>80</v>
          </cell>
          <cell r="T474">
            <v>100</v>
          </cell>
          <cell r="X474">
            <v>1</v>
          </cell>
          <cell r="Y474">
            <v>0.85</v>
          </cell>
        </row>
        <row r="475">
          <cell r="A475" t="str">
            <v>PEU-2</v>
          </cell>
          <cell r="B475" t="str">
            <v>4850-NEH-315</v>
          </cell>
          <cell r="C475" t="str">
            <v>Electrical Heat Tracing Panel 15</v>
          </cell>
          <cell r="D475">
            <v>0</v>
          </cell>
          <cell r="E475" t="str">
            <v>ISBL</v>
          </cell>
          <cell r="J475" t="str">
            <v>3</v>
          </cell>
          <cell r="K475">
            <v>690</v>
          </cell>
          <cell r="L475" t="str">
            <v>AC</v>
          </cell>
          <cell r="M475" t="str">
            <v>F</v>
          </cell>
          <cell r="N475" t="str">
            <v>N</v>
          </cell>
          <cell r="O475">
            <v>0</v>
          </cell>
          <cell r="P475" t="str">
            <v>4850-NDB-302B</v>
          </cell>
          <cell r="Q475" t="str">
            <v>C</v>
          </cell>
          <cell r="S475">
            <v>80</v>
          </cell>
          <cell r="T475">
            <v>100</v>
          </cell>
          <cell r="X475">
            <v>1</v>
          </cell>
          <cell r="Y475">
            <v>0.85</v>
          </cell>
        </row>
        <row r="476">
          <cell r="A476" t="str">
            <v>PEU-2</v>
          </cell>
          <cell r="B476" t="str">
            <v>4850-NEH-316</v>
          </cell>
          <cell r="C476" t="str">
            <v>Electrical Heat Tracing Panel 16</v>
          </cell>
          <cell r="D476">
            <v>0</v>
          </cell>
          <cell r="E476" t="str">
            <v>ISBL</v>
          </cell>
          <cell r="J476" t="str">
            <v>3</v>
          </cell>
          <cell r="K476">
            <v>690</v>
          </cell>
          <cell r="L476" t="str">
            <v>AC</v>
          </cell>
          <cell r="M476" t="str">
            <v>F</v>
          </cell>
          <cell r="N476" t="str">
            <v>N</v>
          </cell>
          <cell r="O476">
            <v>0</v>
          </cell>
          <cell r="P476" t="str">
            <v>4850-NDB-302B</v>
          </cell>
          <cell r="Q476" t="str">
            <v>C</v>
          </cell>
          <cell r="S476">
            <v>80</v>
          </cell>
          <cell r="T476">
            <v>100</v>
          </cell>
          <cell r="X476">
            <v>1</v>
          </cell>
          <cell r="Y476">
            <v>0.85</v>
          </cell>
        </row>
        <row r="477">
          <cell r="A477" t="str">
            <v>PEU-2</v>
          </cell>
          <cell r="B477" t="str">
            <v>4850-NEH-317</v>
          </cell>
          <cell r="C477" t="str">
            <v>Electrical Heat Tracing Panel 17</v>
          </cell>
          <cell r="D477">
            <v>0</v>
          </cell>
          <cell r="E477" t="str">
            <v>ISBL</v>
          </cell>
          <cell r="J477" t="str">
            <v>3</v>
          </cell>
          <cell r="K477">
            <v>690</v>
          </cell>
          <cell r="L477" t="str">
            <v>AC</v>
          </cell>
          <cell r="M477" t="str">
            <v>F</v>
          </cell>
          <cell r="N477" t="str">
            <v>N</v>
          </cell>
          <cell r="O477">
            <v>0</v>
          </cell>
          <cell r="P477" t="str">
            <v>4850-NDB-302B</v>
          </cell>
          <cell r="Q477" t="str">
            <v>C</v>
          </cell>
          <cell r="S477">
            <v>80</v>
          </cell>
          <cell r="T477">
            <v>100</v>
          </cell>
          <cell r="X477">
            <v>1</v>
          </cell>
          <cell r="Y477">
            <v>0.85</v>
          </cell>
        </row>
        <row r="478">
          <cell r="A478" t="str">
            <v>PEU-2</v>
          </cell>
          <cell r="B478" t="str">
            <v>4850-NEH-318</v>
          </cell>
          <cell r="C478" t="str">
            <v>Electrical Heat Tracing Panel 18</v>
          </cell>
          <cell r="D478">
            <v>0</v>
          </cell>
          <cell r="E478" t="str">
            <v>ISBL</v>
          </cell>
          <cell r="J478" t="str">
            <v>3</v>
          </cell>
          <cell r="K478">
            <v>690</v>
          </cell>
          <cell r="L478" t="str">
            <v>AC</v>
          </cell>
          <cell r="M478" t="str">
            <v>F</v>
          </cell>
          <cell r="N478" t="str">
            <v>N</v>
          </cell>
          <cell r="O478">
            <v>0</v>
          </cell>
          <cell r="P478" t="str">
            <v>4850-NDB-302B</v>
          </cell>
          <cell r="Q478" t="str">
            <v>C</v>
          </cell>
          <cell r="S478">
            <v>80</v>
          </cell>
          <cell r="T478">
            <v>100</v>
          </cell>
          <cell r="X478">
            <v>1</v>
          </cell>
          <cell r="Y478">
            <v>0.85</v>
          </cell>
        </row>
        <row r="479">
          <cell r="A479" t="str">
            <v>PEU-2</v>
          </cell>
          <cell r="B479" t="str">
            <v>4850-NEH-319</v>
          </cell>
          <cell r="C479" t="str">
            <v>Electrical Heat Tracing Panel 19</v>
          </cell>
          <cell r="D479">
            <v>0</v>
          </cell>
          <cell r="E479" t="str">
            <v>ISBL</v>
          </cell>
          <cell r="J479" t="str">
            <v>3</v>
          </cell>
          <cell r="K479">
            <v>690</v>
          </cell>
          <cell r="L479" t="str">
            <v>AC</v>
          </cell>
          <cell r="M479" t="str">
            <v>F</v>
          </cell>
          <cell r="N479" t="str">
            <v>N</v>
          </cell>
          <cell r="O479">
            <v>0</v>
          </cell>
          <cell r="P479" t="str">
            <v>4850-NDB-302B</v>
          </cell>
          <cell r="Q479" t="str">
            <v>C</v>
          </cell>
          <cell r="S479">
            <v>80</v>
          </cell>
          <cell r="T479">
            <v>100</v>
          </cell>
          <cell r="X479">
            <v>1</v>
          </cell>
          <cell r="Y479">
            <v>0.85</v>
          </cell>
        </row>
        <row r="480">
          <cell r="A480" t="str">
            <v>PEU-2</v>
          </cell>
          <cell r="B480" t="str">
            <v>4850-NEH-320</v>
          </cell>
          <cell r="C480" t="str">
            <v>Electrical Heat Tracing Panel 20</v>
          </cell>
          <cell r="D480">
            <v>0</v>
          </cell>
          <cell r="E480" t="str">
            <v>ISBL</v>
          </cell>
          <cell r="J480" t="str">
            <v>3</v>
          </cell>
          <cell r="K480">
            <v>690</v>
          </cell>
          <cell r="L480" t="str">
            <v>AC</v>
          </cell>
          <cell r="M480" t="str">
            <v>F</v>
          </cell>
          <cell r="N480" t="str">
            <v>N</v>
          </cell>
          <cell r="O480">
            <v>0</v>
          </cell>
          <cell r="P480" t="str">
            <v>4850-NDB-302B</v>
          </cell>
          <cell r="Q480" t="str">
            <v>C</v>
          </cell>
          <cell r="S480">
            <v>40</v>
          </cell>
          <cell r="T480">
            <v>50</v>
          </cell>
          <cell r="X480">
            <v>1</v>
          </cell>
          <cell r="Y480">
            <v>0.85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 t="str">
            <v>ISBL</v>
          </cell>
          <cell r="J481" t="str">
            <v>3</v>
          </cell>
          <cell r="K481">
            <v>0</v>
          </cell>
          <cell r="L481" t="str">
            <v>AC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S481">
            <v>0</v>
          </cell>
          <cell r="T481">
            <v>0</v>
          </cell>
          <cell r="X481">
            <v>0</v>
          </cell>
          <cell r="Y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 t="str">
            <v>ISBL</v>
          </cell>
          <cell r="J482" t="str">
            <v>3</v>
          </cell>
          <cell r="K482">
            <v>0</v>
          </cell>
          <cell r="L482" t="str">
            <v>AC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S482">
            <v>0</v>
          </cell>
          <cell r="T482">
            <v>0</v>
          </cell>
          <cell r="X482">
            <v>0</v>
          </cell>
          <cell r="Y482">
            <v>0</v>
          </cell>
        </row>
        <row r="483">
          <cell r="A483">
            <v>0</v>
          </cell>
          <cell r="B483" t="str">
            <v>4850-NEH-321</v>
          </cell>
          <cell r="C483" t="str">
            <v>Electrical Heat Tracing Panel 1</v>
          </cell>
          <cell r="D483">
            <v>0</v>
          </cell>
          <cell r="E483" t="str">
            <v>ISBL</v>
          </cell>
          <cell r="J483" t="str">
            <v>3</v>
          </cell>
          <cell r="K483">
            <v>690</v>
          </cell>
          <cell r="L483" t="str">
            <v>AC</v>
          </cell>
          <cell r="M483" t="str">
            <v>F</v>
          </cell>
          <cell r="N483" t="str">
            <v>N</v>
          </cell>
          <cell r="O483">
            <v>0</v>
          </cell>
          <cell r="P483" t="str">
            <v>4850-NDB-303A</v>
          </cell>
          <cell r="Q483" t="str">
            <v>C</v>
          </cell>
          <cell r="S483">
            <v>80</v>
          </cell>
          <cell r="T483">
            <v>100</v>
          </cell>
          <cell r="X483">
            <v>1</v>
          </cell>
          <cell r="Y483">
            <v>0.85</v>
          </cell>
        </row>
        <row r="484">
          <cell r="A484">
            <v>0</v>
          </cell>
          <cell r="B484" t="str">
            <v>4850-NEH-322</v>
          </cell>
          <cell r="C484" t="str">
            <v>Electrical Heat Tracing Panel 2</v>
          </cell>
          <cell r="D484">
            <v>0</v>
          </cell>
          <cell r="E484" t="str">
            <v>ISBL</v>
          </cell>
          <cell r="J484" t="str">
            <v>3</v>
          </cell>
          <cell r="K484">
            <v>690</v>
          </cell>
          <cell r="L484" t="str">
            <v>AC</v>
          </cell>
          <cell r="M484" t="str">
            <v>F</v>
          </cell>
          <cell r="N484" t="str">
            <v>N</v>
          </cell>
          <cell r="O484">
            <v>0</v>
          </cell>
          <cell r="P484" t="str">
            <v>4850-NDB-303B</v>
          </cell>
          <cell r="Q484" t="str">
            <v>C</v>
          </cell>
          <cell r="S484">
            <v>80</v>
          </cell>
          <cell r="T484">
            <v>100</v>
          </cell>
          <cell r="X484">
            <v>1</v>
          </cell>
          <cell r="Y484">
            <v>0.85</v>
          </cell>
        </row>
        <row r="485">
          <cell r="A485">
            <v>0</v>
          </cell>
          <cell r="B485" t="str">
            <v>4850-NEH-323</v>
          </cell>
          <cell r="C485" t="str">
            <v>Electrical Heat Tracing Panel 3</v>
          </cell>
          <cell r="D485">
            <v>0</v>
          </cell>
          <cell r="E485" t="str">
            <v>ISBL</v>
          </cell>
          <cell r="J485" t="str">
            <v>3</v>
          </cell>
          <cell r="K485">
            <v>690</v>
          </cell>
          <cell r="L485" t="str">
            <v>AC</v>
          </cell>
          <cell r="M485" t="str">
            <v>F</v>
          </cell>
          <cell r="N485" t="str">
            <v>N</v>
          </cell>
          <cell r="O485">
            <v>0</v>
          </cell>
          <cell r="P485" t="str">
            <v>4850-NDB-303A</v>
          </cell>
          <cell r="Q485" t="str">
            <v>C</v>
          </cell>
          <cell r="S485">
            <v>80</v>
          </cell>
          <cell r="T485">
            <v>100</v>
          </cell>
          <cell r="X485">
            <v>1</v>
          </cell>
          <cell r="Y485">
            <v>0.85</v>
          </cell>
        </row>
        <row r="486">
          <cell r="A486">
            <v>0</v>
          </cell>
          <cell r="B486" t="str">
            <v>4850-NEH-324</v>
          </cell>
          <cell r="C486" t="str">
            <v>Electrical Heat Tracing Panel 4</v>
          </cell>
          <cell r="D486">
            <v>0</v>
          </cell>
          <cell r="E486" t="str">
            <v>ISBL</v>
          </cell>
          <cell r="J486" t="str">
            <v>3</v>
          </cell>
          <cell r="K486">
            <v>690</v>
          </cell>
          <cell r="L486" t="str">
            <v>AC</v>
          </cell>
          <cell r="M486" t="str">
            <v>F</v>
          </cell>
          <cell r="N486" t="str">
            <v>N</v>
          </cell>
          <cell r="O486">
            <v>0</v>
          </cell>
          <cell r="P486" t="str">
            <v>4850-NDB-303B</v>
          </cell>
          <cell r="Q486" t="str">
            <v>C</v>
          </cell>
          <cell r="S486">
            <v>80</v>
          </cell>
          <cell r="T486">
            <v>100</v>
          </cell>
          <cell r="X486">
            <v>1</v>
          </cell>
          <cell r="Y486">
            <v>0.85</v>
          </cell>
        </row>
        <row r="487">
          <cell r="A487">
            <v>0</v>
          </cell>
          <cell r="B487" t="str">
            <v>4850-NEH-325</v>
          </cell>
          <cell r="C487" t="str">
            <v>Electrical Heat Tracing Panel 5</v>
          </cell>
          <cell r="D487">
            <v>0</v>
          </cell>
          <cell r="E487" t="str">
            <v>ISBL</v>
          </cell>
          <cell r="J487" t="str">
            <v>3</v>
          </cell>
          <cell r="K487">
            <v>690</v>
          </cell>
          <cell r="L487" t="str">
            <v>AC</v>
          </cell>
          <cell r="M487" t="str">
            <v>F</v>
          </cell>
          <cell r="N487" t="str">
            <v>N</v>
          </cell>
          <cell r="O487">
            <v>0</v>
          </cell>
          <cell r="P487" t="str">
            <v>4850-NDB-303A</v>
          </cell>
          <cell r="Q487" t="str">
            <v>C</v>
          </cell>
          <cell r="S487">
            <v>80</v>
          </cell>
          <cell r="T487">
            <v>100</v>
          </cell>
          <cell r="X487">
            <v>1</v>
          </cell>
          <cell r="Y487">
            <v>0.85</v>
          </cell>
        </row>
        <row r="488">
          <cell r="A488">
            <v>0</v>
          </cell>
          <cell r="B488" t="str">
            <v>4850-NEH-326</v>
          </cell>
          <cell r="C488" t="str">
            <v>Electrical Heat Tracing Panel 6</v>
          </cell>
          <cell r="D488">
            <v>0</v>
          </cell>
          <cell r="E488" t="str">
            <v>ISBL</v>
          </cell>
          <cell r="J488" t="str">
            <v>3</v>
          </cell>
          <cell r="K488">
            <v>690</v>
          </cell>
          <cell r="L488" t="str">
            <v>AC</v>
          </cell>
          <cell r="M488" t="str">
            <v>F</v>
          </cell>
          <cell r="N488" t="str">
            <v>N</v>
          </cell>
          <cell r="O488">
            <v>0</v>
          </cell>
          <cell r="P488" t="str">
            <v>4850-NDB-303B</v>
          </cell>
          <cell r="Q488" t="str">
            <v>C</v>
          </cell>
          <cell r="S488">
            <v>80</v>
          </cell>
          <cell r="T488">
            <v>100</v>
          </cell>
          <cell r="X488">
            <v>1</v>
          </cell>
          <cell r="Y488">
            <v>0.85</v>
          </cell>
        </row>
        <row r="489">
          <cell r="A489">
            <v>0</v>
          </cell>
          <cell r="B489" t="str">
            <v>4850-NEH-327</v>
          </cell>
          <cell r="C489" t="str">
            <v>Electrical Heat Tracing Panel 7</v>
          </cell>
          <cell r="D489">
            <v>0</v>
          </cell>
          <cell r="E489" t="str">
            <v>ISBL</v>
          </cell>
          <cell r="J489" t="str">
            <v>3</v>
          </cell>
          <cell r="K489">
            <v>690</v>
          </cell>
          <cell r="L489" t="str">
            <v>AC</v>
          </cell>
          <cell r="M489" t="str">
            <v>F</v>
          </cell>
          <cell r="N489" t="str">
            <v>N</v>
          </cell>
          <cell r="O489">
            <v>0</v>
          </cell>
          <cell r="P489" t="str">
            <v>4850-NDB-303A</v>
          </cell>
          <cell r="Q489" t="str">
            <v>C</v>
          </cell>
          <cell r="S489">
            <v>80</v>
          </cell>
          <cell r="T489">
            <v>100</v>
          </cell>
          <cell r="X489">
            <v>1</v>
          </cell>
          <cell r="Y489">
            <v>0.85</v>
          </cell>
        </row>
        <row r="490">
          <cell r="A490">
            <v>0</v>
          </cell>
          <cell r="B490" t="str">
            <v>4850-NEH-328</v>
          </cell>
          <cell r="C490" t="str">
            <v>Electrical Heat Tracing Panel 8</v>
          </cell>
          <cell r="D490">
            <v>0</v>
          </cell>
          <cell r="E490" t="str">
            <v>ISBL</v>
          </cell>
          <cell r="J490" t="str">
            <v>3</v>
          </cell>
          <cell r="K490">
            <v>690</v>
          </cell>
          <cell r="L490" t="str">
            <v>AC</v>
          </cell>
          <cell r="M490" t="str">
            <v>F</v>
          </cell>
          <cell r="N490" t="str">
            <v>N</v>
          </cell>
          <cell r="O490">
            <v>0</v>
          </cell>
          <cell r="P490" t="str">
            <v>4850-NDB-303B</v>
          </cell>
          <cell r="Q490" t="str">
            <v>C</v>
          </cell>
          <cell r="S490">
            <v>80</v>
          </cell>
          <cell r="T490">
            <v>100</v>
          </cell>
          <cell r="X490">
            <v>1</v>
          </cell>
          <cell r="Y490">
            <v>0.85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 t="str">
            <v>ISBL</v>
          </cell>
          <cell r="J491" t="str">
            <v>3</v>
          </cell>
          <cell r="K491">
            <v>0</v>
          </cell>
          <cell r="L491" t="str">
            <v>AC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S491">
            <v>0</v>
          </cell>
          <cell r="T491">
            <v>0</v>
          </cell>
          <cell r="X491">
            <v>0</v>
          </cell>
          <cell r="Y491">
            <v>0</v>
          </cell>
        </row>
        <row r="492">
          <cell r="A492">
            <v>0</v>
          </cell>
          <cell r="B492" t="str">
            <v>41-PK-6040-34</v>
          </cell>
          <cell r="C492" t="str">
            <v>Hot Oil Heater for Gear Pump &amp; S/C Heating</v>
          </cell>
          <cell r="D492">
            <v>0</v>
          </cell>
          <cell r="E492" t="str">
            <v>ISBL</v>
          </cell>
          <cell r="J492" t="str">
            <v>3</v>
          </cell>
          <cell r="K492">
            <v>690</v>
          </cell>
          <cell r="L492" t="str">
            <v>AC</v>
          </cell>
          <cell r="M492" t="str">
            <v>M</v>
          </cell>
          <cell r="N492" t="str">
            <v>N</v>
          </cell>
          <cell r="O492">
            <v>0</v>
          </cell>
          <cell r="P492" t="str">
            <v>4850-NDB-303A</v>
          </cell>
          <cell r="Q492" t="str">
            <v>C</v>
          </cell>
          <cell r="S492">
            <v>504</v>
          </cell>
          <cell r="T492">
            <v>560</v>
          </cell>
          <cell r="X492">
            <v>0.93</v>
          </cell>
          <cell r="Y492">
            <v>0.85</v>
          </cell>
        </row>
        <row r="493">
          <cell r="A493">
            <v>0</v>
          </cell>
          <cell r="B493" t="str">
            <v>41-PK-6040-35</v>
          </cell>
          <cell r="C493" t="str">
            <v>Hot Oil Heater for Gear Mixer Chamber Heating</v>
          </cell>
          <cell r="D493">
            <v>0</v>
          </cell>
          <cell r="E493" t="str">
            <v>ISBL</v>
          </cell>
          <cell r="J493" t="str">
            <v>3</v>
          </cell>
          <cell r="K493">
            <v>690</v>
          </cell>
          <cell r="L493" t="str">
            <v>AC</v>
          </cell>
          <cell r="M493" t="str">
            <v>M</v>
          </cell>
          <cell r="N493" t="str">
            <v>N</v>
          </cell>
          <cell r="O493">
            <v>0</v>
          </cell>
          <cell r="P493" t="str">
            <v>4850-NDB-303B</v>
          </cell>
          <cell r="Q493" t="str">
            <v>C</v>
          </cell>
          <cell r="S493">
            <v>324</v>
          </cell>
          <cell r="T493">
            <v>360</v>
          </cell>
          <cell r="X493">
            <v>0.93</v>
          </cell>
          <cell r="Y493">
            <v>0.85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 t="str">
            <v>ISBL</v>
          </cell>
          <cell r="J494" t="str">
            <v>3</v>
          </cell>
          <cell r="K494">
            <v>0</v>
          </cell>
          <cell r="L494" t="str">
            <v>AC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S494">
            <v>0</v>
          </cell>
          <cell r="T494">
            <v>0</v>
          </cell>
          <cell r="X494">
            <v>0</v>
          </cell>
          <cell r="Y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 t="str">
            <v>ISBL</v>
          </cell>
          <cell r="J495" t="str">
            <v>3</v>
          </cell>
          <cell r="K495">
            <v>0</v>
          </cell>
          <cell r="L495" t="str">
            <v>AC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X495">
            <v>0</v>
          </cell>
          <cell r="Y495">
            <v>0</v>
          </cell>
        </row>
        <row r="496">
          <cell r="A496" t="str">
            <v>PEU-2</v>
          </cell>
          <cell r="B496" t="str">
            <v>VDB-301</v>
          </cell>
          <cell r="C496" t="str">
            <v>HVAC Load 1</v>
          </cell>
          <cell r="D496">
            <v>0</v>
          </cell>
          <cell r="E496" t="str">
            <v>ISBL</v>
          </cell>
          <cell r="J496" t="str">
            <v>3</v>
          </cell>
          <cell r="K496">
            <v>690</v>
          </cell>
          <cell r="L496" t="str">
            <v>AC</v>
          </cell>
          <cell r="M496" t="str">
            <v>F</v>
          </cell>
          <cell r="N496" t="str">
            <v>N</v>
          </cell>
          <cell r="O496">
            <v>0</v>
          </cell>
          <cell r="P496" t="str">
            <v>4850-NDB-304A</v>
          </cell>
          <cell r="Q496" t="str">
            <v>C</v>
          </cell>
          <cell r="S496">
            <v>80</v>
          </cell>
          <cell r="T496">
            <v>100</v>
          </cell>
          <cell r="X496">
            <v>1</v>
          </cell>
          <cell r="Y496">
            <v>0.85</v>
          </cell>
        </row>
        <row r="497">
          <cell r="A497" t="str">
            <v>PEU-2</v>
          </cell>
          <cell r="B497" t="str">
            <v>VDB-302</v>
          </cell>
          <cell r="C497" t="str">
            <v>HVAC Load 2</v>
          </cell>
          <cell r="D497">
            <v>0</v>
          </cell>
          <cell r="E497" t="str">
            <v>ISBL</v>
          </cell>
          <cell r="J497" t="str">
            <v>3</v>
          </cell>
          <cell r="K497">
            <v>690</v>
          </cell>
          <cell r="L497" t="str">
            <v>AC</v>
          </cell>
          <cell r="M497" t="str">
            <v>F</v>
          </cell>
          <cell r="N497" t="str">
            <v>N</v>
          </cell>
          <cell r="O497">
            <v>0</v>
          </cell>
          <cell r="P497" t="str">
            <v>4850-NDB-304A</v>
          </cell>
          <cell r="Q497" t="str">
            <v>C</v>
          </cell>
          <cell r="S497">
            <v>80</v>
          </cell>
          <cell r="T497">
            <v>100</v>
          </cell>
          <cell r="X497">
            <v>1</v>
          </cell>
          <cell r="Y497">
            <v>0.85</v>
          </cell>
        </row>
        <row r="498">
          <cell r="A498" t="str">
            <v>PEU-2</v>
          </cell>
          <cell r="B498" t="str">
            <v>VDB-303</v>
          </cell>
          <cell r="C498" t="str">
            <v>HVAC Load 3</v>
          </cell>
          <cell r="D498">
            <v>0</v>
          </cell>
          <cell r="E498" t="str">
            <v>ISBL</v>
          </cell>
          <cell r="J498" t="str">
            <v>3</v>
          </cell>
          <cell r="K498">
            <v>690</v>
          </cell>
          <cell r="L498" t="str">
            <v>AC</v>
          </cell>
          <cell r="M498" t="str">
            <v>F</v>
          </cell>
          <cell r="N498" t="str">
            <v>N</v>
          </cell>
          <cell r="O498">
            <v>0</v>
          </cell>
          <cell r="P498" t="str">
            <v>4850-NDB-304A</v>
          </cell>
          <cell r="Q498" t="str">
            <v>C</v>
          </cell>
          <cell r="S498">
            <v>80</v>
          </cell>
          <cell r="T498">
            <v>100</v>
          </cell>
          <cell r="X498">
            <v>1</v>
          </cell>
          <cell r="Y498">
            <v>0.85</v>
          </cell>
        </row>
        <row r="499">
          <cell r="A499" t="str">
            <v>PEU-2</v>
          </cell>
          <cell r="B499" t="str">
            <v>VDB-304</v>
          </cell>
          <cell r="C499" t="str">
            <v>HVAC Load 4</v>
          </cell>
          <cell r="D499">
            <v>0</v>
          </cell>
          <cell r="E499" t="str">
            <v>ISBL</v>
          </cell>
          <cell r="J499" t="str">
            <v>3</v>
          </cell>
          <cell r="K499">
            <v>690</v>
          </cell>
          <cell r="L499" t="str">
            <v>AC</v>
          </cell>
          <cell r="M499" t="str">
            <v>F</v>
          </cell>
          <cell r="N499" t="str">
            <v>N</v>
          </cell>
          <cell r="O499">
            <v>0</v>
          </cell>
          <cell r="P499" t="str">
            <v>4850-NDB-304A</v>
          </cell>
          <cell r="Q499" t="str">
            <v>C</v>
          </cell>
          <cell r="S499">
            <v>80</v>
          </cell>
          <cell r="T499">
            <v>100</v>
          </cell>
          <cell r="X499">
            <v>1</v>
          </cell>
          <cell r="Y499">
            <v>0.85</v>
          </cell>
        </row>
        <row r="500">
          <cell r="A500" t="str">
            <v>PEU-2</v>
          </cell>
          <cell r="B500" t="str">
            <v>VDB-305</v>
          </cell>
          <cell r="C500" t="str">
            <v>HVAC Load 5</v>
          </cell>
          <cell r="D500">
            <v>0</v>
          </cell>
          <cell r="E500" t="str">
            <v>ISBL</v>
          </cell>
          <cell r="J500" t="str">
            <v>3</v>
          </cell>
          <cell r="K500">
            <v>690</v>
          </cell>
          <cell r="L500" t="str">
            <v>AC</v>
          </cell>
          <cell r="M500" t="str">
            <v>F</v>
          </cell>
          <cell r="N500" t="str">
            <v>N</v>
          </cell>
          <cell r="O500">
            <v>0</v>
          </cell>
          <cell r="P500" t="str">
            <v>4850-NDB-304A</v>
          </cell>
          <cell r="Q500" t="str">
            <v>C</v>
          </cell>
          <cell r="S500">
            <v>80</v>
          </cell>
          <cell r="T500">
            <v>100</v>
          </cell>
          <cell r="X500">
            <v>1</v>
          </cell>
          <cell r="Y500">
            <v>0.85</v>
          </cell>
        </row>
        <row r="501">
          <cell r="A501" t="str">
            <v>PEU-2</v>
          </cell>
          <cell r="B501" t="str">
            <v>VDB-306</v>
          </cell>
          <cell r="C501" t="str">
            <v>HVAC Load 6</v>
          </cell>
          <cell r="D501">
            <v>0</v>
          </cell>
          <cell r="E501" t="str">
            <v>ISBL</v>
          </cell>
          <cell r="J501" t="str">
            <v>3</v>
          </cell>
          <cell r="K501">
            <v>690</v>
          </cell>
          <cell r="L501" t="str">
            <v>AC</v>
          </cell>
          <cell r="M501" t="str">
            <v>F</v>
          </cell>
          <cell r="N501" t="str">
            <v>N</v>
          </cell>
          <cell r="O501">
            <v>0</v>
          </cell>
          <cell r="P501" t="str">
            <v>4850-NDB-304A</v>
          </cell>
          <cell r="Q501" t="str">
            <v>C</v>
          </cell>
          <cell r="S501">
            <v>80</v>
          </cell>
          <cell r="T501">
            <v>100</v>
          </cell>
          <cell r="X501">
            <v>1</v>
          </cell>
          <cell r="Y501">
            <v>0.85</v>
          </cell>
        </row>
        <row r="502">
          <cell r="A502" t="str">
            <v>PEU-2</v>
          </cell>
          <cell r="B502" t="str">
            <v>VDB-307</v>
          </cell>
          <cell r="C502" t="str">
            <v>HVAC Load 7</v>
          </cell>
          <cell r="D502">
            <v>0</v>
          </cell>
          <cell r="E502" t="str">
            <v>ISBL</v>
          </cell>
          <cell r="J502" t="str">
            <v>3</v>
          </cell>
          <cell r="K502">
            <v>690</v>
          </cell>
          <cell r="L502" t="str">
            <v>AC</v>
          </cell>
          <cell r="M502" t="str">
            <v>F</v>
          </cell>
          <cell r="N502" t="str">
            <v>N</v>
          </cell>
          <cell r="O502">
            <v>0</v>
          </cell>
          <cell r="P502" t="str">
            <v>4850-NDB-304A</v>
          </cell>
          <cell r="Q502" t="str">
            <v>C</v>
          </cell>
          <cell r="S502">
            <v>80</v>
          </cell>
          <cell r="T502">
            <v>100</v>
          </cell>
          <cell r="X502">
            <v>1</v>
          </cell>
          <cell r="Y502">
            <v>0.85</v>
          </cell>
        </row>
        <row r="503">
          <cell r="A503" t="str">
            <v>PEU-2</v>
          </cell>
          <cell r="B503" t="str">
            <v>VDB-308</v>
          </cell>
          <cell r="C503" t="str">
            <v>HVAC Load 8</v>
          </cell>
          <cell r="D503">
            <v>0</v>
          </cell>
          <cell r="E503" t="str">
            <v>ISBL</v>
          </cell>
          <cell r="J503" t="str">
            <v>3</v>
          </cell>
          <cell r="K503">
            <v>690</v>
          </cell>
          <cell r="L503" t="str">
            <v>AC</v>
          </cell>
          <cell r="M503" t="str">
            <v>F</v>
          </cell>
          <cell r="N503" t="str">
            <v>N</v>
          </cell>
          <cell r="O503">
            <v>0</v>
          </cell>
          <cell r="P503" t="str">
            <v>4850-NDB-304A</v>
          </cell>
          <cell r="Q503" t="str">
            <v>C</v>
          </cell>
          <cell r="S503">
            <v>80</v>
          </cell>
          <cell r="T503">
            <v>100</v>
          </cell>
          <cell r="X503">
            <v>1</v>
          </cell>
          <cell r="Y503">
            <v>0.85</v>
          </cell>
        </row>
        <row r="504">
          <cell r="A504" t="str">
            <v>PEU-2</v>
          </cell>
          <cell r="B504" t="str">
            <v>VDB-309</v>
          </cell>
          <cell r="C504" t="str">
            <v>HVAC Load 9</v>
          </cell>
          <cell r="D504">
            <v>0</v>
          </cell>
          <cell r="E504" t="str">
            <v>ISBL</v>
          </cell>
          <cell r="J504" t="str">
            <v>3</v>
          </cell>
          <cell r="K504">
            <v>690</v>
          </cell>
          <cell r="L504" t="str">
            <v>AC</v>
          </cell>
          <cell r="M504" t="str">
            <v>F</v>
          </cell>
          <cell r="N504" t="str">
            <v>N</v>
          </cell>
          <cell r="O504">
            <v>0</v>
          </cell>
          <cell r="P504" t="str">
            <v>4850-NDB-304A</v>
          </cell>
          <cell r="Q504" t="str">
            <v>C</v>
          </cell>
          <cell r="S504">
            <v>80</v>
          </cell>
          <cell r="T504">
            <v>100</v>
          </cell>
          <cell r="X504">
            <v>1</v>
          </cell>
          <cell r="Y504">
            <v>0.85</v>
          </cell>
        </row>
        <row r="505">
          <cell r="A505" t="str">
            <v>PEU-2</v>
          </cell>
          <cell r="B505" t="str">
            <v>VDB-310</v>
          </cell>
          <cell r="C505" t="str">
            <v>HVAC Load 10</v>
          </cell>
          <cell r="D505">
            <v>0</v>
          </cell>
          <cell r="E505" t="str">
            <v>ISBL</v>
          </cell>
          <cell r="J505" t="str">
            <v>3</v>
          </cell>
          <cell r="K505">
            <v>690</v>
          </cell>
          <cell r="L505" t="str">
            <v>AC</v>
          </cell>
          <cell r="M505" t="str">
            <v>F</v>
          </cell>
          <cell r="N505" t="str">
            <v>N</v>
          </cell>
          <cell r="O505">
            <v>0</v>
          </cell>
          <cell r="P505" t="str">
            <v>4850-NDB-304A</v>
          </cell>
          <cell r="Q505" t="str">
            <v>C</v>
          </cell>
          <cell r="S505">
            <v>24</v>
          </cell>
          <cell r="T505">
            <v>30</v>
          </cell>
          <cell r="X505">
            <v>1</v>
          </cell>
          <cell r="Y505">
            <v>0.85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 t="str">
            <v>ISBL</v>
          </cell>
          <cell r="J506" t="str">
            <v>3</v>
          </cell>
          <cell r="K506">
            <v>0</v>
          </cell>
          <cell r="L506" t="str">
            <v>AC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S506">
            <v>0</v>
          </cell>
          <cell r="T506">
            <v>0</v>
          </cell>
          <cell r="X506">
            <v>0</v>
          </cell>
          <cell r="Y506">
            <v>0</v>
          </cell>
        </row>
        <row r="507">
          <cell r="A507" t="str">
            <v>PEU-2</v>
          </cell>
          <cell r="B507" t="str">
            <v>VDB-311</v>
          </cell>
          <cell r="C507" t="str">
            <v>HVAC Load 11</v>
          </cell>
          <cell r="D507">
            <v>0</v>
          </cell>
          <cell r="E507" t="str">
            <v>ISBL</v>
          </cell>
          <cell r="J507" t="str">
            <v>3</v>
          </cell>
          <cell r="K507">
            <v>690</v>
          </cell>
          <cell r="L507" t="str">
            <v>AC</v>
          </cell>
          <cell r="M507" t="str">
            <v>F</v>
          </cell>
          <cell r="N507" t="str">
            <v>N</v>
          </cell>
          <cell r="O507">
            <v>0</v>
          </cell>
          <cell r="P507" t="str">
            <v>4850-NDB-304B</v>
          </cell>
          <cell r="Q507" t="str">
            <v>C</v>
          </cell>
          <cell r="S507">
            <v>80</v>
          </cell>
          <cell r="T507">
            <v>100</v>
          </cell>
          <cell r="X507">
            <v>1</v>
          </cell>
          <cell r="Y507">
            <v>0.85</v>
          </cell>
        </row>
        <row r="508">
          <cell r="A508" t="str">
            <v>PEU-2</v>
          </cell>
          <cell r="B508" t="str">
            <v>VDB-312</v>
          </cell>
          <cell r="C508" t="str">
            <v>HVAC Load 12</v>
          </cell>
          <cell r="D508">
            <v>0</v>
          </cell>
          <cell r="E508" t="str">
            <v>ISBL</v>
          </cell>
          <cell r="J508" t="str">
            <v>3</v>
          </cell>
          <cell r="K508">
            <v>690</v>
          </cell>
          <cell r="L508" t="str">
            <v>AC</v>
          </cell>
          <cell r="M508" t="str">
            <v>F</v>
          </cell>
          <cell r="N508" t="str">
            <v>N</v>
          </cell>
          <cell r="O508">
            <v>0</v>
          </cell>
          <cell r="P508" t="str">
            <v>4850-NDB-304B</v>
          </cell>
          <cell r="Q508" t="str">
            <v>C</v>
          </cell>
          <cell r="S508">
            <v>80</v>
          </cell>
          <cell r="T508">
            <v>100</v>
          </cell>
          <cell r="X508">
            <v>1</v>
          </cell>
          <cell r="Y508">
            <v>0.85</v>
          </cell>
        </row>
        <row r="509">
          <cell r="A509" t="str">
            <v>PEU-2</v>
          </cell>
          <cell r="B509" t="str">
            <v>VDB-313</v>
          </cell>
          <cell r="C509" t="str">
            <v>HVAC Load 13</v>
          </cell>
          <cell r="D509">
            <v>0</v>
          </cell>
          <cell r="E509" t="str">
            <v>ISBL</v>
          </cell>
          <cell r="J509" t="str">
            <v>3</v>
          </cell>
          <cell r="K509">
            <v>690</v>
          </cell>
          <cell r="L509" t="str">
            <v>AC</v>
          </cell>
          <cell r="M509" t="str">
            <v>F</v>
          </cell>
          <cell r="N509" t="str">
            <v>N</v>
          </cell>
          <cell r="O509">
            <v>0</v>
          </cell>
          <cell r="P509" t="str">
            <v>4850-NDB-304B</v>
          </cell>
          <cell r="Q509" t="str">
            <v>C</v>
          </cell>
          <cell r="S509">
            <v>80</v>
          </cell>
          <cell r="T509">
            <v>100</v>
          </cell>
          <cell r="X509">
            <v>1</v>
          </cell>
          <cell r="Y509">
            <v>0.85</v>
          </cell>
        </row>
        <row r="510">
          <cell r="A510" t="str">
            <v>PEU-2</v>
          </cell>
          <cell r="B510" t="str">
            <v>VDB-314</v>
          </cell>
          <cell r="C510" t="str">
            <v>HVAC Load 14</v>
          </cell>
          <cell r="D510">
            <v>0</v>
          </cell>
          <cell r="E510" t="str">
            <v>ISBL</v>
          </cell>
          <cell r="J510" t="str">
            <v>3</v>
          </cell>
          <cell r="K510">
            <v>690</v>
          </cell>
          <cell r="L510" t="str">
            <v>AC</v>
          </cell>
          <cell r="M510" t="str">
            <v>F</v>
          </cell>
          <cell r="N510" t="str">
            <v>N</v>
          </cell>
          <cell r="O510">
            <v>0</v>
          </cell>
          <cell r="P510" t="str">
            <v>4850-NDB-304B</v>
          </cell>
          <cell r="Q510" t="str">
            <v>C</v>
          </cell>
          <cell r="S510">
            <v>80</v>
          </cell>
          <cell r="T510">
            <v>100</v>
          </cell>
          <cell r="X510">
            <v>1</v>
          </cell>
          <cell r="Y510">
            <v>0.85</v>
          </cell>
        </row>
        <row r="511">
          <cell r="A511" t="str">
            <v>PEU-2</v>
          </cell>
          <cell r="B511" t="str">
            <v>VDB-315</v>
          </cell>
          <cell r="C511" t="str">
            <v>HVAC Load 15</v>
          </cell>
          <cell r="D511">
            <v>0</v>
          </cell>
          <cell r="E511" t="str">
            <v>ISBL</v>
          </cell>
          <cell r="J511" t="str">
            <v>3</v>
          </cell>
          <cell r="K511">
            <v>690</v>
          </cell>
          <cell r="L511" t="str">
            <v>AC</v>
          </cell>
          <cell r="M511" t="str">
            <v>F</v>
          </cell>
          <cell r="N511" t="str">
            <v>N</v>
          </cell>
          <cell r="O511">
            <v>0</v>
          </cell>
          <cell r="P511" t="str">
            <v>4850-NDB-304B</v>
          </cell>
          <cell r="Q511" t="str">
            <v>C</v>
          </cell>
          <cell r="S511">
            <v>80</v>
          </cell>
          <cell r="T511">
            <v>100</v>
          </cell>
          <cell r="X511">
            <v>1</v>
          </cell>
          <cell r="Y511">
            <v>0.85</v>
          </cell>
        </row>
        <row r="512">
          <cell r="A512" t="str">
            <v>PEU-2</v>
          </cell>
          <cell r="B512" t="str">
            <v>VDB-316</v>
          </cell>
          <cell r="C512" t="str">
            <v>HVAC Load 16</v>
          </cell>
          <cell r="D512">
            <v>0</v>
          </cell>
          <cell r="E512" t="str">
            <v>ISBL</v>
          </cell>
          <cell r="J512" t="str">
            <v>3</v>
          </cell>
          <cell r="K512">
            <v>690</v>
          </cell>
          <cell r="L512" t="str">
            <v>AC</v>
          </cell>
          <cell r="M512" t="str">
            <v>F</v>
          </cell>
          <cell r="N512" t="str">
            <v>N</v>
          </cell>
          <cell r="O512">
            <v>0</v>
          </cell>
          <cell r="P512" t="str">
            <v>4850-NDB-304B</v>
          </cell>
          <cell r="Q512" t="str">
            <v>C</v>
          </cell>
          <cell r="S512">
            <v>80</v>
          </cell>
          <cell r="T512">
            <v>100</v>
          </cell>
          <cell r="X512">
            <v>1</v>
          </cell>
          <cell r="Y512">
            <v>0.85</v>
          </cell>
        </row>
        <row r="513">
          <cell r="A513" t="str">
            <v>PEU-2</v>
          </cell>
          <cell r="B513" t="str">
            <v>VDB-317</v>
          </cell>
          <cell r="C513" t="str">
            <v>HVAC Load 17</v>
          </cell>
          <cell r="D513">
            <v>0</v>
          </cell>
          <cell r="E513" t="str">
            <v>ISBL</v>
          </cell>
          <cell r="J513" t="str">
            <v>3</v>
          </cell>
          <cell r="K513">
            <v>690</v>
          </cell>
          <cell r="L513" t="str">
            <v>AC</v>
          </cell>
          <cell r="M513" t="str">
            <v>F</v>
          </cell>
          <cell r="N513" t="str">
            <v>N</v>
          </cell>
          <cell r="O513">
            <v>0</v>
          </cell>
          <cell r="P513" t="str">
            <v>4850-NDB-304B</v>
          </cell>
          <cell r="Q513" t="str">
            <v>C</v>
          </cell>
          <cell r="S513">
            <v>80</v>
          </cell>
          <cell r="T513">
            <v>100</v>
          </cell>
          <cell r="X513">
            <v>1</v>
          </cell>
          <cell r="Y513">
            <v>0.85</v>
          </cell>
        </row>
        <row r="514">
          <cell r="A514" t="str">
            <v>PEU-2</v>
          </cell>
          <cell r="B514" t="str">
            <v>VDB-318</v>
          </cell>
          <cell r="C514" t="str">
            <v>HVAC Load 18</v>
          </cell>
          <cell r="D514">
            <v>0</v>
          </cell>
          <cell r="E514" t="str">
            <v>ISBL</v>
          </cell>
          <cell r="J514" t="str">
            <v>3</v>
          </cell>
          <cell r="K514">
            <v>690</v>
          </cell>
          <cell r="L514" t="str">
            <v>AC</v>
          </cell>
          <cell r="M514" t="str">
            <v>F</v>
          </cell>
          <cell r="N514" t="str">
            <v>N</v>
          </cell>
          <cell r="O514">
            <v>0</v>
          </cell>
          <cell r="P514" t="str">
            <v>4850-NDB-304B</v>
          </cell>
          <cell r="Q514" t="str">
            <v>C</v>
          </cell>
          <cell r="S514">
            <v>80</v>
          </cell>
          <cell r="T514">
            <v>100</v>
          </cell>
          <cell r="X514">
            <v>1</v>
          </cell>
          <cell r="Y514">
            <v>0.85</v>
          </cell>
        </row>
        <row r="515">
          <cell r="A515" t="str">
            <v>PEU-2</v>
          </cell>
          <cell r="B515" t="str">
            <v>VDB-319</v>
          </cell>
          <cell r="C515" t="str">
            <v>HVAC Load 19</v>
          </cell>
          <cell r="D515">
            <v>0</v>
          </cell>
          <cell r="E515" t="str">
            <v>ISBL</v>
          </cell>
          <cell r="J515" t="str">
            <v>3</v>
          </cell>
          <cell r="K515">
            <v>690</v>
          </cell>
          <cell r="L515" t="str">
            <v>AC</v>
          </cell>
          <cell r="M515" t="str">
            <v>F</v>
          </cell>
          <cell r="N515" t="str">
            <v>N</v>
          </cell>
          <cell r="O515">
            <v>0</v>
          </cell>
          <cell r="P515" t="str">
            <v>4850-NDB-304B</v>
          </cell>
          <cell r="Q515" t="str">
            <v>C</v>
          </cell>
          <cell r="S515">
            <v>80</v>
          </cell>
          <cell r="T515">
            <v>100</v>
          </cell>
          <cell r="X515">
            <v>1</v>
          </cell>
          <cell r="Y515">
            <v>0.85</v>
          </cell>
        </row>
        <row r="516">
          <cell r="A516" t="str">
            <v>PEU-2</v>
          </cell>
          <cell r="B516" t="str">
            <v>VDB-320</v>
          </cell>
          <cell r="C516" t="str">
            <v>HVAC Load 20</v>
          </cell>
          <cell r="D516">
            <v>0</v>
          </cell>
          <cell r="E516" t="str">
            <v>ISBL</v>
          </cell>
          <cell r="J516" t="str">
            <v>3</v>
          </cell>
          <cell r="K516">
            <v>690</v>
          </cell>
          <cell r="L516" t="str">
            <v>AC</v>
          </cell>
          <cell r="M516" t="str">
            <v>F</v>
          </cell>
          <cell r="N516" t="str">
            <v>N</v>
          </cell>
          <cell r="O516">
            <v>0</v>
          </cell>
          <cell r="P516" t="str">
            <v>4850-NDB-304B</v>
          </cell>
          <cell r="Q516" t="str">
            <v>C</v>
          </cell>
          <cell r="S516">
            <v>24</v>
          </cell>
          <cell r="T516">
            <v>30</v>
          </cell>
          <cell r="X516">
            <v>1</v>
          </cell>
          <cell r="Y516">
            <v>0.85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 t="str">
            <v>ISBL</v>
          </cell>
          <cell r="J517" t="str">
            <v>3</v>
          </cell>
          <cell r="K517">
            <v>0</v>
          </cell>
          <cell r="L517" t="str">
            <v>AC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S517">
            <v>0</v>
          </cell>
          <cell r="T517">
            <v>0</v>
          </cell>
          <cell r="X517">
            <v>0</v>
          </cell>
          <cell r="Y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 t="str">
            <v>ISBL</v>
          </cell>
          <cell r="J518" t="str">
            <v>3</v>
          </cell>
          <cell r="K518">
            <v>0</v>
          </cell>
          <cell r="L518" t="str">
            <v>AC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S518">
            <v>0</v>
          </cell>
          <cell r="T518">
            <v>0</v>
          </cell>
          <cell r="X518">
            <v>0</v>
          </cell>
          <cell r="Y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 t="str">
            <v>ISBL</v>
          </cell>
          <cell r="J519" t="str">
            <v>3</v>
          </cell>
          <cell r="K519">
            <v>0</v>
          </cell>
          <cell r="L519" t="str">
            <v>AC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S519">
            <v>0</v>
          </cell>
          <cell r="T519">
            <v>0</v>
          </cell>
          <cell r="X519">
            <v>0</v>
          </cell>
          <cell r="Y519">
            <v>0</v>
          </cell>
        </row>
        <row r="520">
          <cell r="A520" t="str">
            <v>PEU-2</v>
          </cell>
          <cell r="B520" t="str">
            <v>VDB-321</v>
          </cell>
          <cell r="C520" t="str">
            <v>HVAC Load 21</v>
          </cell>
          <cell r="D520">
            <v>0</v>
          </cell>
          <cell r="E520" t="str">
            <v>ISBL</v>
          </cell>
          <cell r="J520" t="str">
            <v>3</v>
          </cell>
          <cell r="K520">
            <v>690</v>
          </cell>
          <cell r="L520" t="str">
            <v>AC</v>
          </cell>
          <cell r="M520" t="str">
            <v>F</v>
          </cell>
          <cell r="N520" t="str">
            <v>N</v>
          </cell>
          <cell r="O520">
            <v>0</v>
          </cell>
          <cell r="P520" t="str">
            <v>4850-NDB-305A</v>
          </cell>
          <cell r="Q520" t="str">
            <v>C</v>
          </cell>
          <cell r="S520">
            <v>80</v>
          </cell>
          <cell r="T520">
            <v>100</v>
          </cell>
          <cell r="X520">
            <v>1</v>
          </cell>
          <cell r="Y520">
            <v>0.85</v>
          </cell>
        </row>
        <row r="521">
          <cell r="A521" t="str">
            <v>PEU-2</v>
          </cell>
          <cell r="B521" t="str">
            <v>VDB-322</v>
          </cell>
          <cell r="C521" t="str">
            <v>HVAC Load 22</v>
          </cell>
          <cell r="D521">
            <v>0</v>
          </cell>
          <cell r="E521" t="str">
            <v>ISBL</v>
          </cell>
          <cell r="J521" t="str">
            <v>3</v>
          </cell>
          <cell r="K521">
            <v>690</v>
          </cell>
          <cell r="L521" t="str">
            <v>AC</v>
          </cell>
          <cell r="M521" t="str">
            <v>F</v>
          </cell>
          <cell r="N521" t="str">
            <v>N</v>
          </cell>
          <cell r="O521">
            <v>0</v>
          </cell>
          <cell r="P521" t="str">
            <v>4850-NDB-305A</v>
          </cell>
          <cell r="Q521" t="str">
            <v>C</v>
          </cell>
          <cell r="S521">
            <v>80</v>
          </cell>
          <cell r="T521">
            <v>100</v>
          </cell>
          <cell r="X521">
            <v>1</v>
          </cell>
          <cell r="Y521">
            <v>0.85</v>
          </cell>
        </row>
        <row r="522">
          <cell r="A522" t="str">
            <v>PEU-2</v>
          </cell>
          <cell r="B522" t="str">
            <v>VDB-323</v>
          </cell>
          <cell r="C522" t="str">
            <v>HVAC Load 23</v>
          </cell>
          <cell r="D522">
            <v>0</v>
          </cell>
          <cell r="E522" t="str">
            <v>ISBL</v>
          </cell>
          <cell r="J522" t="str">
            <v>3</v>
          </cell>
          <cell r="K522">
            <v>690</v>
          </cell>
          <cell r="L522" t="str">
            <v>AC</v>
          </cell>
          <cell r="M522" t="str">
            <v>F</v>
          </cell>
          <cell r="N522" t="str">
            <v>N</v>
          </cell>
          <cell r="O522">
            <v>0</v>
          </cell>
          <cell r="P522" t="str">
            <v>4850-NDB-305A</v>
          </cell>
          <cell r="Q522" t="str">
            <v>C</v>
          </cell>
          <cell r="S522">
            <v>80</v>
          </cell>
          <cell r="T522">
            <v>100</v>
          </cell>
          <cell r="X522">
            <v>1</v>
          </cell>
          <cell r="Y522">
            <v>0.85</v>
          </cell>
        </row>
        <row r="523">
          <cell r="A523" t="str">
            <v>PEU-2</v>
          </cell>
          <cell r="B523" t="str">
            <v>VDB-324</v>
          </cell>
          <cell r="C523" t="str">
            <v>HVAC Load 24</v>
          </cell>
          <cell r="D523">
            <v>0</v>
          </cell>
          <cell r="E523" t="str">
            <v>ISBL</v>
          </cell>
          <cell r="J523" t="str">
            <v>3</v>
          </cell>
          <cell r="K523">
            <v>690</v>
          </cell>
          <cell r="L523" t="str">
            <v>AC</v>
          </cell>
          <cell r="M523" t="str">
            <v>F</v>
          </cell>
          <cell r="N523" t="str">
            <v>N</v>
          </cell>
          <cell r="O523">
            <v>0</v>
          </cell>
          <cell r="P523" t="str">
            <v>4850-NDB-305A</v>
          </cell>
          <cell r="Q523" t="str">
            <v>C</v>
          </cell>
          <cell r="S523">
            <v>80</v>
          </cell>
          <cell r="T523">
            <v>100</v>
          </cell>
          <cell r="X523">
            <v>1</v>
          </cell>
          <cell r="Y523">
            <v>0.85</v>
          </cell>
        </row>
        <row r="524">
          <cell r="A524" t="str">
            <v>PEU-2</v>
          </cell>
          <cell r="B524" t="str">
            <v>VDB-325</v>
          </cell>
          <cell r="C524" t="str">
            <v>HVAC Load 25</v>
          </cell>
          <cell r="D524">
            <v>0</v>
          </cell>
          <cell r="E524" t="str">
            <v>ISBL</v>
          </cell>
          <cell r="J524" t="str">
            <v>3</v>
          </cell>
          <cell r="K524">
            <v>690</v>
          </cell>
          <cell r="L524" t="str">
            <v>AC</v>
          </cell>
          <cell r="M524" t="str">
            <v>F</v>
          </cell>
          <cell r="N524" t="str">
            <v>N</v>
          </cell>
          <cell r="O524">
            <v>0</v>
          </cell>
          <cell r="P524" t="str">
            <v>4850-NDB-305A</v>
          </cell>
          <cell r="Q524" t="str">
            <v>C</v>
          </cell>
          <cell r="S524">
            <v>80</v>
          </cell>
          <cell r="T524">
            <v>100</v>
          </cell>
          <cell r="X524">
            <v>1</v>
          </cell>
          <cell r="Y524">
            <v>0.85</v>
          </cell>
        </row>
        <row r="525">
          <cell r="A525" t="str">
            <v>PEU-2</v>
          </cell>
          <cell r="B525" t="str">
            <v>VDB-326</v>
          </cell>
          <cell r="C525" t="str">
            <v>HVAC Load 26</v>
          </cell>
          <cell r="D525">
            <v>0</v>
          </cell>
          <cell r="E525" t="str">
            <v>ISBL</v>
          </cell>
          <cell r="J525" t="str">
            <v>3</v>
          </cell>
          <cell r="K525">
            <v>690</v>
          </cell>
          <cell r="L525" t="str">
            <v>AC</v>
          </cell>
          <cell r="M525" t="str">
            <v>F</v>
          </cell>
          <cell r="N525" t="str">
            <v>N</v>
          </cell>
          <cell r="O525">
            <v>0</v>
          </cell>
          <cell r="P525" t="str">
            <v>4850-NDB-305A</v>
          </cell>
          <cell r="Q525" t="str">
            <v>C</v>
          </cell>
          <cell r="S525">
            <v>80</v>
          </cell>
          <cell r="T525">
            <v>100</v>
          </cell>
          <cell r="X525">
            <v>1</v>
          </cell>
          <cell r="Y525">
            <v>0.85</v>
          </cell>
        </row>
        <row r="526">
          <cell r="A526" t="str">
            <v>PEU-2</v>
          </cell>
          <cell r="B526" t="str">
            <v>VDB-327</v>
          </cell>
          <cell r="C526" t="str">
            <v>HVAC Load 27</v>
          </cell>
          <cell r="D526">
            <v>0</v>
          </cell>
          <cell r="E526" t="str">
            <v>ISBL</v>
          </cell>
          <cell r="J526" t="str">
            <v>3</v>
          </cell>
          <cell r="K526">
            <v>690</v>
          </cell>
          <cell r="L526" t="str">
            <v>AC</v>
          </cell>
          <cell r="M526" t="str">
            <v>F</v>
          </cell>
          <cell r="N526" t="str">
            <v>N</v>
          </cell>
          <cell r="O526">
            <v>0</v>
          </cell>
          <cell r="P526" t="str">
            <v>4850-NDB-305A</v>
          </cell>
          <cell r="Q526" t="str">
            <v>C</v>
          </cell>
          <cell r="S526">
            <v>80</v>
          </cell>
          <cell r="T526">
            <v>100</v>
          </cell>
          <cell r="X526">
            <v>1</v>
          </cell>
          <cell r="Y526">
            <v>0.85</v>
          </cell>
        </row>
        <row r="527">
          <cell r="A527" t="str">
            <v>PEU-2</v>
          </cell>
          <cell r="B527" t="str">
            <v>VDB-328</v>
          </cell>
          <cell r="C527" t="str">
            <v>HVAC Load 28</v>
          </cell>
          <cell r="D527">
            <v>0</v>
          </cell>
          <cell r="E527" t="str">
            <v>ISBL</v>
          </cell>
          <cell r="J527" t="str">
            <v>3</v>
          </cell>
          <cell r="K527">
            <v>690</v>
          </cell>
          <cell r="L527" t="str">
            <v>AC</v>
          </cell>
          <cell r="M527" t="str">
            <v>F</v>
          </cell>
          <cell r="N527" t="str">
            <v>N</v>
          </cell>
          <cell r="O527">
            <v>0</v>
          </cell>
          <cell r="P527" t="str">
            <v>4850-NDB-305A</v>
          </cell>
          <cell r="Q527" t="str">
            <v>C</v>
          </cell>
          <cell r="S527">
            <v>80</v>
          </cell>
          <cell r="T527">
            <v>100</v>
          </cell>
          <cell r="X527">
            <v>1</v>
          </cell>
          <cell r="Y527">
            <v>0.85</v>
          </cell>
        </row>
        <row r="528">
          <cell r="A528" t="str">
            <v>PEU-2</v>
          </cell>
          <cell r="B528" t="str">
            <v>VDB-329</v>
          </cell>
          <cell r="C528" t="str">
            <v>HVAC Load 29</v>
          </cell>
          <cell r="D528">
            <v>0</v>
          </cell>
          <cell r="E528" t="str">
            <v>ISBL</v>
          </cell>
          <cell r="J528" t="str">
            <v>3</v>
          </cell>
          <cell r="K528">
            <v>690</v>
          </cell>
          <cell r="L528" t="str">
            <v>AC</v>
          </cell>
          <cell r="M528" t="str">
            <v>F</v>
          </cell>
          <cell r="N528" t="str">
            <v>N</v>
          </cell>
          <cell r="O528">
            <v>0</v>
          </cell>
          <cell r="P528" t="str">
            <v>4850-NDB-305A</v>
          </cell>
          <cell r="Q528" t="str">
            <v>C</v>
          </cell>
          <cell r="S528">
            <v>80</v>
          </cell>
          <cell r="T528">
            <v>100</v>
          </cell>
          <cell r="X528">
            <v>1</v>
          </cell>
          <cell r="Y528">
            <v>0.85</v>
          </cell>
        </row>
        <row r="529">
          <cell r="A529" t="str">
            <v>PEU-2</v>
          </cell>
          <cell r="B529" t="str">
            <v>VDB-330</v>
          </cell>
          <cell r="C529" t="str">
            <v>HVAC Load 30</v>
          </cell>
          <cell r="D529">
            <v>0</v>
          </cell>
          <cell r="E529" t="str">
            <v>ISBL</v>
          </cell>
          <cell r="J529" t="str">
            <v>3</v>
          </cell>
          <cell r="K529">
            <v>690</v>
          </cell>
          <cell r="L529" t="str">
            <v>AC</v>
          </cell>
          <cell r="M529" t="str">
            <v>F</v>
          </cell>
          <cell r="N529" t="str">
            <v>N</v>
          </cell>
          <cell r="O529">
            <v>0</v>
          </cell>
          <cell r="P529" t="str">
            <v>4850-NDB-305A</v>
          </cell>
          <cell r="Q529" t="str">
            <v>C</v>
          </cell>
          <cell r="S529">
            <v>24</v>
          </cell>
          <cell r="T529">
            <v>30</v>
          </cell>
          <cell r="X529">
            <v>1</v>
          </cell>
          <cell r="Y529">
            <v>0.85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 t="str">
            <v>ISBL</v>
          </cell>
          <cell r="J530" t="str">
            <v>3</v>
          </cell>
          <cell r="K530">
            <v>0</v>
          </cell>
          <cell r="L530" t="str">
            <v>AC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S530">
            <v>0</v>
          </cell>
          <cell r="T530">
            <v>0</v>
          </cell>
          <cell r="X530">
            <v>0</v>
          </cell>
          <cell r="Y530">
            <v>0</v>
          </cell>
        </row>
        <row r="531">
          <cell r="A531" t="str">
            <v>PEU-2</v>
          </cell>
          <cell r="B531" t="str">
            <v>VDB-331</v>
          </cell>
          <cell r="C531" t="str">
            <v>HVAC Load 31</v>
          </cell>
          <cell r="D531">
            <v>0</v>
          </cell>
          <cell r="E531" t="str">
            <v>ISBL</v>
          </cell>
          <cell r="J531" t="str">
            <v>3</v>
          </cell>
          <cell r="K531">
            <v>690</v>
          </cell>
          <cell r="L531" t="str">
            <v>AC</v>
          </cell>
          <cell r="M531" t="str">
            <v>F</v>
          </cell>
          <cell r="N531" t="str">
            <v>N</v>
          </cell>
          <cell r="O531">
            <v>0</v>
          </cell>
          <cell r="P531" t="str">
            <v>4850-NDB-305B</v>
          </cell>
          <cell r="Q531" t="str">
            <v>C</v>
          </cell>
          <cell r="S531">
            <v>80</v>
          </cell>
          <cell r="T531">
            <v>100</v>
          </cell>
          <cell r="X531">
            <v>1</v>
          </cell>
          <cell r="Y531">
            <v>0.85</v>
          </cell>
        </row>
        <row r="532">
          <cell r="A532" t="str">
            <v>PEU-2</v>
          </cell>
          <cell r="B532" t="str">
            <v>VDB-332</v>
          </cell>
          <cell r="C532" t="str">
            <v>HVAC Load 32</v>
          </cell>
          <cell r="D532">
            <v>0</v>
          </cell>
          <cell r="E532" t="str">
            <v>ISBL</v>
          </cell>
          <cell r="J532" t="str">
            <v>3</v>
          </cell>
          <cell r="K532">
            <v>690</v>
          </cell>
          <cell r="L532" t="str">
            <v>AC</v>
          </cell>
          <cell r="M532" t="str">
            <v>F</v>
          </cell>
          <cell r="N532" t="str">
            <v>N</v>
          </cell>
          <cell r="O532">
            <v>0</v>
          </cell>
          <cell r="P532" t="str">
            <v>4850-NDB-305B</v>
          </cell>
          <cell r="Q532" t="str">
            <v>C</v>
          </cell>
          <cell r="S532">
            <v>80</v>
          </cell>
          <cell r="T532">
            <v>100</v>
          </cell>
          <cell r="X532">
            <v>1</v>
          </cell>
          <cell r="Y532">
            <v>0.85</v>
          </cell>
        </row>
        <row r="533">
          <cell r="A533" t="str">
            <v>PEU-2</v>
          </cell>
          <cell r="B533" t="str">
            <v>VDB-333</v>
          </cell>
          <cell r="C533" t="str">
            <v>HVAC Load 33</v>
          </cell>
          <cell r="D533">
            <v>0</v>
          </cell>
          <cell r="E533" t="str">
            <v>ISBL</v>
          </cell>
          <cell r="J533" t="str">
            <v>3</v>
          </cell>
          <cell r="K533">
            <v>690</v>
          </cell>
          <cell r="L533" t="str">
            <v>AC</v>
          </cell>
          <cell r="M533" t="str">
            <v>F</v>
          </cell>
          <cell r="N533" t="str">
            <v>N</v>
          </cell>
          <cell r="O533">
            <v>0</v>
          </cell>
          <cell r="P533" t="str">
            <v>4850-NDB-305B</v>
          </cell>
          <cell r="Q533" t="str">
            <v>C</v>
          </cell>
          <cell r="S533">
            <v>80</v>
          </cell>
          <cell r="T533">
            <v>100</v>
          </cell>
          <cell r="X533">
            <v>1</v>
          </cell>
          <cell r="Y533">
            <v>0.85</v>
          </cell>
        </row>
        <row r="534">
          <cell r="A534" t="str">
            <v>PEU-2</v>
          </cell>
          <cell r="B534" t="str">
            <v>VDB-334</v>
          </cell>
          <cell r="C534" t="str">
            <v>HVAC Load 34</v>
          </cell>
          <cell r="D534">
            <v>0</v>
          </cell>
          <cell r="E534" t="str">
            <v>ISBL</v>
          </cell>
          <cell r="J534" t="str">
            <v>3</v>
          </cell>
          <cell r="K534">
            <v>690</v>
          </cell>
          <cell r="L534" t="str">
            <v>AC</v>
          </cell>
          <cell r="M534" t="str">
            <v>F</v>
          </cell>
          <cell r="N534" t="str">
            <v>N</v>
          </cell>
          <cell r="O534">
            <v>0</v>
          </cell>
          <cell r="P534" t="str">
            <v>4850-NDB-305B</v>
          </cell>
          <cell r="Q534" t="str">
            <v>C</v>
          </cell>
          <cell r="S534">
            <v>80</v>
          </cell>
          <cell r="T534">
            <v>100</v>
          </cell>
          <cell r="X534">
            <v>1</v>
          </cell>
          <cell r="Y534">
            <v>0.85</v>
          </cell>
        </row>
        <row r="535">
          <cell r="A535" t="str">
            <v>PEU-2</v>
          </cell>
          <cell r="B535" t="str">
            <v>VDB-335</v>
          </cell>
          <cell r="C535" t="str">
            <v>HVAC Load 35</v>
          </cell>
          <cell r="D535">
            <v>0</v>
          </cell>
          <cell r="E535" t="str">
            <v>ISBL</v>
          </cell>
          <cell r="J535" t="str">
            <v>3</v>
          </cell>
          <cell r="K535">
            <v>690</v>
          </cell>
          <cell r="L535" t="str">
            <v>AC</v>
          </cell>
          <cell r="M535" t="str">
            <v>F</v>
          </cell>
          <cell r="N535" t="str">
            <v>N</v>
          </cell>
          <cell r="O535">
            <v>0</v>
          </cell>
          <cell r="P535" t="str">
            <v>4850-NDB-305B</v>
          </cell>
          <cell r="Q535" t="str">
            <v>C</v>
          </cell>
          <cell r="S535">
            <v>80</v>
          </cell>
          <cell r="T535">
            <v>100</v>
          </cell>
          <cell r="X535">
            <v>1</v>
          </cell>
          <cell r="Y535">
            <v>0.85</v>
          </cell>
        </row>
        <row r="536">
          <cell r="A536" t="str">
            <v>PEU-2</v>
          </cell>
          <cell r="B536" t="str">
            <v>VDB-336</v>
          </cell>
          <cell r="C536" t="str">
            <v>HVAC Load 36</v>
          </cell>
          <cell r="D536">
            <v>0</v>
          </cell>
          <cell r="E536" t="str">
            <v>ISBL</v>
          </cell>
          <cell r="J536" t="str">
            <v>3</v>
          </cell>
          <cell r="K536">
            <v>690</v>
          </cell>
          <cell r="L536" t="str">
            <v>AC</v>
          </cell>
          <cell r="M536" t="str">
            <v>F</v>
          </cell>
          <cell r="N536" t="str">
            <v>N</v>
          </cell>
          <cell r="O536">
            <v>0</v>
          </cell>
          <cell r="P536" t="str">
            <v>4850-NDB-305B</v>
          </cell>
          <cell r="Q536" t="str">
            <v>C</v>
          </cell>
          <cell r="S536">
            <v>80</v>
          </cell>
          <cell r="T536">
            <v>100</v>
          </cell>
          <cell r="X536">
            <v>1</v>
          </cell>
          <cell r="Y536">
            <v>0.85</v>
          </cell>
        </row>
        <row r="537">
          <cell r="A537" t="str">
            <v>PEU-2</v>
          </cell>
          <cell r="B537" t="str">
            <v>VDB-337</v>
          </cell>
          <cell r="C537" t="str">
            <v>HVAC Load 37</v>
          </cell>
          <cell r="D537">
            <v>0</v>
          </cell>
          <cell r="E537" t="str">
            <v>ISBL</v>
          </cell>
          <cell r="J537" t="str">
            <v>3</v>
          </cell>
          <cell r="K537">
            <v>690</v>
          </cell>
          <cell r="L537" t="str">
            <v>AC</v>
          </cell>
          <cell r="M537" t="str">
            <v>F</v>
          </cell>
          <cell r="N537" t="str">
            <v>N</v>
          </cell>
          <cell r="O537">
            <v>0</v>
          </cell>
          <cell r="P537" t="str">
            <v>4850-NDB-305B</v>
          </cell>
          <cell r="Q537" t="str">
            <v>C</v>
          </cell>
          <cell r="S537">
            <v>80</v>
          </cell>
          <cell r="T537">
            <v>100</v>
          </cell>
          <cell r="X537">
            <v>1</v>
          </cell>
          <cell r="Y537">
            <v>0.85</v>
          </cell>
        </row>
        <row r="538">
          <cell r="A538" t="str">
            <v>PEU-2</v>
          </cell>
          <cell r="B538" t="str">
            <v>VDB-338</v>
          </cell>
          <cell r="C538" t="str">
            <v>HVAC Load 38</v>
          </cell>
          <cell r="D538">
            <v>0</v>
          </cell>
          <cell r="E538" t="str">
            <v>ISBL</v>
          </cell>
          <cell r="J538" t="str">
            <v>3</v>
          </cell>
          <cell r="K538">
            <v>690</v>
          </cell>
          <cell r="L538" t="str">
            <v>AC</v>
          </cell>
          <cell r="M538" t="str">
            <v>F</v>
          </cell>
          <cell r="N538" t="str">
            <v>N</v>
          </cell>
          <cell r="O538">
            <v>0</v>
          </cell>
          <cell r="P538" t="str">
            <v>4850-NDB-305B</v>
          </cell>
          <cell r="Q538" t="str">
            <v>C</v>
          </cell>
          <cell r="S538">
            <v>80</v>
          </cell>
          <cell r="T538">
            <v>100</v>
          </cell>
          <cell r="X538">
            <v>1</v>
          </cell>
          <cell r="Y538">
            <v>0.85</v>
          </cell>
        </row>
        <row r="539">
          <cell r="A539" t="str">
            <v>PEU-2</v>
          </cell>
          <cell r="B539" t="str">
            <v>VDB-339</v>
          </cell>
          <cell r="C539" t="str">
            <v>HVAC Load 39</v>
          </cell>
          <cell r="D539">
            <v>0</v>
          </cell>
          <cell r="E539" t="str">
            <v>ISBL</v>
          </cell>
          <cell r="J539" t="str">
            <v>3</v>
          </cell>
          <cell r="K539">
            <v>690</v>
          </cell>
          <cell r="L539" t="str">
            <v>AC</v>
          </cell>
          <cell r="M539" t="str">
            <v>F</v>
          </cell>
          <cell r="N539" t="str">
            <v>N</v>
          </cell>
          <cell r="O539">
            <v>0</v>
          </cell>
          <cell r="P539" t="str">
            <v>4850-NDB-305B</v>
          </cell>
          <cell r="Q539" t="str">
            <v>C</v>
          </cell>
          <cell r="S539">
            <v>80</v>
          </cell>
          <cell r="T539">
            <v>100</v>
          </cell>
          <cell r="X539">
            <v>1</v>
          </cell>
          <cell r="Y539">
            <v>0.85</v>
          </cell>
        </row>
        <row r="540">
          <cell r="A540" t="str">
            <v>PEU-2</v>
          </cell>
          <cell r="B540" t="str">
            <v>VDB-340</v>
          </cell>
          <cell r="C540" t="str">
            <v>HVAC Load 40</v>
          </cell>
          <cell r="D540">
            <v>0</v>
          </cell>
          <cell r="E540" t="str">
            <v>ISBL</v>
          </cell>
          <cell r="J540" t="str">
            <v>3</v>
          </cell>
          <cell r="K540">
            <v>690</v>
          </cell>
          <cell r="L540" t="str">
            <v>AC</v>
          </cell>
          <cell r="M540" t="str">
            <v>F</v>
          </cell>
          <cell r="N540" t="str">
            <v>N</v>
          </cell>
          <cell r="O540">
            <v>0</v>
          </cell>
          <cell r="P540" t="str">
            <v>4850-NDB-305B</v>
          </cell>
          <cell r="Q540" t="str">
            <v>C</v>
          </cell>
          <cell r="S540">
            <v>24</v>
          </cell>
          <cell r="T540">
            <v>30</v>
          </cell>
          <cell r="X540">
            <v>1</v>
          </cell>
          <cell r="Y540">
            <v>0.85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 t="str">
            <v>ISBL</v>
          </cell>
          <cell r="J541" t="str">
            <v>3</v>
          </cell>
          <cell r="K541">
            <v>0</v>
          </cell>
          <cell r="L541" t="str">
            <v>AC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S541">
            <v>0</v>
          </cell>
          <cell r="T541">
            <v>0</v>
          </cell>
          <cell r="X541">
            <v>0</v>
          </cell>
          <cell r="Y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 t="str">
            <v>ISBL</v>
          </cell>
          <cell r="J542" t="str">
            <v>3</v>
          </cell>
          <cell r="K542">
            <v>0</v>
          </cell>
          <cell r="L542" t="str">
            <v>AC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S542">
            <v>0</v>
          </cell>
          <cell r="T542">
            <v>0</v>
          </cell>
          <cell r="X542">
            <v>0</v>
          </cell>
          <cell r="Y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 t="str">
            <v>ISBL</v>
          </cell>
          <cell r="J543" t="str">
            <v>3</v>
          </cell>
          <cell r="K543">
            <v>0</v>
          </cell>
          <cell r="L543" t="str">
            <v>AC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S543">
            <v>0</v>
          </cell>
          <cell r="T543">
            <v>0</v>
          </cell>
          <cell r="X543">
            <v>0</v>
          </cell>
          <cell r="Y543">
            <v>0</v>
          </cell>
        </row>
        <row r="544">
          <cell r="A544" t="str">
            <v>LAO</v>
          </cell>
          <cell r="B544" t="str">
            <v>VDB-341</v>
          </cell>
          <cell r="C544" t="str">
            <v>HVAC Load 1</v>
          </cell>
          <cell r="D544">
            <v>0</v>
          </cell>
          <cell r="E544" t="str">
            <v>ISBL</v>
          </cell>
          <cell r="J544" t="str">
            <v>3</v>
          </cell>
          <cell r="K544">
            <v>690</v>
          </cell>
          <cell r="L544" t="str">
            <v>AC</v>
          </cell>
          <cell r="M544" t="str">
            <v>F</v>
          </cell>
          <cell r="N544" t="str">
            <v>N</v>
          </cell>
          <cell r="O544">
            <v>0</v>
          </cell>
          <cell r="P544" t="str">
            <v>4850-NDB-306A</v>
          </cell>
          <cell r="Q544" t="str">
            <v>C</v>
          </cell>
          <cell r="S544">
            <v>80</v>
          </cell>
          <cell r="T544">
            <v>100</v>
          </cell>
          <cell r="X544">
            <v>1</v>
          </cell>
          <cell r="Y544">
            <v>0.85</v>
          </cell>
        </row>
        <row r="545">
          <cell r="A545" t="str">
            <v>LAO</v>
          </cell>
          <cell r="B545" t="str">
            <v>VDB-342</v>
          </cell>
          <cell r="C545" t="str">
            <v>HVAC Load 2</v>
          </cell>
          <cell r="D545">
            <v>0</v>
          </cell>
          <cell r="E545" t="str">
            <v>ISBL</v>
          </cell>
          <cell r="J545" t="str">
            <v>3</v>
          </cell>
          <cell r="K545">
            <v>690</v>
          </cell>
          <cell r="L545" t="str">
            <v>AC</v>
          </cell>
          <cell r="M545" t="str">
            <v>F</v>
          </cell>
          <cell r="N545" t="str">
            <v>N</v>
          </cell>
          <cell r="O545">
            <v>0</v>
          </cell>
          <cell r="P545" t="str">
            <v>4850-NDB-306B</v>
          </cell>
          <cell r="Q545" t="str">
            <v>C</v>
          </cell>
          <cell r="S545">
            <v>80</v>
          </cell>
          <cell r="T545">
            <v>100</v>
          </cell>
          <cell r="X545">
            <v>1</v>
          </cell>
          <cell r="Y545">
            <v>0.85</v>
          </cell>
        </row>
        <row r="546">
          <cell r="A546" t="str">
            <v>LAO</v>
          </cell>
          <cell r="B546" t="str">
            <v>VDB-343</v>
          </cell>
          <cell r="C546" t="str">
            <v>HVAC Load 3</v>
          </cell>
          <cell r="D546">
            <v>0</v>
          </cell>
          <cell r="E546" t="str">
            <v>ISBL</v>
          </cell>
          <cell r="J546" t="str">
            <v>3</v>
          </cell>
          <cell r="K546">
            <v>690</v>
          </cell>
          <cell r="L546" t="str">
            <v>AC</v>
          </cell>
          <cell r="M546" t="str">
            <v>F</v>
          </cell>
          <cell r="N546" t="str">
            <v>N</v>
          </cell>
          <cell r="O546">
            <v>0</v>
          </cell>
          <cell r="P546" t="str">
            <v>4850-NDB-306A</v>
          </cell>
          <cell r="Q546" t="str">
            <v>C</v>
          </cell>
          <cell r="S546">
            <v>80</v>
          </cell>
          <cell r="T546">
            <v>100</v>
          </cell>
          <cell r="X546">
            <v>1</v>
          </cell>
          <cell r="Y546">
            <v>0.85</v>
          </cell>
        </row>
        <row r="547">
          <cell r="A547" t="str">
            <v>LAO</v>
          </cell>
          <cell r="B547" t="str">
            <v>VDB-344</v>
          </cell>
          <cell r="C547" t="str">
            <v>HVAC Load 4</v>
          </cell>
          <cell r="D547">
            <v>0</v>
          </cell>
          <cell r="E547" t="str">
            <v>ISBL</v>
          </cell>
          <cell r="J547" t="str">
            <v>3</v>
          </cell>
          <cell r="K547">
            <v>690</v>
          </cell>
          <cell r="L547" t="str">
            <v>AC</v>
          </cell>
          <cell r="M547" t="str">
            <v>F</v>
          </cell>
          <cell r="N547" t="str">
            <v>N</v>
          </cell>
          <cell r="O547">
            <v>0</v>
          </cell>
          <cell r="P547" t="str">
            <v>4850-NDB-306B</v>
          </cell>
          <cell r="Q547" t="str">
            <v>C</v>
          </cell>
          <cell r="S547">
            <v>80</v>
          </cell>
          <cell r="T547">
            <v>100</v>
          </cell>
          <cell r="X547">
            <v>1</v>
          </cell>
          <cell r="Y547">
            <v>0.85</v>
          </cell>
        </row>
        <row r="548">
          <cell r="A548" t="str">
            <v>LAO</v>
          </cell>
          <cell r="B548" t="str">
            <v>VDB-345</v>
          </cell>
          <cell r="C548" t="str">
            <v>HVAC Load 5</v>
          </cell>
          <cell r="D548">
            <v>0</v>
          </cell>
          <cell r="E548" t="str">
            <v>ISBL</v>
          </cell>
          <cell r="J548" t="str">
            <v>3</v>
          </cell>
          <cell r="K548">
            <v>690</v>
          </cell>
          <cell r="L548" t="str">
            <v>AC</v>
          </cell>
          <cell r="M548" t="str">
            <v>F</v>
          </cell>
          <cell r="N548" t="str">
            <v>N</v>
          </cell>
          <cell r="O548">
            <v>0</v>
          </cell>
          <cell r="P548" t="str">
            <v>4850-NDB-306A</v>
          </cell>
          <cell r="Q548" t="str">
            <v>C</v>
          </cell>
          <cell r="S548">
            <v>80</v>
          </cell>
          <cell r="T548">
            <v>100</v>
          </cell>
          <cell r="X548">
            <v>1</v>
          </cell>
          <cell r="Y548">
            <v>0.85</v>
          </cell>
        </row>
        <row r="549">
          <cell r="A549" t="str">
            <v>LAO</v>
          </cell>
          <cell r="B549" t="str">
            <v>VDB-346</v>
          </cell>
          <cell r="C549" t="str">
            <v>HVAC Load 6</v>
          </cell>
          <cell r="D549">
            <v>0</v>
          </cell>
          <cell r="E549" t="str">
            <v>ISBL</v>
          </cell>
          <cell r="J549" t="str">
            <v>3</v>
          </cell>
          <cell r="K549">
            <v>690</v>
          </cell>
          <cell r="L549" t="str">
            <v>AC</v>
          </cell>
          <cell r="M549" t="str">
            <v>F</v>
          </cell>
          <cell r="N549" t="str">
            <v>N</v>
          </cell>
          <cell r="O549">
            <v>0</v>
          </cell>
          <cell r="P549" t="str">
            <v>4850-NDB-306B</v>
          </cell>
          <cell r="Q549" t="str">
            <v>C</v>
          </cell>
          <cell r="S549">
            <v>80</v>
          </cell>
          <cell r="T549">
            <v>100</v>
          </cell>
          <cell r="X549">
            <v>1</v>
          </cell>
          <cell r="Y549">
            <v>0.85</v>
          </cell>
        </row>
        <row r="550">
          <cell r="A550" t="str">
            <v>LAO</v>
          </cell>
          <cell r="B550" t="str">
            <v>VDB-347</v>
          </cell>
          <cell r="C550" t="str">
            <v>HVAC Load 7</v>
          </cell>
          <cell r="D550">
            <v>0</v>
          </cell>
          <cell r="E550" t="str">
            <v>ISBL</v>
          </cell>
          <cell r="J550" t="str">
            <v>3</v>
          </cell>
          <cell r="K550">
            <v>690</v>
          </cell>
          <cell r="L550" t="str">
            <v>AC</v>
          </cell>
          <cell r="M550" t="str">
            <v>F</v>
          </cell>
          <cell r="N550" t="str">
            <v>N</v>
          </cell>
          <cell r="O550">
            <v>0</v>
          </cell>
          <cell r="P550" t="str">
            <v>4850-NDB-306A</v>
          </cell>
          <cell r="Q550" t="str">
            <v>C</v>
          </cell>
          <cell r="S550">
            <v>80</v>
          </cell>
          <cell r="T550">
            <v>100</v>
          </cell>
          <cell r="X550">
            <v>1</v>
          </cell>
          <cell r="Y550">
            <v>0.85</v>
          </cell>
        </row>
        <row r="551">
          <cell r="A551" t="str">
            <v>LAO</v>
          </cell>
          <cell r="B551" t="str">
            <v>VDB-348</v>
          </cell>
          <cell r="C551" t="str">
            <v>HVAC Load 8</v>
          </cell>
          <cell r="D551">
            <v>0</v>
          </cell>
          <cell r="E551" t="str">
            <v>ISBL</v>
          </cell>
          <cell r="J551" t="str">
            <v>3</v>
          </cell>
          <cell r="K551">
            <v>690</v>
          </cell>
          <cell r="L551" t="str">
            <v>AC</v>
          </cell>
          <cell r="M551" t="str">
            <v>F</v>
          </cell>
          <cell r="N551" t="str">
            <v>N</v>
          </cell>
          <cell r="O551">
            <v>0</v>
          </cell>
          <cell r="P551" t="str">
            <v>4850-NDB-306B</v>
          </cell>
          <cell r="Q551" t="str">
            <v>C</v>
          </cell>
          <cell r="S551">
            <v>80</v>
          </cell>
          <cell r="T551">
            <v>100</v>
          </cell>
          <cell r="X551">
            <v>1</v>
          </cell>
          <cell r="Y551">
            <v>0.85</v>
          </cell>
        </row>
        <row r="552">
          <cell r="A552" t="str">
            <v>LAO</v>
          </cell>
          <cell r="B552" t="str">
            <v>VDB-349</v>
          </cell>
          <cell r="C552" t="str">
            <v>HVAC Load 9</v>
          </cell>
          <cell r="D552">
            <v>0</v>
          </cell>
          <cell r="E552" t="str">
            <v>ISBL</v>
          </cell>
          <cell r="J552" t="str">
            <v>3</v>
          </cell>
          <cell r="K552">
            <v>690</v>
          </cell>
          <cell r="L552" t="str">
            <v>AC</v>
          </cell>
          <cell r="M552" t="str">
            <v>F</v>
          </cell>
          <cell r="N552" t="str">
            <v>N</v>
          </cell>
          <cell r="O552">
            <v>0</v>
          </cell>
          <cell r="P552" t="str">
            <v>4850-NDB-306A</v>
          </cell>
          <cell r="Q552" t="str">
            <v>C</v>
          </cell>
          <cell r="S552">
            <v>80</v>
          </cell>
          <cell r="T552">
            <v>100</v>
          </cell>
          <cell r="X552">
            <v>1</v>
          </cell>
          <cell r="Y552">
            <v>0.85</v>
          </cell>
        </row>
        <row r="553">
          <cell r="A553" t="str">
            <v>LAO</v>
          </cell>
          <cell r="B553" t="str">
            <v>VDB-350</v>
          </cell>
          <cell r="C553" t="str">
            <v>HVAC Load 10</v>
          </cell>
          <cell r="D553">
            <v>0</v>
          </cell>
          <cell r="E553" t="str">
            <v>ISBL</v>
          </cell>
          <cell r="J553" t="str">
            <v>3</v>
          </cell>
          <cell r="K553">
            <v>690</v>
          </cell>
          <cell r="L553" t="str">
            <v>AC</v>
          </cell>
          <cell r="M553" t="str">
            <v>F</v>
          </cell>
          <cell r="N553" t="str">
            <v>N</v>
          </cell>
          <cell r="O553">
            <v>0</v>
          </cell>
          <cell r="P553" t="str">
            <v>4850-NDB-306B</v>
          </cell>
          <cell r="Q553" t="str">
            <v>C</v>
          </cell>
          <cell r="S553">
            <v>80</v>
          </cell>
          <cell r="T553">
            <v>100</v>
          </cell>
          <cell r="X553">
            <v>1</v>
          </cell>
          <cell r="Y553">
            <v>0.85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 t="str">
            <v>ISBL</v>
          </cell>
          <cell r="J554" t="str">
            <v>3</v>
          </cell>
          <cell r="K554">
            <v>0</v>
          </cell>
          <cell r="L554" t="str">
            <v>AC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S554">
            <v>0</v>
          </cell>
          <cell r="T554">
            <v>0</v>
          </cell>
          <cell r="X554">
            <v>0</v>
          </cell>
          <cell r="Y554">
            <v>0</v>
          </cell>
        </row>
        <row r="555">
          <cell r="A555" t="str">
            <v>LAO</v>
          </cell>
          <cell r="B555" t="str">
            <v>VDB-351</v>
          </cell>
          <cell r="C555" t="str">
            <v>HVAC Load 11</v>
          </cell>
          <cell r="D555">
            <v>0</v>
          </cell>
          <cell r="E555" t="str">
            <v>ISBL</v>
          </cell>
          <cell r="J555" t="str">
            <v>3</v>
          </cell>
          <cell r="K555">
            <v>690</v>
          </cell>
          <cell r="L555" t="str">
            <v>AC</v>
          </cell>
          <cell r="M555" t="str">
            <v>F</v>
          </cell>
          <cell r="N555" t="str">
            <v>N</v>
          </cell>
          <cell r="O555">
            <v>0</v>
          </cell>
          <cell r="P555" t="str">
            <v>4850-NDB-306A</v>
          </cell>
          <cell r="Q555" t="str">
            <v>C</v>
          </cell>
          <cell r="S555">
            <v>80</v>
          </cell>
          <cell r="T555">
            <v>100</v>
          </cell>
          <cell r="X555">
            <v>1</v>
          </cell>
          <cell r="Y555">
            <v>0.85</v>
          </cell>
        </row>
        <row r="556">
          <cell r="A556" t="str">
            <v>LAO</v>
          </cell>
          <cell r="B556" t="str">
            <v>VDB-352</v>
          </cell>
          <cell r="C556" t="str">
            <v>HVAC Load 12</v>
          </cell>
          <cell r="D556">
            <v>0</v>
          </cell>
          <cell r="E556" t="str">
            <v>ISBL</v>
          </cell>
          <cell r="J556" t="str">
            <v>3</v>
          </cell>
          <cell r="K556">
            <v>690</v>
          </cell>
          <cell r="L556" t="str">
            <v>AC</v>
          </cell>
          <cell r="M556" t="str">
            <v>F</v>
          </cell>
          <cell r="N556" t="str">
            <v>N</v>
          </cell>
          <cell r="O556">
            <v>0</v>
          </cell>
          <cell r="P556" t="str">
            <v>4850-NDB-306B</v>
          </cell>
          <cell r="Q556" t="str">
            <v>C</v>
          </cell>
          <cell r="S556">
            <v>80</v>
          </cell>
          <cell r="T556">
            <v>100</v>
          </cell>
          <cell r="X556">
            <v>1</v>
          </cell>
          <cell r="Y556">
            <v>0.85</v>
          </cell>
        </row>
        <row r="557">
          <cell r="A557" t="str">
            <v>LAO</v>
          </cell>
          <cell r="B557" t="str">
            <v>VDB-353</v>
          </cell>
          <cell r="C557" t="str">
            <v>HVAC Load 13</v>
          </cell>
          <cell r="D557">
            <v>0</v>
          </cell>
          <cell r="E557" t="str">
            <v>ISBL</v>
          </cell>
          <cell r="J557" t="str">
            <v>3</v>
          </cell>
          <cell r="K557">
            <v>690</v>
          </cell>
          <cell r="L557" t="str">
            <v>AC</v>
          </cell>
          <cell r="M557" t="str">
            <v>F</v>
          </cell>
          <cell r="N557" t="str">
            <v>N</v>
          </cell>
          <cell r="O557">
            <v>0</v>
          </cell>
          <cell r="P557" t="str">
            <v>4850-NDB-306A</v>
          </cell>
          <cell r="Q557" t="str">
            <v>C</v>
          </cell>
          <cell r="S557">
            <v>80</v>
          </cell>
          <cell r="T557">
            <v>100</v>
          </cell>
          <cell r="X557">
            <v>1</v>
          </cell>
          <cell r="Y557">
            <v>0.85</v>
          </cell>
        </row>
        <row r="558">
          <cell r="A558" t="str">
            <v>LAO</v>
          </cell>
          <cell r="B558" t="str">
            <v>VDB-354</v>
          </cell>
          <cell r="C558" t="str">
            <v>HVAC Load 14</v>
          </cell>
          <cell r="D558">
            <v>0</v>
          </cell>
          <cell r="E558" t="str">
            <v>ISBL</v>
          </cell>
          <cell r="J558" t="str">
            <v>3</v>
          </cell>
          <cell r="K558">
            <v>690</v>
          </cell>
          <cell r="L558" t="str">
            <v>AC</v>
          </cell>
          <cell r="M558" t="str">
            <v>F</v>
          </cell>
          <cell r="N558" t="str">
            <v>N</v>
          </cell>
          <cell r="O558">
            <v>0</v>
          </cell>
          <cell r="P558" t="str">
            <v>4850-NDB-306B</v>
          </cell>
          <cell r="Q558" t="str">
            <v>C</v>
          </cell>
          <cell r="S558">
            <v>80</v>
          </cell>
          <cell r="T558">
            <v>100</v>
          </cell>
          <cell r="X558">
            <v>1</v>
          </cell>
          <cell r="Y558">
            <v>0.85</v>
          </cell>
        </row>
        <row r="559">
          <cell r="A559" t="str">
            <v>LAO</v>
          </cell>
          <cell r="B559" t="str">
            <v>VDB-355</v>
          </cell>
          <cell r="C559" t="str">
            <v>HVAC Load 15</v>
          </cell>
          <cell r="D559">
            <v>0</v>
          </cell>
          <cell r="E559" t="str">
            <v>ISBL</v>
          </cell>
          <cell r="J559" t="str">
            <v>3</v>
          </cell>
          <cell r="K559">
            <v>690</v>
          </cell>
          <cell r="L559" t="str">
            <v>AC</v>
          </cell>
          <cell r="M559" t="str">
            <v>F</v>
          </cell>
          <cell r="N559" t="str">
            <v>N</v>
          </cell>
          <cell r="O559">
            <v>0</v>
          </cell>
          <cell r="P559" t="str">
            <v>4850-NDB-306A</v>
          </cell>
          <cell r="Q559" t="str">
            <v>C</v>
          </cell>
          <cell r="S559">
            <v>80</v>
          </cell>
          <cell r="T559">
            <v>100</v>
          </cell>
          <cell r="X559">
            <v>1</v>
          </cell>
          <cell r="Y559">
            <v>0.85</v>
          </cell>
        </row>
        <row r="560">
          <cell r="A560" t="str">
            <v>LAO</v>
          </cell>
          <cell r="B560" t="str">
            <v>VDB-356</v>
          </cell>
          <cell r="C560" t="str">
            <v>HVAC Load 16</v>
          </cell>
          <cell r="D560">
            <v>0</v>
          </cell>
          <cell r="E560" t="str">
            <v>ISBL</v>
          </cell>
          <cell r="J560" t="str">
            <v>3</v>
          </cell>
          <cell r="K560">
            <v>690</v>
          </cell>
          <cell r="L560" t="str">
            <v>AC</v>
          </cell>
          <cell r="M560" t="str">
            <v>F</v>
          </cell>
          <cell r="N560" t="str">
            <v>N</v>
          </cell>
          <cell r="O560">
            <v>0</v>
          </cell>
          <cell r="P560" t="str">
            <v>4850-NDB-306B</v>
          </cell>
          <cell r="Q560" t="str">
            <v>C</v>
          </cell>
          <cell r="S560">
            <v>80</v>
          </cell>
          <cell r="T560">
            <v>100</v>
          </cell>
          <cell r="X560">
            <v>1</v>
          </cell>
          <cell r="Y560">
            <v>0.85</v>
          </cell>
        </row>
        <row r="561">
          <cell r="A561" t="str">
            <v>LAO</v>
          </cell>
          <cell r="B561" t="str">
            <v>VDB-357</v>
          </cell>
          <cell r="C561" t="str">
            <v>HVAC Load 17</v>
          </cell>
          <cell r="D561">
            <v>0</v>
          </cell>
          <cell r="E561" t="str">
            <v>ISBL</v>
          </cell>
          <cell r="J561" t="str">
            <v>3</v>
          </cell>
          <cell r="K561">
            <v>690</v>
          </cell>
          <cell r="L561" t="str">
            <v>AC</v>
          </cell>
          <cell r="M561" t="str">
            <v>F</v>
          </cell>
          <cell r="N561" t="str">
            <v>N</v>
          </cell>
          <cell r="O561">
            <v>0</v>
          </cell>
          <cell r="P561" t="str">
            <v>4850-NDB-306A</v>
          </cell>
          <cell r="Q561" t="str">
            <v>C</v>
          </cell>
          <cell r="S561">
            <v>80</v>
          </cell>
          <cell r="T561">
            <v>100</v>
          </cell>
          <cell r="X561">
            <v>1</v>
          </cell>
          <cell r="Y561">
            <v>0.85</v>
          </cell>
        </row>
        <row r="562">
          <cell r="A562" t="str">
            <v>LAO</v>
          </cell>
          <cell r="B562" t="str">
            <v>VDB-358</v>
          </cell>
          <cell r="C562" t="str">
            <v>HVAC Load 18</v>
          </cell>
          <cell r="D562">
            <v>0</v>
          </cell>
          <cell r="E562" t="str">
            <v>ISBL</v>
          </cell>
          <cell r="J562" t="str">
            <v>3</v>
          </cell>
          <cell r="K562">
            <v>690</v>
          </cell>
          <cell r="L562" t="str">
            <v>AC</v>
          </cell>
          <cell r="M562" t="str">
            <v>F</v>
          </cell>
          <cell r="N562" t="str">
            <v>N</v>
          </cell>
          <cell r="O562">
            <v>0</v>
          </cell>
          <cell r="P562" t="str">
            <v>4850-NDB-306B</v>
          </cell>
          <cell r="Q562" t="str">
            <v>C</v>
          </cell>
          <cell r="S562">
            <v>80</v>
          </cell>
          <cell r="T562">
            <v>100</v>
          </cell>
          <cell r="X562">
            <v>1</v>
          </cell>
          <cell r="Y562">
            <v>0.85</v>
          </cell>
        </row>
        <row r="563">
          <cell r="A563" t="str">
            <v>LAO</v>
          </cell>
          <cell r="B563" t="str">
            <v>VDB-359</v>
          </cell>
          <cell r="C563" t="str">
            <v>HVAC Load 19</v>
          </cell>
          <cell r="D563">
            <v>0</v>
          </cell>
          <cell r="E563" t="str">
            <v>ISBL</v>
          </cell>
          <cell r="J563" t="str">
            <v>3</v>
          </cell>
          <cell r="K563">
            <v>690</v>
          </cell>
          <cell r="L563" t="str">
            <v>AC</v>
          </cell>
          <cell r="M563" t="str">
            <v>F</v>
          </cell>
          <cell r="N563" t="str">
            <v>N</v>
          </cell>
          <cell r="O563">
            <v>0</v>
          </cell>
          <cell r="P563" t="str">
            <v>4850-NDB-306A</v>
          </cell>
          <cell r="Q563" t="str">
            <v>C</v>
          </cell>
          <cell r="S563">
            <v>40</v>
          </cell>
          <cell r="T563">
            <v>50</v>
          </cell>
          <cell r="X563">
            <v>1</v>
          </cell>
          <cell r="Y563">
            <v>0.85</v>
          </cell>
        </row>
        <row r="564">
          <cell r="A564" t="str">
            <v>LAO</v>
          </cell>
          <cell r="B564" t="str">
            <v>VDB-360</v>
          </cell>
          <cell r="C564" t="str">
            <v>HVAC Load 20</v>
          </cell>
          <cell r="D564">
            <v>0</v>
          </cell>
          <cell r="E564" t="str">
            <v>ISBL</v>
          </cell>
          <cell r="J564" t="str">
            <v>3</v>
          </cell>
          <cell r="K564">
            <v>690</v>
          </cell>
          <cell r="L564" t="str">
            <v>AC</v>
          </cell>
          <cell r="M564" t="str">
            <v>F</v>
          </cell>
          <cell r="N564" t="str">
            <v>N</v>
          </cell>
          <cell r="O564">
            <v>0</v>
          </cell>
          <cell r="P564" t="str">
            <v>4850-NDB-306B</v>
          </cell>
          <cell r="Q564" t="str">
            <v>C</v>
          </cell>
          <cell r="S564">
            <v>40</v>
          </cell>
          <cell r="T564">
            <v>50</v>
          </cell>
          <cell r="X564">
            <v>1</v>
          </cell>
          <cell r="Y564">
            <v>0.85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 t="str">
            <v>ISBL</v>
          </cell>
          <cell r="J565" t="str">
            <v>3</v>
          </cell>
          <cell r="K565">
            <v>0</v>
          </cell>
          <cell r="L565" t="str">
            <v>AC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S565">
            <v>0</v>
          </cell>
          <cell r="T565">
            <v>0</v>
          </cell>
          <cell r="X565">
            <v>0</v>
          </cell>
          <cell r="Y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 t="str">
            <v>ISBL</v>
          </cell>
          <cell r="J566" t="str">
            <v>3</v>
          </cell>
          <cell r="K566">
            <v>0</v>
          </cell>
          <cell r="L566" t="str">
            <v>AC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T566">
            <v>0</v>
          </cell>
          <cell r="X566">
            <v>0</v>
          </cell>
          <cell r="Y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 t="str">
            <v>ISBL</v>
          </cell>
          <cell r="J567" t="str">
            <v>3</v>
          </cell>
          <cell r="K567">
            <v>0</v>
          </cell>
          <cell r="L567" t="str">
            <v>AC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S567">
            <v>0</v>
          </cell>
          <cell r="T567">
            <v>0</v>
          </cell>
          <cell r="X567">
            <v>0</v>
          </cell>
          <cell r="Y567">
            <v>0</v>
          </cell>
        </row>
        <row r="568">
          <cell r="A568" t="str">
            <v>LAO</v>
          </cell>
          <cell r="B568" t="str">
            <v>VDB-361</v>
          </cell>
          <cell r="C568" t="str">
            <v>HVAC Load 21</v>
          </cell>
          <cell r="D568">
            <v>0</v>
          </cell>
          <cell r="E568" t="str">
            <v>ISBL</v>
          </cell>
          <cell r="J568" t="str">
            <v>3</v>
          </cell>
          <cell r="K568">
            <v>690</v>
          </cell>
          <cell r="L568" t="str">
            <v>AC</v>
          </cell>
          <cell r="M568" t="str">
            <v>F</v>
          </cell>
          <cell r="N568" t="str">
            <v>N</v>
          </cell>
          <cell r="O568">
            <v>0</v>
          </cell>
          <cell r="P568" t="str">
            <v>4850-NDB-307A</v>
          </cell>
          <cell r="Q568" t="str">
            <v>C</v>
          </cell>
          <cell r="S568">
            <v>80</v>
          </cell>
          <cell r="T568">
            <v>100</v>
          </cell>
          <cell r="X568">
            <v>1</v>
          </cell>
          <cell r="Y568">
            <v>0.85</v>
          </cell>
        </row>
        <row r="569">
          <cell r="A569" t="str">
            <v>LAO</v>
          </cell>
          <cell r="B569" t="str">
            <v>VDB-362</v>
          </cell>
          <cell r="C569" t="str">
            <v>HVAC Load 22</v>
          </cell>
          <cell r="D569">
            <v>0</v>
          </cell>
          <cell r="E569" t="str">
            <v>ISBL</v>
          </cell>
          <cell r="J569" t="str">
            <v>3</v>
          </cell>
          <cell r="K569">
            <v>690</v>
          </cell>
          <cell r="L569" t="str">
            <v>AC</v>
          </cell>
          <cell r="M569" t="str">
            <v>F</v>
          </cell>
          <cell r="N569" t="str">
            <v>N</v>
          </cell>
          <cell r="O569">
            <v>0</v>
          </cell>
          <cell r="P569" t="str">
            <v>4850-NDB-307B</v>
          </cell>
          <cell r="Q569" t="str">
            <v>C</v>
          </cell>
          <cell r="S569">
            <v>80</v>
          </cell>
          <cell r="T569">
            <v>100</v>
          </cell>
          <cell r="X569">
            <v>1</v>
          </cell>
          <cell r="Y569">
            <v>0.85</v>
          </cell>
        </row>
        <row r="570">
          <cell r="A570" t="str">
            <v>LAO</v>
          </cell>
          <cell r="B570" t="str">
            <v>VDB-363</v>
          </cell>
          <cell r="C570" t="str">
            <v>HVAC Load 23</v>
          </cell>
          <cell r="D570">
            <v>0</v>
          </cell>
          <cell r="E570" t="str">
            <v>ISBL</v>
          </cell>
          <cell r="J570" t="str">
            <v>3</v>
          </cell>
          <cell r="K570">
            <v>690</v>
          </cell>
          <cell r="L570" t="str">
            <v>AC</v>
          </cell>
          <cell r="M570" t="str">
            <v>F</v>
          </cell>
          <cell r="N570" t="str">
            <v>N</v>
          </cell>
          <cell r="O570">
            <v>0</v>
          </cell>
          <cell r="P570" t="str">
            <v>4850-NDB-307A</v>
          </cell>
          <cell r="Q570" t="str">
            <v>C</v>
          </cell>
          <cell r="S570">
            <v>80</v>
          </cell>
          <cell r="T570">
            <v>100</v>
          </cell>
          <cell r="X570">
            <v>1</v>
          </cell>
          <cell r="Y570">
            <v>0.85</v>
          </cell>
        </row>
        <row r="571">
          <cell r="A571" t="str">
            <v>LAO</v>
          </cell>
          <cell r="B571" t="str">
            <v>VDB-364</v>
          </cell>
          <cell r="C571" t="str">
            <v>HVAC Load 24</v>
          </cell>
          <cell r="D571">
            <v>0</v>
          </cell>
          <cell r="E571" t="str">
            <v>ISBL</v>
          </cell>
          <cell r="J571" t="str">
            <v>3</v>
          </cell>
          <cell r="K571">
            <v>690</v>
          </cell>
          <cell r="L571" t="str">
            <v>AC</v>
          </cell>
          <cell r="M571" t="str">
            <v>F</v>
          </cell>
          <cell r="N571" t="str">
            <v>N</v>
          </cell>
          <cell r="O571">
            <v>0</v>
          </cell>
          <cell r="P571" t="str">
            <v>4850-NDB-307B</v>
          </cell>
          <cell r="Q571" t="str">
            <v>C</v>
          </cell>
          <cell r="S571">
            <v>80</v>
          </cell>
          <cell r="T571">
            <v>100</v>
          </cell>
          <cell r="X571">
            <v>1</v>
          </cell>
          <cell r="Y571">
            <v>0.85</v>
          </cell>
        </row>
        <row r="572">
          <cell r="A572" t="str">
            <v>LAO</v>
          </cell>
          <cell r="B572" t="str">
            <v>VDB-365</v>
          </cell>
          <cell r="C572" t="str">
            <v>HVAC Load 25</v>
          </cell>
          <cell r="D572">
            <v>0</v>
          </cell>
          <cell r="E572" t="str">
            <v>ISBL</v>
          </cell>
          <cell r="J572" t="str">
            <v>3</v>
          </cell>
          <cell r="K572">
            <v>690</v>
          </cell>
          <cell r="L572" t="str">
            <v>AC</v>
          </cell>
          <cell r="M572" t="str">
            <v>F</v>
          </cell>
          <cell r="N572" t="str">
            <v>N</v>
          </cell>
          <cell r="O572">
            <v>0</v>
          </cell>
          <cell r="P572" t="str">
            <v>4850-NDB-307A</v>
          </cell>
          <cell r="Q572" t="str">
            <v>C</v>
          </cell>
          <cell r="S572">
            <v>80</v>
          </cell>
          <cell r="T572">
            <v>100</v>
          </cell>
          <cell r="X572">
            <v>1</v>
          </cell>
          <cell r="Y572">
            <v>0.85</v>
          </cell>
        </row>
        <row r="573">
          <cell r="A573" t="str">
            <v>LAO</v>
          </cell>
          <cell r="B573" t="str">
            <v>VDB-366</v>
          </cell>
          <cell r="C573" t="str">
            <v>HVAC Load 26</v>
          </cell>
          <cell r="D573">
            <v>0</v>
          </cell>
          <cell r="E573" t="str">
            <v>ISBL</v>
          </cell>
          <cell r="J573" t="str">
            <v>3</v>
          </cell>
          <cell r="K573">
            <v>690</v>
          </cell>
          <cell r="L573" t="str">
            <v>AC</v>
          </cell>
          <cell r="M573" t="str">
            <v>F</v>
          </cell>
          <cell r="N573" t="str">
            <v>N</v>
          </cell>
          <cell r="O573">
            <v>0</v>
          </cell>
          <cell r="P573" t="str">
            <v>4850-NDB-307B</v>
          </cell>
          <cell r="Q573" t="str">
            <v>C</v>
          </cell>
          <cell r="S573">
            <v>80</v>
          </cell>
          <cell r="T573">
            <v>100</v>
          </cell>
          <cell r="X573">
            <v>1</v>
          </cell>
          <cell r="Y573">
            <v>0.85</v>
          </cell>
        </row>
        <row r="574">
          <cell r="A574" t="str">
            <v>LAO</v>
          </cell>
          <cell r="B574" t="str">
            <v>VDB-367</v>
          </cell>
          <cell r="C574" t="str">
            <v>HVAC Load 27</v>
          </cell>
          <cell r="D574">
            <v>0</v>
          </cell>
          <cell r="E574" t="str">
            <v>ISBL</v>
          </cell>
          <cell r="J574" t="str">
            <v>3</v>
          </cell>
          <cell r="K574">
            <v>690</v>
          </cell>
          <cell r="L574" t="str">
            <v>AC</v>
          </cell>
          <cell r="M574" t="str">
            <v>F</v>
          </cell>
          <cell r="N574" t="str">
            <v>N</v>
          </cell>
          <cell r="O574">
            <v>0</v>
          </cell>
          <cell r="P574" t="str">
            <v>4850-NDB-307A</v>
          </cell>
          <cell r="Q574" t="str">
            <v>C</v>
          </cell>
          <cell r="S574">
            <v>80</v>
          </cell>
          <cell r="T574">
            <v>100</v>
          </cell>
          <cell r="X574">
            <v>1</v>
          </cell>
          <cell r="Y574">
            <v>0.85</v>
          </cell>
        </row>
        <row r="575">
          <cell r="A575" t="str">
            <v>LAO</v>
          </cell>
          <cell r="B575" t="str">
            <v>VDB-368</v>
          </cell>
          <cell r="C575" t="str">
            <v>HVAC Load 28</v>
          </cell>
          <cell r="D575">
            <v>0</v>
          </cell>
          <cell r="E575" t="str">
            <v>ISBL</v>
          </cell>
          <cell r="J575" t="str">
            <v>3</v>
          </cell>
          <cell r="K575">
            <v>690</v>
          </cell>
          <cell r="L575" t="str">
            <v>AC</v>
          </cell>
          <cell r="M575" t="str">
            <v>F</v>
          </cell>
          <cell r="N575" t="str">
            <v>N</v>
          </cell>
          <cell r="O575">
            <v>0</v>
          </cell>
          <cell r="P575" t="str">
            <v>4850-NDB-307B</v>
          </cell>
          <cell r="Q575" t="str">
            <v>C</v>
          </cell>
          <cell r="S575">
            <v>80</v>
          </cell>
          <cell r="T575">
            <v>100</v>
          </cell>
          <cell r="X575">
            <v>1</v>
          </cell>
          <cell r="Y575">
            <v>0.85</v>
          </cell>
        </row>
        <row r="576">
          <cell r="A576" t="str">
            <v>LAO</v>
          </cell>
          <cell r="B576" t="str">
            <v>VDB-369</v>
          </cell>
          <cell r="C576" t="str">
            <v>HVAC Load 29</v>
          </cell>
          <cell r="D576">
            <v>0</v>
          </cell>
          <cell r="E576" t="str">
            <v>ISBL</v>
          </cell>
          <cell r="J576" t="str">
            <v>3</v>
          </cell>
          <cell r="K576">
            <v>690</v>
          </cell>
          <cell r="L576" t="str">
            <v>AC</v>
          </cell>
          <cell r="M576" t="str">
            <v>F</v>
          </cell>
          <cell r="N576" t="str">
            <v>N</v>
          </cell>
          <cell r="O576">
            <v>0</v>
          </cell>
          <cell r="P576" t="str">
            <v>4850-NDB-307A</v>
          </cell>
          <cell r="Q576" t="str">
            <v>C</v>
          </cell>
          <cell r="S576">
            <v>80</v>
          </cell>
          <cell r="T576">
            <v>100</v>
          </cell>
          <cell r="X576">
            <v>1</v>
          </cell>
          <cell r="Y576">
            <v>0.85</v>
          </cell>
        </row>
        <row r="577">
          <cell r="A577">
            <v>0</v>
          </cell>
          <cell r="B577" t="str">
            <v>VDB-370</v>
          </cell>
          <cell r="C577" t="str">
            <v>HVAC Load 30</v>
          </cell>
          <cell r="D577">
            <v>0</v>
          </cell>
          <cell r="E577" t="str">
            <v>ISBL</v>
          </cell>
          <cell r="J577" t="str">
            <v>3</v>
          </cell>
          <cell r="K577">
            <v>690</v>
          </cell>
          <cell r="L577" t="str">
            <v>AC</v>
          </cell>
          <cell r="M577" t="str">
            <v>F</v>
          </cell>
          <cell r="N577" t="str">
            <v>N</v>
          </cell>
          <cell r="O577">
            <v>0</v>
          </cell>
          <cell r="P577" t="str">
            <v>4850-NDB-307B</v>
          </cell>
          <cell r="Q577" t="str">
            <v>C</v>
          </cell>
          <cell r="S577">
            <v>80</v>
          </cell>
          <cell r="T577">
            <v>100</v>
          </cell>
          <cell r="X577">
            <v>1</v>
          </cell>
          <cell r="Y577">
            <v>0.85</v>
          </cell>
        </row>
        <row r="578">
          <cell r="A578" t="str">
            <v>LAO</v>
          </cell>
          <cell r="B578">
            <v>0</v>
          </cell>
          <cell r="C578">
            <v>0</v>
          </cell>
          <cell r="D578">
            <v>0</v>
          </cell>
          <cell r="E578" t="str">
            <v>ISBL</v>
          </cell>
          <cell r="J578" t="str">
            <v>3</v>
          </cell>
          <cell r="K578">
            <v>0</v>
          </cell>
          <cell r="L578" t="str">
            <v>AC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S578">
            <v>0</v>
          </cell>
          <cell r="T578">
            <v>0</v>
          </cell>
          <cell r="X578">
            <v>0</v>
          </cell>
          <cell r="Y578">
            <v>0</v>
          </cell>
        </row>
        <row r="579">
          <cell r="A579" t="str">
            <v>LAO</v>
          </cell>
          <cell r="B579" t="str">
            <v>VDB-371</v>
          </cell>
          <cell r="C579" t="str">
            <v>HVAC Load 31</v>
          </cell>
          <cell r="D579">
            <v>0</v>
          </cell>
          <cell r="E579" t="str">
            <v>ISBL</v>
          </cell>
          <cell r="J579" t="str">
            <v>3</v>
          </cell>
          <cell r="K579">
            <v>690</v>
          </cell>
          <cell r="L579" t="str">
            <v>AC</v>
          </cell>
          <cell r="M579" t="str">
            <v>F</v>
          </cell>
          <cell r="N579" t="str">
            <v>N</v>
          </cell>
          <cell r="O579">
            <v>0</v>
          </cell>
          <cell r="P579" t="str">
            <v>4850-NDB-307A</v>
          </cell>
          <cell r="Q579" t="str">
            <v>C</v>
          </cell>
          <cell r="S579">
            <v>80</v>
          </cell>
          <cell r="T579">
            <v>100</v>
          </cell>
          <cell r="X579">
            <v>1</v>
          </cell>
          <cell r="Y579">
            <v>0.85</v>
          </cell>
        </row>
        <row r="580">
          <cell r="A580" t="str">
            <v>LAO</v>
          </cell>
          <cell r="B580" t="str">
            <v>VDB-372</v>
          </cell>
          <cell r="C580" t="str">
            <v>HVAC Load 32</v>
          </cell>
          <cell r="D580">
            <v>0</v>
          </cell>
          <cell r="E580" t="str">
            <v>ISBL</v>
          </cell>
          <cell r="J580" t="str">
            <v>3</v>
          </cell>
          <cell r="K580">
            <v>690</v>
          </cell>
          <cell r="L580" t="str">
            <v>AC</v>
          </cell>
          <cell r="M580" t="str">
            <v>F</v>
          </cell>
          <cell r="N580" t="str">
            <v>N</v>
          </cell>
          <cell r="O580">
            <v>0</v>
          </cell>
          <cell r="P580" t="str">
            <v>4850-NDB-307B</v>
          </cell>
          <cell r="Q580" t="str">
            <v>C</v>
          </cell>
          <cell r="S580">
            <v>80</v>
          </cell>
          <cell r="T580">
            <v>100</v>
          </cell>
          <cell r="X580">
            <v>1</v>
          </cell>
          <cell r="Y580">
            <v>0.85</v>
          </cell>
        </row>
        <row r="581">
          <cell r="A581" t="str">
            <v>LAO</v>
          </cell>
          <cell r="B581" t="str">
            <v>VDB-373</v>
          </cell>
          <cell r="C581" t="str">
            <v>HVAC Load 33</v>
          </cell>
          <cell r="D581">
            <v>0</v>
          </cell>
          <cell r="E581" t="str">
            <v>ISBL</v>
          </cell>
          <cell r="J581" t="str">
            <v>3</v>
          </cell>
          <cell r="K581">
            <v>690</v>
          </cell>
          <cell r="L581" t="str">
            <v>AC</v>
          </cell>
          <cell r="M581" t="str">
            <v>F</v>
          </cell>
          <cell r="N581" t="str">
            <v>N</v>
          </cell>
          <cell r="O581">
            <v>0</v>
          </cell>
          <cell r="P581" t="str">
            <v>4850-NDB-307A</v>
          </cell>
          <cell r="Q581" t="str">
            <v>C</v>
          </cell>
          <cell r="S581">
            <v>80</v>
          </cell>
          <cell r="T581">
            <v>100</v>
          </cell>
          <cell r="X581">
            <v>1</v>
          </cell>
          <cell r="Y581">
            <v>0.85</v>
          </cell>
        </row>
        <row r="582">
          <cell r="A582" t="str">
            <v>LAO</v>
          </cell>
          <cell r="B582" t="str">
            <v>VDB-374</v>
          </cell>
          <cell r="C582" t="str">
            <v>HVAC Load 34</v>
          </cell>
          <cell r="D582">
            <v>0</v>
          </cell>
          <cell r="E582" t="str">
            <v>ISBL</v>
          </cell>
          <cell r="J582" t="str">
            <v>3</v>
          </cell>
          <cell r="K582">
            <v>690</v>
          </cell>
          <cell r="L582" t="str">
            <v>AC</v>
          </cell>
          <cell r="M582" t="str">
            <v>F</v>
          </cell>
          <cell r="N582" t="str">
            <v>N</v>
          </cell>
          <cell r="O582">
            <v>0</v>
          </cell>
          <cell r="P582" t="str">
            <v>4850-NDB-307B</v>
          </cell>
          <cell r="Q582" t="str">
            <v>C</v>
          </cell>
          <cell r="S582">
            <v>80</v>
          </cell>
          <cell r="T582">
            <v>100</v>
          </cell>
          <cell r="X582">
            <v>1</v>
          </cell>
          <cell r="Y582">
            <v>0.85</v>
          </cell>
        </row>
        <row r="583">
          <cell r="A583" t="str">
            <v>LAO</v>
          </cell>
          <cell r="B583" t="str">
            <v>VDB-373</v>
          </cell>
          <cell r="C583" t="str">
            <v>HVAC Load 33</v>
          </cell>
          <cell r="D583">
            <v>0</v>
          </cell>
          <cell r="E583" t="str">
            <v>ISBL</v>
          </cell>
          <cell r="J583" t="str">
            <v>3</v>
          </cell>
          <cell r="K583">
            <v>690</v>
          </cell>
          <cell r="L583" t="str">
            <v>AC</v>
          </cell>
          <cell r="M583" t="str">
            <v>F</v>
          </cell>
          <cell r="N583" t="str">
            <v>N</v>
          </cell>
          <cell r="O583">
            <v>0</v>
          </cell>
          <cell r="P583" t="str">
            <v>4850-NDB-307A</v>
          </cell>
          <cell r="Q583" t="str">
            <v>C</v>
          </cell>
          <cell r="S583">
            <v>80</v>
          </cell>
          <cell r="T583">
            <v>100</v>
          </cell>
          <cell r="X583">
            <v>1</v>
          </cell>
          <cell r="Y583">
            <v>0.85</v>
          </cell>
        </row>
        <row r="584">
          <cell r="A584" t="str">
            <v>LAO</v>
          </cell>
          <cell r="B584" t="str">
            <v>VDB-374</v>
          </cell>
          <cell r="C584" t="str">
            <v>HVAC Load 34</v>
          </cell>
          <cell r="D584">
            <v>0</v>
          </cell>
          <cell r="E584" t="str">
            <v>ISBL</v>
          </cell>
          <cell r="J584" t="str">
            <v>3</v>
          </cell>
          <cell r="K584">
            <v>690</v>
          </cell>
          <cell r="L584" t="str">
            <v>AC</v>
          </cell>
          <cell r="M584" t="str">
            <v>F</v>
          </cell>
          <cell r="N584" t="str">
            <v>N</v>
          </cell>
          <cell r="O584">
            <v>0</v>
          </cell>
          <cell r="P584" t="str">
            <v>4850-NDB-307B</v>
          </cell>
          <cell r="Q584" t="str">
            <v>C</v>
          </cell>
          <cell r="S584">
            <v>80</v>
          </cell>
          <cell r="T584">
            <v>100</v>
          </cell>
          <cell r="X584">
            <v>1</v>
          </cell>
          <cell r="Y584">
            <v>0.85</v>
          </cell>
        </row>
        <row r="585">
          <cell r="A585" t="str">
            <v>LAO</v>
          </cell>
          <cell r="B585" t="str">
            <v>VDB-373</v>
          </cell>
          <cell r="C585" t="str">
            <v>HVAC Load 33</v>
          </cell>
          <cell r="D585">
            <v>0</v>
          </cell>
          <cell r="E585" t="str">
            <v>ISBL</v>
          </cell>
          <cell r="J585" t="str">
            <v>3</v>
          </cell>
          <cell r="K585">
            <v>690</v>
          </cell>
          <cell r="L585" t="str">
            <v>AC</v>
          </cell>
          <cell r="M585" t="str">
            <v>F</v>
          </cell>
          <cell r="N585" t="str">
            <v>N</v>
          </cell>
          <cell r="O585">
            <v>0</v>
          </cell>
          <cell r="P585" t="str">
            <v>4850-NDB-307A</v>
          </cell>
          <cell r="Q585" t="str">
            <v>C</v>
          </cell>
          <cell r="S585">
            <v>80</v>
          </cell>
          <cell r="T585">
            <v>100</v>
          </cell>
          <cell r="X585">
            <v>1</v>
          </cell>
          <cell r="Y585">
            <v>0.85</v>
          </cell>
        </row>
        <row r="586">
          <cell r="A586" t="str">
            <v>LAO</v>
          </cell>
          <cell r="B586" t="str">
            <v>VDB-374</v>
          </cell>
          <cell r="C586" t="str">
            <v>HVAC Load 34</v>
          </cell>
          <cell r="D586">
            <v>0</v>
          </cell>
          <cell r="E586" t="str">
            <v>ISBL</v>
          </cell>
          <cell r="J586" t="str">
            <v>3</v>
          </cell>
          <cell r="K586">
            <v>690</v>
          </cell>
          <cell r="L586" t="str">
            <v>AC</v>
          </cell>
          <cell r="M586" t="str">
            <v>F</v>
          </cell>
          <cell r="N586" t="str">
            <v>N</v>
          </cell>
          <cell r="O586">
            <v>0</v>
          </cell>
          <cell r="P586" t="str">
            <v>4850-NDB-307B</v>
          </cell>
          <cell r="Q586" t="str">
            <v>C</v>
          </cell>
          <cell r="S586">
            <v>80</v>
          </cell>
          <cell r="T586">
            <v>100</v>
          </cell>
          <cell r="X586">
            <v>1</v>
          </cell>
          <cell r="Y586">
            <v>0.85</v>
          </cell>
        </row>
        <row r="587">
          <cell r="A587" t="str">
            <v>LAO</v>
          </cell>
          <cell r="B587" t="str">
            <v>VDB-375</v>
          </cell>
          <cell r="C587" t="str">
            <v>HVAC Load 35</v>
          </cell>
          <cell r="D587">
            <v>0</v>
          </cell>
          <cell r="E587" t="str">
            <v>ISBL</v>
          </cell>
          <cell r="J587" t="str">
            <v>3</v>
          </cell>
          <cell r="K587">
            <v>690</v>
          </cell>
          <cell r="L587" t="str">
            <v>AC</v>
          </cell>
          <cell r="M587" t="str">
            <v>F</v>
          </cell>
          <cell r="N587" t="str">
            <v>N</v>
          </cell>
          <cell r="O587">
            <v>0</v>
          </cell>
          <cell r="P587" t="str">
            <v>4850-NDB-307A</v>
          </cell>
          <cell r="Q587" t="str">
            <v>C</v>
          </cell>
          <cell r="S587">
            <v>68</v>
          </cell>
          <cell r="T587">
            <v>85</v>
          </cell>
          <cell r="X587">
            <v>1</v>
          </cell>
          <cell r="Y587">
            <v>0.85</v>
          </cell>
        </row>
        <row r="588">
          <cell r="A588" t="str">
            <v>LAO</v>
          </cell>
          <cell r="B588" t="str">
            <v>VDB-376</v>
          </cell>
          <cell r="C588" t="str">
            <v>HVAC Load 36</v>
          </cell>
          <cell r="D588">
            <v>0</v>
          </cell>
          <cell r="E588" t="str">
            <v>ISBL</v>
          </cell>
          <cell r="J588" t="str">
            <v>3</v>
          </cell>
          <cell r="K588">
            <v>690</v>
          </cell>
          <cell r="L588" t="str">
            <v>AC</v>
          </cell>
          <cell r="M588" t="str">
            <v>F</v>
          </cell>
          <cell r="N588" t="str">
            <v>N</v>
          </cell>
          <cell r="O588">
            <v>0</v>
          </cell>
          <cell r="P588" t="str">
            <v>4850-NDB-307B</v>
          </cell>
          <cell r="Q588" t="str">
            <v>C</v>
          </cell>
          <cell r="S588">
            <v>68</v>
          </cell>
          <cell r="T588">
            <v>85</v>
          </cell>
          <cell r="X588">
            <v>1</v>
          </cell>
          <cell r="Y588">
            <v>0.85</v>
          </cell>
        </row>
        <row r="589">
          <cell r="A589" t="str">
            <v>LAO</v>
          </cell>
          <cell r="B589" t="str">
            <v>VDB-362</v>
          </cell>
          <cell r="C589" t="str">
            <v>HVAC Load 22</v>
          </cell>
          <cell r="D589">
            <v>0</v>
          </cell>
          <cell r="E589" t="str">
            <v>ISBL</v>
          </cell>
          <cell r="J589" t="str">
            <v>3</v>
          </cell>
          <cell r="K589" t="str">
            <v>C(MR)</v>
          </cell>
          <cell r="L589" t="str">
            <v>AC</v>
          </cell>
          <cell r="M589" t="str">
            <v>F</v>
          </cell>
          <cell r="N589" t="str">
            <v>N</v>
          </cell>
          <cell r="O589">
            <v>0</v>
          </cell>
          <cell r="P589" t="str">
            <v>4850-NDB-307B</v>
          </cell>
          <cell r="Q589" t="str">
            <v>C</v>
          </cell>
          <cell r="S589">
            <v>80</v>
          </cell>
          <cell r="T589">
            <v>100</v>
          </cell>
          <cell r="X589">
            <v>1</v>
          </cell>
          <cell r="Y589">
            <v>0.85</v>
          </cell>
        </row>
        <row r="590">
          <cell r="A590" t="str">
            <v>LAO</v>
          </cell>
          <cell r="B590" t="str">
            <v>VDB-363</v>
          </cell>
          <cell r="C590" t="str">
            <v>HVAC Load 23</v>
          </cell>
          <cell r="D590">
            <v>0</v>
          </cell>
          <cell r="E590" t="str">
            <v>ISBL</v>
          </cell>
          <cell r="J590" t="str">
            <v>3</v>
          </cell>
          <cell r="K590" t="str">
            <v>C(MR)</v>
          </cell>
          <cell r="L590" t="str">
            <v>AC</v>
          </cell>
          <cell r="M590" t="str">
            <v>F</v>
          </cell>
          <cell r="N590" t="str">
            <v>N</v>
          </cell>
          <cell r="O590">
            <v>0</v>
          </cell>
          <cell r="P590" t="str">
            <v>4850-NDB-307A</v>
          </cell>
          <cell r="Q590" t="str">
            <v>C</v>
          </cell>
          <cell r="S590">
            <v>80</v>
          </cell>
          <cell r="T590">
            <v>100</v>
          </cell>
          <cell r="X590">
            <v>1</v>
          </cell>
          <cell r="Y590">
            <v>0.85</v>
          </cell>
        </row>
        <row r="591">
          <cell r="A591" t="str">
            <v>LAO</v>
          </cell>
          <cell r="B591" t="str">
            <v>VDB-364</v>
          </cell>
          <cell r="C591" t="str">
            <v>HVAC Load 24</v>
          </cell>
          <cell r="D591">
            <v>0</v>
          </cell>
          <cell r="E591" t="str">
            <v>ISBL</v>
          </cell>
          <cell r="J591" t="str">
            <v>3</v>
          </cell>
          <cell r="K591" t="str">
            <v>C(MR)</v>
          </cell>
          <cell r="L591" t="str">
            <v>AC</v>
          </cell>
          <cell r="M591" t="str">
            <v>F</v>
          </cell>
          <cell r="N591" t="str">
            <v>N</v>
          </cell>
          <cell r="O591">
            <v>0</v>
          </cell>
          <cell r="P591" t="str">
            <v>4850-NDB-307B</v>
          </cell>
          <cell r="Q591" t="str">
            <v>C</v>
          </cell>
          <cell r="S591">
            <v>80</v>
          </cell>
          <cell r="T591">
            <v>100</v>
          </cell>
          <cell r="X591">
            <v>1</v>
          </cell>
          <cell r="Y591">
            <v>0.85</v>
          </cell>
        </row>
        <row r="592">
          <cell r="A592" t="str">
            <v>LAO</v>
          </cell>
          <cell r="B592" t="str">
            <v>VDB-365</v>
          </cell>
          <cell r="C592" t="str">
            <v>HVAC Load 25</v>
          </cell>
          <cell r="D592">
            <v>0</v>
          </cell>
          <cell r="E592" t="str">
            <v>ISBL</v>
          </cell>
          <cell r="J592" t="str">
            <v>3</v>
          </cell>
          <cell r="K592" t="str">
            <v>C(MR)</v>
          </cell>
          <cell r="L592" t="str">
            <v>AC</v>
          </cell>
          <cell r="M592" t="str">
            <v>F</v>
          </cell>
          <cell r="N592" t="str">
            <v>N</v>
          </cell>
          <cell r="O592">
            <v>0</v>
          </cell>
          <cell r="P592" t="str">
            <v>4850-NDB-307A</v>
          </cell>
          <cell r="Q592" t="str">
            <v>C</v>
          </cell>
          <cell r="S592">
            <v>80</v>
          </cell>
          <cell r="T592">
            <v>100</v>
          </cell>
          <cell r="X592">
            <v>1</v>
          </cell>
          <cell r="Y592">
            <v>0.85</v>
          </cell>
        </row>
        <row r="593">
          <cell r="A593" t="str">
            <v>LAO</v>
          </cell>
          <cell r="B593" t="str">
            <v>VDB-366</v>
          </cell>
          <cell r="C593" t="str">
            <v>HVAC Load 26</v>
          </cell>
          <cell r="D593">
            <v>0</v>
          </cell>
          <cell r="E593" t="str">
            <v>ISBL</v>
          </cell>
          <cell r="J593" t="str">
            <v>3</v>
          </cell>
          <cell r="K593" t="str">
            <v>C(MR)</v>
          </cell>
          <cell r="L593" t="str">
            <v>AC</v>
          </cell>
          <cell r="M593" t="str">
            <v>F</v>
          </cell>
          <cell r="N593" t="str">
            <v>N</v>
          </cell>
          <cell r="O593">
            <v>0</v>
          </cell>
          <cell r="P593" t="str">
            <v>4850-NDB-307B</v>
          </cell>
          <cell r="Q593" t="str">
            <v>C</v>
          </cell>
          <cell r="S593">
            <v>80</v>
          </cell>
          <cell r="T593">
            <v>100</v>
          </cell>
          <cell r="X593">
            <v>1</v>
          </cell>
          <cell r="Y593">
            <v>0.85</v>
          </cell>
        </row>
        <row r="594">
          <cell r="A594" t="str">
            <v>LAO</v>
          </cell>
          <cell r="B594" t="str">
            <v>VDB-367</v>
          </cell>
          <cell r="C594" t="str">
            <v>HVAC Load 27</v>
          </cell>
          <cell r="D594">
            <v>0</v>
          </cell>
          <cell r="E594" t="str">
            <v>ISBL</v>
          </cell>
          <cell r="J594" t="str">
            <v>3</v>
          </cell>
          <cell r="K594" t="str">
            <v>C(MR)</v>
          </cell>
          <cell r="L594" t="str">
            <v>AC</v>
          </cell>
          <cell r="M594" t="str">
            <v>F</v>
          </cell>
          <cell r="N594" t="str">
            <v>N</v>
          </cell>
          <cell r="O594">
            <v>0</v>
          </cell>
          <cell r="P594" t="str">
            <v>4850-NDB-307A</v>
          </cell>
          <cell r="Q594" t="str">
            <v>C</v>
          </cell>
          <cell r="S594">
            <v>80</v>
          </cell>
          <cell r="T594">
            <v>100</v>
          </cell>
          <cell r="X594">
            <v>1</v>
          </cell>
          <cell r="Y594">
            <v>0.85</v>
          </cell>
        </row>
        <row r="595">
          <cell r="A595" t="str">
            <v>LAO</v>
          </cell>
          <cell r="B595" t="str">
            <v>VDB-368</v>
          </cell>
          <cell r="C595" t="str">
            <v>HVAC Load 28</v>
          </cell>
          <cell r="D595">
            <v>0</v>
          </cell>
          <cell r="E595" t="str">
            <v>ISBL</v>
          </cell>
          <cell r="J595" t="str">
            <v>3</v>
          </cell>
          <cell r="K595" t="str">
            <v>C(MR)</v>
          </cell>
          <cell r="L595" t="str">
            <v>AC</v>
          </cell>
          <cell r="M595" t="str">
            <v>F</v>
          </cell>
          <cell r="N595" t="str">
            <v>N</v>
          </cell>
          <cell r="O595">
            <v>0</v>
          </cell>
          <cell r="P595" t="str">
            <v>4850-NDB-307B</v>
          </cell>
          <cell r="Q595" t="str">
            <v>C</v>
          </cell>
          <cell r="S595">
            <v>80</v>
          </cell>
          <cell r="T595">
            <v>100</v>
          </cell>
          <cell r="X595">
            <v>1</v>
          </cell>
          <cell r="Y595">
            <v>0.85</v>
          </cell>
        </row>
        <row r="596">
          <cell r="A596" t="str">
            <v>LAO</v>
          </cell>
          <cell r="B596" t="str">
            <v>VDB-369</v>
          </cell>
          <cell r="C596" t="str">
            <v>HVAC Load 29</v>
          </cell>
          <cell r="D596">
            <v>0</v>
          </cell>
          <cell r="E596" t="str">
            <v>ISBL</v>
          </cell>
          <cell r="J596" t="str">
            <v>3</v>
          </cell>
          <cell r="K596" t="str">
            <v>C(MR)</v>
          </cell>
          <cell r="L596" t="str">
            <v>AC</v>
          </cell>
          <cell r="M596" t="str">
            <v>F</v>
          </cell>
          <cell r="N596" t="str">
            <v>N</v>
          </cell>
          <cell r="O596">
            <v>0</v>
          </cell>
          <cell r="P596" t="str">
            <v>4850-NDB-307A</v>
          </cell>
          <cell r="Q596" t="str">
            <v>C</v>
          </cell>
          <cell r="S596">
            <v>80</v>
          </cell>
          <cell r="T596">
            <v>100</v>
          </cell>
          <cell r="X596">
            <v>1</v>
          </cell>
          <cell r="Y596">
            <v>0.85</v>
          </cell>
        </row>
        <row r="597">
          <cell r="A597">
            <v>0</v>
          </cell>
          <cell r="B597" t="str">
            <v>VDB-370</v>
          </cell>
          <cell r="C597" t="str">
            <v>HVAC Load 30</v>
          </cell>
          <cell r="D597">
            <v>0</v>
          </cell>
          <cell r="E597" t="str">
            <v>ISBL</v>
          </cell>
          <cell r="J597" t="str">
            <v>3</v>
          </cell>
          <cell r="K597" t="str">
            <v>C(MR)</v>
          </cell>
          <cell r="L597" t="str">
            <v>AC</v>
          </cell>
          <cell r="M597" t="str">
            <v>F</v>
          </cell>
          <cell r="N597" t="str">
            <v>N</v>
          </cell>
          <cell r="O597">
            <v>0</v>
          </cell>
          <cell r="P597" t="str">
            <v>4850-NDB-307B</v>
          </cell>
          <cell r="Q597" t="str">
            <v>C</v>
          </cell>
          <cell r="S597">
            <v>80</v>
          </cell>
          <cell r="T597">
            <v>100</v>
          </cell>
          <cell r="X597">
            <v>1</v>
          </cell>
          <cell r="Y597">
            <v>0.85</v>
          </cell>
        </row>
        <row r="598">
          <cell r="A598" t="str">
            <v>LAO</v>
          </cell>
          <cell r="B598">
            <v>0</v>
          </cell>
          <cell r="C598">
            <v>0</v>
          </cell>
          <cell r="D598">
            <v>0</v>
          </cell>
          <cell r="E598" t="str">
            <v>ISBL</v>
          </cell>
          <cell r="J598" t="str">
            <v>3</v>
          </cell>
          <cell r="K598">
            <v>0</v>
          </cell>
          <cell r="L598" t="str">
            <v>AC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S598">
            <v>0</v>
          </cell>
          <cell r="T598">
            <v>0</v>
          </cell>
          <cell r="X598">
            <v>0</v>
          </cell>
          <cell r="Y598">
            <v>0</v>
          </cell>
        </row>
        <row r="599">
          <cell r="A599" t="str">
            <v>LAO</v>
          </cell>
          <cell r="B599" t="str">
            <v>VDB-371</v>
          </cell>
          <cell r="C599" t="str">
            <v>HVAC Load 31</v>
          </cell>
          <cell r="D599">
            <v>0</v>
          </cell>
          <cell r="E599" t="str">
            <v>ISBL</v>
          </cell>
          <cell r="J599" t="str">
            <v>3</v>
          </cell>
          <cell r="K599" t="str">
            <v>C(MR)</v>
          </cell>
          <cell r="L599" t="str">
            <v>AC</v>
          </cell>
          <cell r="M599" t="str">
            <v>F</v>
          </cell>
          <cell r="N599" t="str">
            <v>N</v>
          </cell>
          <cell r="O599">
            <v>0</v>
          </cell>
          <cell r="P599" t="str">
            <v>4850-NDB-307A</v>
          </cell>
          <cell r="Q599" t="str">
            <v>C</v>
          </cell>
          <cell r="S599">
            <v>80</v>
          </cell>
          <cell r="T599">
            <v>100</v>
          </cell>
          <cell r="X599">
            <v>1</v>
          </cell>
          <cell r="Y599">
            <v>0.85</v>
          </cell>
        </row>
        <row r="600">
          <cell r="A600" t="str">
            <v>LAO</v>
          </cell>
          <cell r="B600" t="str">
            <v>VDB-372</v>
          </cell>
          <cell r="C600" t="str">
            <v>HVAC Load 32</v>
          </cell>
          <cell r="D600">
            <v>0</v>
          </cell>
          <cell r="E600" t="str">
            <v>ISBL</v>
          </cell>
          <cell r="J600" t="str">
            <v>3</v>
          </cell>
          <cell r="K600" t="str">
            <v>C(MR)</v>
          </cell>
          <cell r="L600" t="str">
            <v>AC</v>
          </cell>
          <cell r="M600" t="str">
            <v>F</v>
          </cell>
          <cell r="N600" t="str">
            <v>N</v>
          </cell>
          <cell r="O600">
            <v>0</v>
          </cell>
          <cell r="P600" t="str">
            <v>4850-NDB-307B</v>
          </cell>
          <cell r="Q600" t="str">
            <v>C</v>
          </cell>
          <cell r="S600">
            <v>80</v>
          </cell>
          <cell r="T600">
            <v>100</v>
          </cell>
          <cell r="X600">
            <v>1</v>
          </cell>
          <cell r="Y600">
            <v>0.85</v>
          </cell>
        </row>
        <row r="601">
          <cell r="A601" t="str">
            <v>LAO</v>
          </cell>
          <cell r="B601" t="str">
            <v>VDB-373</v>
          </cell>
          <cell r="C601" t="str">
            <v>HVAC Load 33</v>
          </cell>
          <cell r="D601">
            <v>0</v>
          </cell>
          <cell r="E601" t="str">
            <v>ISBL</v>
          </cell>
          <cell r="J601" t="str">
            <v>3</v>
          </cell>
          <cell r="K601" t="str">
            <v>C(MR)</v>
          </cell>
          <cell r="L601" t="str">
            <v>AC</v>
          </cell>
          <cell r="M601" t="str">
            <v>F</v>
          </cell>
          <cell r="N601" t="str">
            <v>N</v>
          </cell>
          <cell r="O601">
            <v>0</v>
          </cell>
          <cell r="P601" t="str">
            <v>4850-NDB-307A</v>
          </cell>
          <cell r="Q601" t="str">
            <v>C</v>
          </cell>
          <cell r="S601">
            <v>80</v>
          </cell>
          <cell r="T601">
            <v>100</v>
          </cell>
          <cell r="X601">
            <v>1</v>
          </cell>
          <cell r="Y601">
            <v>0.85</v>
          </cell>
        </row>
        <row r="602">
          <cell r="A602" t="str">
            <v>LAO</v>
          </cell>
          <cell r="B602" t="str">
            <v>VDB-374</v>
          </cell>
          <cell r="C602" t="str">
            <v>HVAC Load 34</v>
          </cell>
          <cell r="D602">
            <v>0</v>
          </cell>
          <cell r="E602" t="str">
            <v>ISBL</v>
          </cell>
          <cell r="J602" t="str">
            <v>3</v>
          </cell>
          <cell r="K602" t="str">
            <v>C(MR)</v>
          </cell>
          <cell r="L602" t="str">
            <v>AC</v>
          </cell>
          <cell r="M602" t="str">
            <v>F</v>
          </cell>
          <cell r="N602" t="str">
            <v>N</v>
          </cell>
          <cell r="O602">
            <v>0</v>
          </cell>
          <cell r="P602" t="str">
            <v>4850-NDB-307B</v>
          </cell>
          <cell r="Q602" t="str">
            <v>C</v>
          </cell>
          <cell r="S602">
            <v>80</v>
          </cell>
          <cell r="T602">
            <v>100</v>
          </cell>
          <cell r="X602">
            <v>1</v>
          </cell>
          <cell r="Y602">
            <v>0.85</v>
          </cell>
        </row>
        <row r="603">
          <cell r="A603" t="str">
            <v>LAO</v>
          </cell>
          <cell r="B603" t="str">
            <v>VDB-373</v>
          </cell>
          <cell r="C603" t="str">
            <v>HVAC Load 33</v>
          </cell>
          <cell r="D603">
            <v>0</v>
          </cell>
          <cell r="E603" t="str">
            <v>ISBL</v>
          </cell>
          <cell r="J603" t="str">
            <v>3</v>
          </cell>
          <cell r="K603" t="str">
            <v>C(MR)</v>
          </cell>
          <cell r="L603" t="str">
            <v>AC</v>
          </cell>
          <cell r="M603" t="str">
            <v>F</v>
          </cell>
          <cell r="N603" t="str">
            <v>N</v>
          </cell>
          <cell r="O603">
            <v>0</v>
          </cell>
          <cell r="P603" t="str">
            <v>4850-NDB-307A</v>
          </cell>
          <cell r="Q603" t="str">
            <v>C</v>
          </cell>
          <cell r="S603">
            <v>80</v>
          </cell>
          <cell r="T603">
            <v>100</v>
          </cell>
          <cell r="X603">
            <v>1</v>
          </cell>
          <cell r="Y603">
            <v>0.85</v>
          </cell>
        </row>
        <row r="604">
          <cell r="A604" t="str">
            <v>LAO</v>
          </cell>
          <cell r="B604" t="str">
            <v>VDB-374</v>
          </cell>
          <cell r="C604" t="str">
            <v>HVAC Load 34</v>
          </cell>
          <cell r="D604">
            <v>0</v>
          </cell>
          <cell r="E604" t="str">
            <v>ISBL</v>
          </cell>
          <cell r="J604" t="str">
            <v>3</v>
          </cell>
          <cell r="K604" t="str">
            <v>C(MR)</v>
          </cell>
          <cell r="L604" t="str">
            <v>AC</v>
          </cell>
          <cell r="M604" t="str">
            <v>F</v>
          </cell>
          <cell r="N604" t="str">
            <v>N</v>
          </cell>
          <cell r="O604">
            <v>0</v>
          </cell>
          <cell r="P604" t="str">
            <v>4850-NDB-307B</v>
          </cell>
          <cell r="Q604" t="str">
            <v>C</v>
          </cell>
          <cell r="S604">
            <v>80</v>
          </cell>
          <cell r="T604">
            <v>100</v>
          </cell>
          <cell r="X604">
            <v>1</v>
          </cell>
          <cell r="Y604">
            <v>0.85</v>
          </cell>
        </row>
        <row r="605">
          <cell r="A605" t="str">
            <v>LAO</v>
          </cell>
          <cell r="B605" t="str">
            <v>VDB-373</v>
          </cell>
          <cell r="C605" t="str">
            <v>HVAC Load 33</v>
          </cell>
          <cell r="D605">
            <v>0</v>
          </cell>
          <cell r="E605" t="str">
            <v>ISBL</v>
          </cell>
          <cell r="J605" t="str">
            <v>3</v>
          </cell>
          <cell r="K605" t="str">
            <v>C(MR)</v>
          </cell>
          <cell r="L605" t="str">
            <v>AC</v>
          </cell>
          <cell r="M605" t="str">
            <v>F</v>
          </cell>
          <cell r="N605" t="str">
            <v>N</v>
          </cell>
          <cell r="O605">
            <v>0</v>
          </cell>
          <cell r="P605" t="str">
            <v>4850-NDB-307A</v>
          </cell>
          <cell r="Q605" t="str">
            <v>C</v>
          </cell>
          <cell r="S605">
            <v>80</v>
          </cell>
          <cell r="T605">
            <v>100</v>
          </cell>
          <cell r="X605">
            <v>1</v>
          </cell>
          <cell r="Y605">
            <v>0.85</v>
          </cell>
        </row>
        <row r="606">
          <cell r="A606" t="str">
            <v>LAO</v>
          </cell>
          <cell r="B606" t="str">
            <v>VDB-374</v>
          </cell>
          <cell r="C606" t="str">
            <v>HVAC Load 34</v>
          </cell>
          <cell r="D606">
            <v>0</v>
          </cell>
          <cell r="E606" t="str">
            <v>ISBL</v>
          </cell>
          <cell r="J606" t="str">
            <v>3</v>
          </cell>
          <cell r="K606" t="str">
            <v>C(MR)</v>
          </cell>
          <cell r="L606" t="str">
            <v>AC</v>
          </cell>
          <cell r="M606" t="str">
            <v>F</v>
          </cell>
          <cell r="N606" t="str">
            <v>N</v>
          </cell>
          <cell r="O606">
            <v>0</v>
          </cell>
          <cell r="P606" t="str">
            <v>4850-NDB-307B</v>
          </cell>
          <cell r="Q606" t="str">
            <v>C</v>
          </cell>
          <cell r="S606">
            <v>80</v>
          </cell>
          <cell r="T606">
            <v>100</v>
          </cell>
          <cell r="X606">
            <v>1</v>
          </cell>
          <cell r="Y606">
            <v>0.85</v>
          </cell>
        </row>
        <row r="607">
          <cell r="A607" t="str">
            <v>LAO</v>
          </cell>
          <cell r="B607" t="str">
            <v>VDB-375</v>
          </cell>
          <cell r="C607" t="str">
            <v>HVAC Load 35</v>
          </cell>
          <cell r="D607">
            <v>0</v>
          </cell>
          <cell r="E607" t="str">
            <v>ISBL</v>
          </cell>
          <cell r="J607" t="str">
            <v>3</v>
          </cell>
          <cell r="K607" t="str">
            <v>C(MR)</v>
          </cell>
          <cell r="L607" t="str">
            <v>AC</v>
          </cell>
          <cell r="M607" t="str">
            <v>F</v>
          </cell>
          <cell r="N607" t="str">
            <v>N</v>
          </cell>
          <cell r="O607">
            <v>0</v>
          </cell>
          <cell r="P607" t="str">
            <v>4850-NDB-307A</v>
          </cell>
          <cell r="Q607" t="str">
            <v>C</v>
          </cell>
          <cell r="S607">
            <v>68</v>
          </cell>
          <cell r="T607">
            <v>85</v>
          </cell>
          <cell r="X607">
            <v>1</v>
          </cell>
          <cell r="Y607">
            <v>0.85</v>
          </cell>
        </row>
        <row r="608">
          <cell r="A608" t="str">
            <v>LAO</v>
          </cell>
          <cell r="B608" t="str">
            <v>VDB-376</v>
          </cell>
          <cell r="C608" t="str">
            <v>HVAC Load 36</v>
          </cell>
          <cell r="D608">
            <v>0</v>
          </cell>
          <cell r="E608" t="str">
            <v>ISBL</v>
          </cell>
          <cell r="J608" t="str">
            <v>3</v>
          </cell>
          <cell r="K608" t="str">
            <v>C(MR)</v>
          </cell>
          <cell r="L608" t="str">
            <v>AC</v>
          </cell>
          <cell r="M608" t="str">
            <v>F</v>
          </cell>
          <cell r="N608" t="str">
            <v>N</v>
          </cell>
          <cell r="O608">
            <v>0</v>
          </cell>
          <cell r="P608" t="str">
            <v>4850-NDB-307B</v>
          </cell>
          <cell r="Q608" t="str">
            <v>C</v>
          </cell>
          <cell r="S608">
            <v>68</v>
          </cell>
          <cell r="T608">
            <v>85</v>
          </cell>
          <cell r="X608">
            <v>1</v>
          </cell>
          <cell r="Y608">
            <v>0.85</v>
          </cell>
        </row>
        <row r="609">
          <cell r="S609">
            <v>0</v>
          </cell>
          <cell r="T609">
            <v>0</v>
          </cell>
        </row>
        <row r="610">
          <cell r="C610" t="str">
            <v xml:space="preserve"> </v>
          </cell>
        </row>
        <row r="611">
          <cell r="L611" t="str">
            <v>Summary of all Switchboards</v>
          </cell>
        </row>
        <row r="625">
          <cell r="L625" t="str">
            <v>Peak Load:</v>
          </cell>
          <cell r="Q625" t="str">
            <v>Normal Plant Load :</v>
          </cell>
          <cell r="Z625" t="str">
            <v>∑-Peak Load:</v>
          </cell>
          <cell r="AB625" t="str">
            <v>∑-Normal Plant Load :</v>
          </cell>
          <cell r="AD625" t="str">
            <v>∑-Intermittent load</v>
          </cell>
        </row>
        <row r="626">
          <cell r="L626" t="str">
            <v>[100%] Cont. Load + [30%] Interm. Load + [10%] CS Load</v>
          </cell>
          <cell r="Q626" t="str">
            <v>[100%] Cont. Load + [30%] Interm. Load + [0%] CS Load</v>
          </cell>
          <cell r="Z626" t="str">
            <v>Sum of Peak Load</v>
          </cell>
          <cell r="AB626" t="str">
            <v>Sum of Normal Plant Load</v>
          </cell>
          <cell r="AD626" t="str">
            <v>Sum of Interm. Load</v>
          </cell>
        </row>
        <row r="627">
          <cell r="B627" t="str">
            <v>Load group</v>
          </cell>
          <cell r="L627" t="str">
            <v>cosj</v>
          </cell>
          <cell r="M627" t="str">
            <v>kW</v>
          </cell>
          <cell r="N627" t="str">
            <v>kVar</v>
          </cell>
          <cell r="O627" t="str">
            <v>kVA</v>
          </cell>
          <cell r="Q627" t="str">
            <v>cosj</v>
          </cell>
          <cell r="R627" t="str">
            <v>kW</v>
          </cell>
          <cell r="S627" t="str">
            <v>kVar</v>
          </cell>
          <cell r="T627" t="str">
            <v>kVA</v>
          </cell>
          <cell r="Z627" t="str">
            <v>kW</v>
          </cell>
          <cell r="AA627" t="str">
            <v>kVar</v>
          </cell>
          <cell r="AB627" t="str">
            <v>kW</v>
          </cell>
          <cell r="AC627" t="str">
            <v>kVar</v>
          </cell>
          <cell r="AD627" t="str">
            <v>kW</v>
          </cell>
          <cell r="AE627" t="str">
            <v>kVar</v>
          </cell>
        </row>
        <row r="629">
          <cell r="B629" t="str">
            <v>MV-SWG-1-10 KV</v>
          </cell>
          <cell r="C629" t="str">
            <v>10 kV - Switchgear</v>
          </cell>
          <cell r="L629">
            <v>0.91832122518440418</v>
          </cell>
          <cell r="M629">
            <v>37750.962492796316</v>
          </cell>
          <cell r="N629">
            <v>16272.290163996377</v>
          </cell>
          <cell r="O629">
            <v>41108.668140841139</v>
          </cell>
          <cell r="Q629">
            <v>0.9183632081391685</v>
          </cell>
          <cell r="R629">
            <v>37692.62915946298</v>
          </cell>
          <cell r="S629">
            <v>16242.405110885424</v>
          </cell>
          <cell r="T629">
            <v>41043.270054162545</v>
          </cell>
          <cell r="Z629">
            <v>37692.62915946298</v>
          </cell>
          <cell r="AA629">
            <v>16242.405110885424</v>
          </cell>
          <cell r="AB629">
            <v>37692.62915946298</v>
          </cell>
          <cell r="AC629">
            <v>16242.405110885424</v>
          </cell>
          <cell r="AD629">
            <v>0</v>
          </cell>
          <cell r="AE629">
            <v>0</v>
          </cell>
        </row>
        <row r="631">
          <cell r="B631" t="str">
            <v>MV-SWG-2-10 KV</v>
          </cell>
          <cell r="C631" t="str">
            <v>10 kV - Switchgear</v>
          </cell>
          <cell r="L631">
            <v>0.91355703655849829</v>
          </cell>
          <cell r="M631">
            <v>36550.962492796316</v>
          </cell>
          <cell r="N631">
            <v>16272.290163996377</v>
          </cell>
          <cell r="O631">
            <v>40009.502450431653</v>
          </cell>
          <cell r="Q631">
            <v>0.9135934530507569</v>
          </cell>
          <cell r="R631">
            <v>36492.62915946298</v>
          </cell>
          <cell r="S631">
            <v>16242.405110885424</v>
          </cell>
          <cell r="T631">
            <v>39944.057214511959</v>
          </cell>
          <cell r="Z631">
            <v>36492.62915946298</v>
          </cell>
          <cell r="AA631">
            <v>16242.405110885424</v>
          </cell>
          <cell r="AB631">
            <v>36492.62915946298</v>
          </cell>
          <cell r="AC631">
            <v>16242.405110885424</v>
          </cell>
          <cell r="AD631">
            <v>0</v>
          </cell>
          <cell r="AE631">
            <v>0</v>
          </cell>
        </row>
        <row r="633">
          <cell r="B633" t="str">
            <v>LV-SWG-1.1</v>
          </cell>
          <cell r="C633" t="str">
            <v>690 V Switchgear Process Consumer</v>
          </cell>
          <cell r="L633">
            <v>0.89400000000000002</v>
          </cell>
          <cell r="M633">
            <v>1395</v>
          </cell>
          <cell r="N633">
            <v>697</v>
          </cell>
          <cell r="O633">
            <v>1559</v>
          </cell>
          <cell r="Q633">
            <v>0.88600486343234941</v>
          </cell>
          <cell r="R633">
            <v>1225.250618143712</v>
          </cell>
          <cell r="S633">
            <v>641.21458208723243</v>
          </cell>
          <cell r="T633">
            <v>1382.8937838976835</v>
          </cell>
          <cell r="Z633">
            <v>1151.320489332935</v>
          </cell>
          <cell r="AA633">
            <v>600.79864572449583</v>
          </cell>
          <cell r="AB633">
            <v>1151.320489332935</v>
          </cell>
          <cell r="AC633">
            <v>600.79864572449583</v>
          </cell>
          <cell r="AD633">
            <v>246.4337627025896</v>
          </cell>
          <cell r="AE633">
            <v>134.7197878757886</v>
          </cell>
        </row>
        <row r="635">
          <cell r="B635" t="str">
            <v>LV-SWG-1.2</v>
          </cell>
          <cell r="C635" t="str">
            <v>690 V Switchgear Process Consumer</v>
          </cell>
          <cell r="L635">
            <v>0.88757837847325693</v>
          </cell>
          <cell r="M635">
            <v>992</v>
          </cell>
          <cell r="N635">
            <v>514</v>
          </cell>
          <cell r="O635">
            <v>1117</v>
          </cell>
          <cell r="Q635">
            <v>0.88784480783194875</v>
          </cell>
          <cell r="R635">
            <v>937.71708547820776</v>
          </cell>
          <cell r="S635">
            <v>485.99030611114478</v>
          </cell>
          <cell r="T635">
            <v>1056.1722918310954</v>
          </cell>
          <cell r="Z635">
            <v>852.17405344162444</v>
          </cell>
          <cell r="AA635">
            <v>439.30638858809493</v>
          </cell>
          <cell r="AB635">
            <v>852.17405344162444</v>
          </cell>
          <cell r="AC635">
            <v>439.30638858809493</v>
          </cell>
          <cell r="AD635">
            <v>285.14344012194442</v>
          </cell>
          <cell r="AE635">
            <v>155.61305841016616</v>
          </cell>
        </row>
        <row r="637">
          <cell r="B637" t="str">
            <v>LV-SWG-1.3</v>
          </cell>
          <cell r="C637" t="str">
            <v>400V Switchgear Process Consumer &amp; Process Heat Tracing</v>
          </cell>
          <cell r="L637">
            <v>0.99299999999999999</v>
          </cell>
          <cell r="M637">
            <v>767</v>
          </cell>
          <cell r="N637">
            <v>88</v>
          </cell>
          <cell r="O637">
            <v>772</v>
          </cell>
          <cell r="Q637">
            <v>0.99356334643550281</v>
          </cell>
          <cell r="R637">
            <v>764.34933599585247</v>
          </cell>
          <cell r="S637">
            <v>87.144788188080526</v>
          </cell>
          <cell r="T637">
            <v>769.30106040850228</v>
          </cell>
          <cell r="Z637">
            <v>144.21211240862885</v>
          </cell>
          <cell r="AA637">
            <v>77.162163982504865</v>
          </cell>
          <cell r="AB637">
            <v>144.21211240862885</v>
          </cell>
          <cell r="AC637">
            <v>77.162163982504865</v>
          </cell>
          <cell r="AD637">
            <v>2067.1240786240787</v>
          </cell>
          <cell r="AE637">
            <v>33.275414018585522</v>
          </cell>
        </row>
        <row r="639">
          <cell r="B639" t="str">
            <v>LV-SWG-1.4</v>
          </cell>
          <cell r="C639" t="str">
            <v>400V Switchgear Process Consumer &amp; Antifreezing Heat Tracing</v>
          </cell>
          <cell r="L639">
            <v>0.99439863938561524</v>
          </cell>
          <cell r="M639">
            <v>750.43597483492078</v>
          </cell>
          <cell r="N639">
            <v>79.763807225998036</v>
          </cell>
          <cell r="O639">
            <v>754.66311508488616</v>
          </cell>
          <cell r="Q639">
            <v>0.99448642129878972</v>
          </cell>
          <cell r="R639">
            <v>748.96337067738682</v>
          </cell>
          <cell r="S639">
            <v>78.975803238757379</v>
          </cell>
          <cell r="T639">
            <v>753.11573354540917</v>
          </cell>
          <cell r="Z639">
            <v>125.94518885920486</v>
          </cell>
          <cell r="AA639">
            <v>67.199596210290025</v>
          </cell>
          <cell r="AB639">
            <v>125.94518885920486</v>
          </cell>
          <cell r="AC639">
            <v>67.199596210290025</v>
          </cell>
          <cell r="AD639">
            <v>2076.727272727273</v>
          </cell>
          <cell r="AE639">
            <v>39.2540234282245</v>
          </cell>
        </row>
        <row r="641">
          <cell r="B641" t="str">
            <v>LV-SWG-1.5</v>
          </cell>
          <cell r="C641" t="str">
            <v>400V Switchgear Normal &amp; Street Lighting</v>
          </cell>
          <cell r="L641">
            <v>0.88000000000000012</v>
          </cell>
          <cell r="M641">
            <v>738.63636363636328</v>
          </cell>
          <cell r="N641">
            <v>398.67367544290494</v>
          </cell>
          <cell r="O641">
            <v>839.35950413223088</v>
          </cell>
          <cell r="Q641">
            <v>0.88000000000000012</v>
          </cell>
          <cell r="R641">
            <v>738.63636363636328</v>
          </cell>
          <cell r="S641">
            <v>398.67367544290494</v>
          </cell>
          <cell r="T641">
            <v>839.35950413223088</v>
          </cell>
          <cell r="Z641">
            <v>718.18181818181779</v>
          </cell>
          <cell r="AA641">
            <v>387.63348135371677</v>
          </cell>
          <cell r="AB641">
            <v>718.18181818181779</v>
          </cell>
          <cell r="AC641">
            <v>387.63348135371677</v>
          </cell>
          <cell r="AD641">
            <v>68.181818181818173</v>
          </cell>
          <cell r="AE641">
            <v>36.80064696396046</v>
          </cell>
        </row>
        <row r="643">
          <cell r="B643" t="str">
            <v>LV-SWG-1.6</v>
          </cell>
          <cell r="C643" t="str">
            <v>400V Switchgear Receptacles, Welding Outlets &amp; Crane</v>
          </cell>
          <cell r="L643">
            <v>0.88000000000000012</v>
          </cell>
          <cell r="M643">
            <v>721.81818181818142</v>
          </cell>
          <cell r="N643">
            <v>389.59618252512803</v>
          </cell>
          <cell r="O643">
            <v>820.24793388429691</v>
          </cell>
          <cell r="Q643">
            <v>0.88000000000000012</v>
          </cell>
          <cell r="R643">
            <v>721.81818181818142</v>
          </cell>
          <cell r="S643">
            <v>389.59618252512803</v>
          </cell>
          <cell r="T643">
            <v>820.24793388429691</v>
          </cell>
          <cell r="Z643">
            <v>267.04545454545462</v>
          </cell>
          <cell r="AA643">
            <v>144.13586727551188</v>
          </cell>
          <cell r="AB643">
            <v>267.04545454545462</v>
          </cell>
          <cell r="AC643">
            <v>144.13586727551188</v>
          </cell>
          <cell r="AD643">
            <v>1515.9090909090894</v>
          </cell>
          <cell r="AE643">
            <v>818.20105083205374</v>
          </cell>
        </row>
        <row r="645">
          <cell r="B645" t="str">
            <v>LV-SWG-1.7</v>
          </cell>
          <cell r="C645" t="str">
            <v>400V Switchgear HVAC</v>
          </cell>
          <cell r="L645">
            <v>0.88</v>
          </cell>
          <cell r="M645">
            <v>886.36363636363637</v>
          </cell>
          <cell r="N645">
            <v>478.40841053148614</v>
          </cell>
          <cell r="O645">
            <v>1007.2314049586777</v>
          </cell>
          <cell r="Q645">
            <v>0.88</v>
          </cell>
          <cell r="R645">
            <v>886.36363636363637</v>
          </cell>
          <cell r="S645">
            <v>478.40841053148614</v>
          </cell>
          <cell r="T645">
            <v>1007.2314049586777</v>
          </cell>
          <cell r="Z645">
            <v>886.36363636363637</v>
          </cell>
          <cell r="AA645">
            <v>478.40841053148614</v>
          </cell>
          <cell r="AB645">
            <v>886.36363636363637</v>
          </cell>
          <cell r="AC645">
            <v>478.40841053148614</v>
          </cell>
          <cell r="AD645">
            <v>0</v>
          </cell>
          <cell r="AE645">
            <v>0</v>
          </cell>
        </row>
        <row r="647">
          <cell r="B647" t="str">
            <v>LV-SWG-1.8</v>
          </cell>
          <cell r="C647" t="str">
            <v>400V Switchgear HVAC</v>
          </cell>
          <cell r="L647">
            <v>0.88</v>
          </cell>
          <cell r="M647">
            <v>1068.181818181818</v>
          </cell>
          <cell r="N647">
            <v>576.54346910204731</v>
          </cell>
          <cell r="O647">
            <v>1213.8429752066113</v>
          </cell>
          <cell r="Q647">
            <v>0.88</v>
          </cell>
          <cell r="R647">
            <v>1068.181818181818</v>
          </cell>
          <cell r="S647">
            <v>576.54346910204731</v>
          </cell>
          <cell r="T647">
            <v>1213.8429752066113</v>
          </cell>
          <cell r="Z647">
            <v>1068.181818181818</v>
          </cell>
          <cell r="AA647">
            <v>576.54346910204731</v>
          </cell>
          <cell r="AB647">
            <v>1068.181818181818</v>
          </cell>
          <cell r="AC647">
            <v>576.54346910204731</v>
          </cell>
          <cell r="AD647">
            <v>0</v>
          </cell>
          <cell r="AE647">
            <v>0</v>
          </cell>
        </row>
        <row r="649">
          <cell r="B649" t="str">
            <v>LV-SWG-1.9</v>
          </cell>
          <cell r="C649" t="str">
            <v>400V Switchgear HVAC</v>
          </cell>
          <cell r="L649">
            <v>0.88</v>
          </cell>
          <cell r="M649">
            <v>840.90909090909076</v>
          </cell>
          <cell r="N649">
            <v>453.87464588884575</v>
          </cell>
          <cell r="O649">
            <v>955.57851239669401</v>
          </cell>
          <cell r="Q649">
            <v>0.88</v>
          </cell>
          <cell r="R649">
            <v>840.90909090909076</v>
          </cell>
          <cell r="S649">
            <v>453.87464588884575</v>
          </cell>
          <cell r="T649">
            <v>955.57851239669401</v>
          </cell>
          <cell r="Z649">
            <v>840.90909090909076</v>
          </cell>
          <cell r="AA649">
            <v>453.87464588884575</v>
          </cell>
          <cell r="AB649">
            <v>840.90909090909076</v>
          </cell>
          <cell r="AC649">
            <v>453.87464588884575</v>
          </cell>
          <cell r="AD649">
            <v>0</v>
          </cell>
          <cell r="AE649">
            <v>0</v>
          </cell>
        </row>
        <row r="651">
          <cell r="B651" t="str">
            <v>LV-ESWG-1.1</v>
          </cell>
          <cell r="C651" t="str">
            <v>400V Emergency Switchgear</v>
          </cell>
          <cell r="L651">
            <v>0.88000000000000012</v>
          </cell>
          <cell r="M651">
            <v>267.04545454545462</v>
          </cell>
          <cell r="N651">
            <v>144.13586727551188</v>
          </cell>
          <cell r="O651">
            <v>303.46074380165294</v>
          </cell>
          <cell r="Q651">
            <v>0.88000000000000012</v>
          </cell>
          <cell r="R651">
            <v>267.04545454545462</v>
          </cell>
          <cell r="S651">
            <v>144.13586727551188</v>
          </cell>
          <cell r="T651">
            <v>303.46074380165294</v>
          </cell>
          <cell r="Z651">
            <v>267.04545454545462</v>
          </cell>
          <cell r="AA651">
            <v>144.13586727551188</v>
          </cell>
          <cell r="AB651">
            <v>267.04545454545462</v>
          </cell>
          <cell r="AC651">
            <v>144.13586727551188</v>
          </cell>
          <cell r="AD651">
            <v>0</v>
          </cell>
          <cell r="AE651">
            <v>0</v>
          </cell>
        </row>
        <row r="653">
          <cell r="B653" t="str">
            <v>Sum Total</v>
          </cell>
          <cell r="C653" t="str">
            <v>Total Normal Plant Load incl. 20% Spare</v>
          </cell>
          <cell r="L653">
            <v>0.91598754503930979</v>
          </cell>
          <cell r="M653">
            <v>89162.309982711158</v>
          </cell>
          <cell r="N653">
            <v>39053.496393591304</v>
          </cell>
          <cell r="O653">
            <v>97340.089901424086</v>
          </cell>
          <cell r="Q653">
            <v>0.91602688171307467</v>
          </cell>
          <cell r="R653">
            <v>89022.309982711144</v>
          </cell>
          <cell r="S653">
            <v>38981.772266125015</v>
          </cell>
          <cell r="T653">
            <v>97183.075911734471</v>
          </cell>
        </row>
        <row r="654">
          <cell r="B654" t="str">
            <v>Sum Total</v>
          </cell>
          <cell r="C654" t="str">
            <v>Total Emergency Plant Load incl. 20% Spare</v>
          </cell>
          <cell r="L654">
            <v>0.88000000000000012</v>
          </cell>
          <cell r="M654">
            <v>320.45454545454555</v>
          </cell>
          <cell r="N654">
            <v>172.96304073061427</v>
          </cell>
          <cell r="O654">
            <v>364.15289256198355</v>
          </cell>
          <cell r="Q654">
            <v>0.88000000000000012</v>
          </cell>
          <cell r="R654">
            <v>320.45454545454555</v>
          </cell>
          <cell r="S654">
            <v>172.96304073061427</v>
          </cell>
          <cell r="T654">
            <v>364.15289256198355</v>
          </cell>
        </row>
        <row r="660">
          <cell r="A660" t="str">
            <v>No.</v>
          </cell>
          <cell r="B660" t="str">
            <v>Equip No.</v>
          </cell>
          <cell r="C660" t="str">
            <v>Description</v>
          </cell>
          <cell r="D660" t="str">
            <v>Bus</v>
          </cell>
          <cell r="E660" t="str">
            <v>Load Gourb</v>
          </cell>
          <cell r="F660" t="str">
            <v>Voltage</v>
          </cell>
          <cell r="G660" t="str">
            <v>MR NUMBER</v>
          </cell>
          <cell r="H660" t="str">
            <v>CABLE SPEC</v>
          </cell>
          <cell r="I660" t="str">
            <v>CABLE SIZE</v>
          </cell>
          <cell r="J660" t="str">
            <v>ENTRY SIZE</v>
          </cell>
          <cell r="K660" t="str">
            <v>LCS TYPE</v>
          </cell>
          <cell r="L660" t="str">
            <v>SCHEME</v>
          </cell>
          <cell r="M660" t="str">
            <v>FLC x 1.25</v>
          </cell>
          <cell r="N660" t="str">
            <v>CT RATIO
(PRIMARY)</v>
          </cell>
          <cell r="O660" t="str">
            <v>Load
Status
(Note 1)</v>
          </cell>
          <cell r="P660" t="str">
            <v>Load
Type
(Note 2)</v>
          </cell>
          <cell r="Q660" t="str">
            <v>Phase</v>
          </cell>
          <cell r="R660" t="str">
            <v>Rated
[kW]</v>
          </cell>
          <cell r="S660" t="str">
            <v>Absorbed
[kW]</v>
          </cell>
          <cell r="T660" t="str">
            <v>Load Factor
(Note 4)</v>
          </cell>
          <cell r="U660" t="str">
            <v>Power Factor</v>
          </cell>
          <cell r="V660" t="str">
            <v>Efficiency</v>
          </cell>
          <cell r="W660" t="str">
            <v>Full Load Current
[A]</v>
          </cell>
          <cell r="X660" t="str">
            <v>Duty
(Note 3)</v>
          </cell>
          <cell r="Y660" t="str">
            <v>Consumed Load</v>
          </cell>
          <cell r="AE660" t="str">
            <v>Starter / Feeder</v>
          </cell>
        </row>
        <row r="661">
          <cell r="Y661" t="str">
            <v>Continuous</v>
          </cell>
          <cell r="AA661" t="str">
            <v>Intermittent</v>
          </cell>
          <cell r="AC661" t="str">
            <v>Stand-by</v>
          </cell>
        </row>
        <row r="662">
          <cell r="Y662" t="str">
            <v>kW</v>
          </cell>
          <cell r="Z662" t="str">
            <v>kVAR</v>
          </cell>
          <cell r="AA662" t="str">
            <v>kW</v>
          </cell>
          <cell r="AB662" t="str">
            <v>kVAR</v>
          </cell>
          <cell r="AC662" t="str">
            <v>kW</v>
          </cell>
          <cell r="AD662" t="str">
            <v>kVAR</v>
          </cell>
        </row>
        <row r="663">
          <cell r="B663" t="str">
            <v>41-P-4102</v>
          </cell>
          <cell r="C663" t="str">
            <v>Reactor A Coolant Pump</v>
          </cell>
          <cell r="D663" t="str">
            <v>A</v>
          </cell>
          <cell r="E663" t="str">
            <v>4850-HDB-101A</v>
          </cell>
          <cell r="F663">
            <v>10000</v>
          </cell>
          <cell r="O663" t="str">
            <v>N</v>
          </cell>
          <cell r="P663" t="str">
            <v>M</v>
          </cell>
          <cell r="Q663">
            <v>3</v>
          </cell>
          <cell r="R663">
            <v>970</v>
          </cell>
          <cell r="S663">
            <v>870</v>
          </cell>
          <cell r="T663">
            <v>0.89690721649484539</v>
          </cell>
          <cell r="U663">
            <v>0.85</v>
          </cell>
          <cell r="V663">
            <v>0.95</v>
          </cell>
          <cell r="X663" t="str">
            <v>C</v>
          </cell>
          <cell r="Y663">
            <v>915.78947368421052</v>
          </cell>
          <cell r="Z663">
            <v>567.55534148494644</v>
          </cell>
          <cell r="AA663" t="str">
            <v/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</row>
        <row r="664">
          <cell r="B664" t="str">
            <v>41-P-4101</v>
          </cell>
          <cell r="C664" t="str">
            <v>Reactor A Circulation Pump</v>
          </cell>
          <cell r="D664" t="str">
            <v>B</v>
          </cell>
          <cell r="E664" t="str">
            <v>4850-HDB-101B</v>
          </cell>
          <cell r="F664">
            <v>10000</v>
          </cell>
          <cell r="O664" t="str">
            <v>N</v>
          </cell>
          <cell r="P664" t="str">
            <v>M</v>
          </cell>
          <cell r="Q664">
            <v>3</v>
          </cell>
          <cell r="R664">
            <v>2600</v>
          </cell>
          <cell r="S664">
            <v>1600</v>
          </cell>
          <cell r="T664">
            <v>0.61538461538461542</v>
          </cell>
          <cell r="U664">
            <v>0.85</v>
          </cell>
          <cell r="V664">
            <v>0.95</v>
          </cell>
          <cell r="X664" t="str">
            <v>C</v>
          </cell>
          <cell r="Y664">
            <v>1684.2105263157896</v>
          </cell>
          <cell r="Z664">
            <v>1043.77993836312</v>
          </cell>
          <cell r="AA664" t="str">
            <v/>
          </cell>
          <cell r="AB664" t="str">
            <v/>
          </cell>
          <cell r="AC664" t="str">
            <v/>
          </cell>
          <cell r="AD664" t="str">
            <v/>
          </cell>
          <cell r="AE664" t="str">
            <v>SOFT STARTER</v>
          </cell>
        </row>
        <row r="665">
          <cell r="B665" t="str">
            <v>41-PK-6040-2</v>
          </cell>
          <cell r="C665" t="str">
            <v>Extruder Gear Pump</v>
          </cell>
          <cell r="D665" t="str">
            <v>A</v>
          </cell>
          <cell r="E665" t="str">
            <v>4850-HDB-101A</v>
          </cell>
          <cell r="F665">
            <v>10000</v>
          </cell>
          <cell r="O665" t="str">
            <v>N</v>
          </cell>
          <cell r="P665" t="str">
            <v>M</v>
          </cell>
          <cell r="Q665">
            <v>3</v>
          </cell>
          <cell r="R665">
            <v>2500</v>
          </cell>
          <cell r="S665">
            <v>2250</v>
          </cell>
          <cell r="T665">
            <v>0.9</v>
          </cell>
          <cell r="U665">
            <v>0.85</v>
          </cell>
          <cell r="V665">
            <v>0.95</v>
          </cell>
          <cell r="X665" t="str">
            <v>C</v>
          </cell>
          <cell r="Y665">
            <v>2368.4210526315792</v>
          </cell>
          <cell r="Z665">
            <v>1467.8155383231374</v>
          </cell>
          <cell r="AA665" t="str">
            <v/>
          </cell>
          <cell r="AB665" t="str">
            <v/>
          </cell>
          <cell r="AC665" t="str">
            <v/>
          </cell>
          <cell r="AD665" t="str">
            <v/>
          </cell>
          <cell r="AE665" t="str">
            <v>VSD</v>
          </cell>
        </row>
        <row r="666">
          <cell r="B666" t="str">
            <v>41-BL-6001A</v>
          </cell>
          <cell r="C666" t="str">
            <v>Fluff Transfer Blower</v>
          </cell>
          <cell r="D666" t="str">
            <v>B</v>
          </cell>
          <cell r="E666" t="str">
            <v>4850-HDB-101B</v>
          </cell>
          <cell r="F666">
            <v>10000</v>
          </cell>
          <cell r="O666" t="str">
            <v>N</v>
          </cell>
          <cell r="P666" t="str">
            <v>M</v>
          </cell>
          <cell r="Q666">
            <v>3</v>
          </cell>
          <cell r="R666">
            <v>700</v>
          </cell>
          <cell r="S666">
            <v>550</v>
          </cell>
          <cell r="T666">
            <v>0.7857142857142857</v>
          </cell>
          <cell r="U666">
            <v>0.85</v>
          </cell>
          <cell r="V666">
            <v>0.95</v>
          </cell>
          <cell r="X666" t="str">
            <v>C</v>
          </cell>
          <cell r="Y666">
            <v>578.94736842105272</v>
          </cell>
          <cell r="Z666">
            <v>358.79935381232247</v>
          </cell>
          <cell r="AA666" t="str">
            <v/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</row>
        <row r="667">
          <cell r="B667" t="str">
            <v>41-BL-6001B</v>
          </cell>
          <cell r="C667" t="str">
            <v>Fluff Transfer Blower</v>
          </cell>
          <cell r="D667" t="str">
            <v>A</v>
          </cell>
          <cell r="E667" t="str">
            <v>4850-HDB-101A</v>
          </cell>
          <cell r="F667">
            <v>10000</v>
          </cell>
          <cell r="O667" t="str">
            <v>N</v>
          </cell>
          <cell r="P667" t="str">
            <v>M</v>
          </cell>
          <cell r="Q667">
            <v>3</v>
          </cell>
          <cell r="R667">
            <v>700</v>
          </cell>
          <cell r="S667">
            <v>550</v>
          </cell>
          <cell r="T667">
            <v>0.7857142857142857</v>
          </cell>
          <cell r="U667">
            <v>0.85</v>
          </cell>
          <cell r="V667">
            <v>0.95</v>
          </cell>
          <cell r="X667" t="str">
            <v>S</v>
          </cell>
          <cell r="Y667" t="str">
            <v/>
          </cell>
          <cell r="Z667" t="str">
            <v/>
          </cell>
          <cell r="AA667" t="str">
            <v/>
          </cell>
          <cell r="AB667" t="str">
            <v/>
          </cell>
          <cell r="AC667">
            <v>578.94736842105272</v>
          </cell>
          <cell r="AD667">
            <v>358.79935381232247</v>
          </cell>
          <cell r="AE667" t="str">
            <v/>
          </cell>
        </row>
        <row r="668">
          <cell r="B668" t="str">
            <v>41-K-7001A</v>
          </cell>
          <cell r="C668" t="str">
            <v>Product Transfer Blower</v>
          </cell>
          <cell r="D668" t="str">
            <v>B</v>
          </cell>
          <cell r="E668" t="str">
            <v>4850-HDB-101B</v>
          </cell>
          <cell r="F668">
            <v>10000</v>
          </cell>
          <cell r="O668" t="str">
            <v>N</v>
          </cell>
          <cell r="P668" t="str">
            <v>M</v>
          </cell>
          <cell r="Q668">
            <v>3</v>
          </cell>
          <cell r="R668">
            <v>800</v>
          </cell>
          <cell r="S668">
            <v>730</v>
          </cell>
          <cell r="T668">
            <v>0.91249999999999998</v>
          </cell>
          <cell r="U668">
            <v>0.85</v>
          </cell>
          <cell r="V668">
            <v>0.95</v>
          </cell>
          <cell r="X668" t="str">
            <v>C</v>
          </cell>
          <cell r="Y668">
            <v>768.42105263157896</v>
          </cell>
          <cell r="Z668">
            <v>476.22459687817343</v>
          </cell>
          <cell r="AA668" t="str">
            <v/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</row>
        <row r="669">
          <cell r="B669" t="str">
            <v>41-K-7001B</v>
          </cell>
          <cell r="C669" t="str">
            <v>Product Transfer Blower</v>
          </cell>
          <cell r="D669" t="str">
            <v>A</v>
          </cell>
          <cell r="E669" t="str">
            <v>4850-HDB-101A</v>
          </cell>
          <cell r="F669">
            <v>10000</v>
          </cell>
          <cell r="O669" t="str">
            <v>N</v>
          </cell>
          <cell r="P669" t="str">
            <v>M</v>
          </cell>
          <cell r="Q669">
            <v>3</v>
          </cell>
          <cell r="R669">
            <v>800</v>
          </cell>
          <cell r="S669">
            <v>730</v>
          </cell>
          <cell r="T669">
            <v>0.91249999999999998</v>
          </cell>
          <cell r="U669">
            <v>0.85</v>
          </cell>
          <cell r="V669">
            <v>0.95</v>
          </cell>
          <cell r="X669" t="str">
            <v>S</v>
          </cell>
          <cell r="Y669" t="str">
            <v/>
          </cell>
          <cell r="Z669" t="str">
            <v/>
          </cell>
          <cell r="AA669" t="str">
            <v/>
          </cell>
          <cell r="AB669" t="str">
            <v/>
          </cell>
          <cell r="AC669">
            <v>768.42105263157896</v>
          </cell>
          <cell r="AD669">
            <v>476.22459687817343</v>
          </cell>
          <cell r="AE669" t="str">
            <v/>
          </cell>
        </row>
        <row r="670">
          <cell r="B670" t="str">
            <v>41-K-2401A</v>
          </cell>
          <cell r="C670" t="str">
            <v xml:space="preserve">Ethylene Feed Compressor </v>
          </cell>
          <cell r="D670" t="str">
            <v>A</v>
          </cell>
          <cell r="E670" t="str">
            <v>4850-HDB-101A</v>
          </cell>
          <cell r="F670">
            <v>10000</v>
          </cell>
          <cell r="O670" t="str">
            <v>N</v>
          </cell>
          <cell r="P670" t="str">
            <v>M</v>
          </cell>
          <cell r="Q670">
            <v>3</v>
          </cell>
          <cell r="R670">
            <v>1500</v>
          </cell>
          <cell r="S670">
            <v>1311</v>
          </cell>
          <cell r="T670">
            <v>0.874</v>
          </cell>
          <cell r="U670">
            <v>0.85</v>
          </cell>
          <cell r="V670">
            <v>0.95</v>
          </cell>
          <cell r="X670" t="str">
            <v>C</v>
          </cell>
          <cell r="Y670">
            <v>1380</v>
          </cell>
          <cell r="Z670">
            <v>855.24718699628124</v>
          </cell>
          <cell r="AA670" t="str">
            <v/>
          </cell>
          <cell r="AB670" t="str">
            <v/>
          </cell>
          <cell r="AC670" t="str">
            <v/>
          </cell>
          <cell r="AD670" t="str">
            <v/>
          </cell>
          <cell r="AE670" t="str">
            <v>SOFT STARTER</v>
          </cell>
        </row>
        <row r="671">
          <cell r="B671" t="str">
            <v>41-K-2401B</v>
          </cell>
          <cell r="C671" t="str">
            <v xml:space="preserve">Ethylene Feed Compressor </v>
          </cell>
          <cell r="D671" t="str">
            <v>A</v>
          </cell>
          <cell r="E671" t="str">
            <v>4850-HDB-101A</v>
          </cell>
          <cell r="F671">
            <v>10000</v>
          </cell>
          <cell r="O671" t="str">
            <v>N</v>
          </cell>
          <cell r="P671" t="str">
            <v>M</v>
          </cell>
          <cell r="Q671">
            <v>3</v>
          </cell>
          <cell r="R671">
            <v>1500</v>
          </cell>
          <cell r="S671">
            <v>1311</v>
          </cell>
          <cell r="T671">
            <v>0.874</v>
          </cell>
          <cell r="U671">
            <v>0.85</v>
          </cell>
          <cell r="V671">
            <v>0.95</v>
          </cell>
          <cell r="X671" t="str">
            <v>C</v>
          </cell>
          <cell r="Y671">
            <v>1380</v>
          </cell>
          <cell r="Z671">
            <v>855.24718699628124</v>
          </cell>
          <cell r="AA671" t="str">
            <v/>
          </cell>
          <cell r="AB671" t="str">
            <v/>
          </cell>
          <cell r="AC671" t="str">
            <v/>
          </cell>
          <cell r="AD671" t="str">
            <v/>
          </cell>
          <cell r="AE671" t="str">
            <v>SOFT STARTER</v>
          </cell>
        </row>
        <row r="672">
          <cell r="B672" t="str">
            <v>41-P-4202</v>
          </cell>
          <cell r="C672" t="str">
            <v>Reactor B Coolant Pump</v>
          </cell>
          <cell r="D672" t="str">
            <v>B</v>
          </cell>
          <cell r="E672" t="str">
            <v>4850-HDB-101B</v>
          </cell>
          <cell r="F672">
            <v>10000</v>
          </cell>
          <cell r="O672" t="str">
            <v>N</v>
          </cell>
          <cell r="P672" t="str">
            <v>M</v>
          </cell>
          <cell r="Q672">
            <v>3</v>
          </cell>
          <cell r="R672">
            <v>970</v>
          </cell>
          <cell r="S672">
            <v>870</v>
          </cell>
          <cell r="T672">
            <v>0.89690721649484539</v>
          </cell>
          <cell r="U672">
            <v>0.85</v>
          </cell>
          <cell r="V672">
            <v>0.95</v>
          </cell>
          <cell r="X672" t="str">
            <v>C</v>
          </cell>
          <cell r="Y672">
            <v>915.78947368421052</v>
          </cell>
          <cell r="Z672">
            <v>567.55534148494644</v>
          </cell>
          <cell r="AA672" t="str">
            <v/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</row>
        <row r="673">
          <cell r="B673" t="str">
            <v>41-P-4201</v>
          </cell>
          <cell r="C673" t="str">
            <v>Reactor B Circulation Pump</v>
          </cell>
          <cell r="D673" t="str">
            <v>A</v>
          </cell>
          <cell r="E673" t="str">
            <v>4850-HDB-101A</v>
          </cell>
          <cell r="F673">
            <v>10000</v>
          </cell>
          <cell r="O673" t="str">
            <v>N</v>
          </cell>
          <cell r="P673" t="str">
            <v>M</v>
          </cell>
          <cell r="Q673">
            <v>3</v>
          </cell>
          <cell r="R673">
            <v>2600</v>
          </cell>
          <cell r="S673">
            <v>1600</v>
          </cell>
          <cell r="T673">
            <v>0.61538461538461542</v>
          </cell>
          <cell r="U673">
            <v>0.85</v>
          </cell>
          <cell r="V673">
            <v>0.95</v>
          </cell>
          <cell r="X673" t="str">
            <v>C</v>
          </cell>
          <cell r="Y673">
            <v>1684.2105263157896</v>
          </cell>
          <cell r="Z673">
            <v>1043.77993836312</v>
          </cell>
          <cell r="AA673" t="str">
            <v/>
          </cell>
          <cell r="AB673" t="str">
            <v/>
          </cell>
          <cell r="AC673" t="str">
            <v/>
          </cell>
          <cell r="AD673" t="str">
            <v/>
          </cell>
          <cell r="AE673" t="str">
            <v>SOFT STARTER</v>
          </cell>
        </row>
        <row r="674">
          <cell r="B674" t="str">
            <v>41-K-5021</v>
          </cell>
          <cell r="C674" t="str">
            <v xml:space="preserve">INRU Compressor </v>
          </cell>
          <cell r="D674" t="str">
            <v>B</v>
          </cell>
          <cell r="E674" t="str">
            <v>4850-HDB-101B</v>
          </cell>
          <cell r="F674">
            <v>10000</v>
          </cell>
          <cell r="O674" t="str">
            <v>N</v>
          </cell>
          <cell r="P674" t="str">
            <v>M</v>
          </cell>
          <cell r="Q674">
            <v>3</v>
          </cell>
          <cell r="R674">
            <v>2100</v>
          </cell>
          <cell r="S674">
            <v>1500</v>
          </cell>
          <cell r="T674">
            <v>0.7142857142857143</v>
          </cell>
          <cell r="U674">
            <v>0.85</v>
          </cell>
          <cell r="V674">
            <v>0.95</v>
          </cell>
          <cell r="X674" t="str">
            <v>C</v>
          </cell>
          <cell r="Y674">
            <v>1578.9473684210527</v>
          </cell>
          <cell r="Z674">
            <v>978.54369221542493</v>
          </cell>
          <cell r="AA674" t="str">
            <v/>
          </cell>
          <cell r="AB674" t="str">
            <v/>
          </cell>
          <cell r="AC674" t="str">
            <v/>
          </cell>
          <cell r="AD674" t="str">
            <v/>
          </cell>
          <cell r="AE674" t="str">
            <v>SOFT STARTER</v>
          </cell>
        </row>
        <row r="675">
          <cell r="B675" t="str">
            <v>63-P-0001C</v>
          </cell>
          <cell r="C675" t="str">
            <v>Cooling Water Pump (Motor-driven)</v>
          </cell>
          <cell r="D675" t="str">
            <v>A</v>
          </cell>
          <cell r="E675" t="str">
            <v>4850-HDB-101A</v>
          </cell>
          <cell r="F675">
            <v>10000</v>
          </cell>
          <cell r="O675" t="str">
            <v>N</v>
          </cell>
          <cell r="P675" t="str">
            <v>M</v>
          </cell>
          <cell r="Q675">
            <v>3</v>
          </cell>
          <cell r="R675">
            <v>2950</v>
          </cell>
          <cell r="S675">
            <v>2400</v>
          </cell>
          <cell r="T675">
            <v>0.81355932203389836</v>
          </cell>
          <cell r="U675">
            <v>0.85</v>
          </cell>
          <cell r="V675">
            <v>0.95</v>
          </cell>
          <cell r="X675" t="str">
            <v>C</v>
          </cell>
          <cell r="Y675">
            <v>2526.3157894736842</v>
          </cell>
          <cell r="Z675">
            <v>1565.6699075446797</v>
          </cell>
          <cell r="AA675" t="str">
            <v/>
          </cell>
          <cell r="AB675" t="str">
            <v/>
          </cell>
          <cell r="AC675" t="str">
            <v/>
          </cell>
          <cell r="AD675" t="str">
            <v/>
          </cell>
          <cell r="AE675" t="str">
            <v>SOFT STARTER</v>
          </cell>
        </row>
        <row r="676">
          <cell r="B676" t="str">
            <v>63-P-0001D</v>
          </cell>
          <cell r="C676" t="str">
            <v>Cooling Water Pump (Motor-driven)</v>
          </cell>
          <cell r="D676" t="str">
            <v>B</v>
          </cell>
          <cell r="E676" t="str">
            <v>4850-HDB-101B</v>
          </cell>
          <cell r="F676">
            <v>10000</v>
          </cell>
          <cell r="O676" t="str">
            <v>N</v>
          </cell>
          <cell r="P676" t="str">
            <v>M</v>
          </cell>
          <cell r="Q676">
            <v>3</v>
          </cell>
          <cell r="R676">
            <v>2950</v>
          </cell>
          <cell r="S676">
            <v>2400</v>
          </cell>
          <cell r="T676">
            <v>0.81355932203389836</v>
          </cell>
          <cell r="U676">
            <v>0.85</v>
          </cell>
          <cell r="V676">
            <v>0.95</v>
          </cell>
          <cell r="X676" t="str">
            <v>C</v>
          </cell>
          <cell r="Y676">
            <v>2526.3157894736842</v>
          </cell>
          <cell r="Z676">
            <v>1565.6699075446797</v>
          </cell>
          <cell r="AA676" t="str">
            <v/>
          </cell>
          <cell r="AB676" t="str">
            <v/>
          </cell>
          <cell r="AC676" t="str">
            <v/>
          </cell>
          <cell r="AD676" t="str">
            <v/>
          </cell>
          <cell r="AE676" t="str">
            <v>SOFT STARTER</v>
          </cell>
        </row>
        <row r="677">
          <cell r="B677" t="str">
            <v>63-P-0001E</v>
          </cell>
          <cell r="C677" t="str">
            <v>Cooling Water Pump (Motor-driven)</v>
          </cell>
          <cell r="D677" t="str">
            <v>A</v>
          </cell>
          <cell r="E677" t="str">
            <v>4850-HDB-101A</v>
          </cell>
          <cell r="F677">
            <v>10000</v>
          </cell>
          <cell r="O677" t="str">
            <v>N</v>
          </cell>
          <cell r="P677" t="str">
            <v>M</v>
          </cell>
          <cell r="Q677">
            <v>3</v>
          </cell>
          <cell r="R677">
            <v>2950</v>
          </cell>
          <cell r="S677">
            <v>2400</v>
          </cell>
          <cell r="T677">
            <v>0.81355932203389836</v>
          </cell>
          <cell r="U677">
            <v>0.85</v>
          </cell>
          <cell r="V677">
            <v>0.95</v>
          </cell>
          <cell r="X677" t="str">
            <v>S</v>
          </cell>
          <cell r="Y677" t="str">
            <v/>
          </cell>
          <cell r="Z677" t="str">
            <v/>
          </cell>
          <cell r="AA677" t="str">
            <v/>
          </cell>
          <cell r="AB677" t="str">
            <v/>
          </cell>
          <cell r="AC677">
            <v>2526.3157894736842</v>
          </cell>
          <cell r="AD677">
            <v>1565.6699075446797</v>
          </cell>
          <cell r="AE677" t="str">
            <v>SOFT STARTER</v>
          </cell>
        </row>
        <row r="679">
          <cell r="B679" t="str">
            <v>41-E-2016</v>
          </cell>
          <cell r="C679" t="str">
            <v>Ethylene Treater Regeneration Heater</v>
          </cell>
          <cell r="D679" t="str">
            <v>A</v>
          </cell>
          <cell r="E679" t="str">
            <v>4850-HDB-101A</v>
          </cell>
          <cell r="F679">
            <v>10000</v>
          </cell>
          <cell r="G679" t="str">
            <v>MS-xxxx</v>
          </cell>
          <cell r="M679" t="str">
            <v/>
          </cell>
          <cell r="O679" t="str">
            <v>N</v>
          </cell>
          <cell r="P679" t="str">
            <v>F</v>
          </cell>
          <cell r="Q679">
            <v>3</v>
          </cell>
          <cell r="R679">
            <v>820</v>
          </cell>
          <cell r="S679">
            <v>656</v>
          </cell>
          <cell r="T679">
            <v>0.8</v>
          </cell>
          <cell r="U679">
            <v>0.85</v>
          </cell>
          <cell r="V679">
            <v>1</v>
          </cell>
          <cell r="X679" t="str">
            <v>C</v>
          </cell>
          <cell r="Y679">
            <v>656</v>
          </cell>
          <cell r="Z679">
            <v>406.55228599243515</v>
          </cell>
          <cell r="AA679" t="str">
            <v/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</row>
        <row r="680">
          <cell r="B680" t="str">
            <v>41-E-5016</v>
          </cell>
          <cell r="C680" t="str">
            <v>Treater Regeneration Heater</v>
          </cell>
          <cell r="D680" t="str">
            <v>B</v>
          </cell>
          <cell r="E680" t="str">
            <v>4850-HDB-101B</v>
          </cell>
          <cell r="F680">
            <v>10000</v>
          </cell>
          <cell r="G680" t="str">
            <v>MS-xxxx</v>
          </cell>
          <cell r="M680" t="str">
            <v/>
          </cell>
          <cell r="O680" t="str">
            <v>N</v>
          </cell>
          <cell r="P680" t="str">
            <v>F</v>
          </cell>
          <cell r="Q680">
            <v>3</v>
          </cell>
          <cell r="R680">
            <v>600</v>
          </cell>
          <cell r="S680">
            <v>480</v>
          </cell>
          <cell r="T680">
            <v>0.8</v>
          </cell>
          <cell r="U680">
            <v>0.85</v>
          </cell>
          <cell r="V680">
            <v>1</v>
          </cell>
          <cell r="X680" t="str">
            <v>C</v>
          </cell>
          <cell r="Y680">
            <v>480</v>
          </cell>
          <cell r="Z680">
            <v>297.47728243348917</v>
          </cell>
          <cell r="AA680" t="str">
            <v/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</row>
        <row r="681">
          <cell r="B681" t="str">
            <v>41-E-5058</v>
          </cell>
          <cell r="C681" t="str">
            <v>Light Olefin Recovery Heater</v>
          </cell>
          <cell r="D681" t="str">
            <v>A</v>
          </cell>
          <cell r="E681" t="str">
            <v>4850-HDB-101A</v>
          </cell>
          <cell r="F681">
            <v>10000</v>
          </cell>
          <cell r="G681" t="str">
            <v>MS-xxxx</v>
          </cell>
          <cell r="M681" t="str">
            <v/>
          </cell>
          <cell r="O681" t="str">
            <v>N</v>
          </cell>
          <cell r="P681" t="str">
            <v>F</v>
          </cell>
          <cell r="Q681">
            <v>3</v>
          </cell>
          <cell r="R681">
            <v>200</v>
          </cell>
          <cell r="S681">
            <v>160</v>
          </cell>
          <cell r="T681">
            <v>0.8</v>
          </cell>
          <cell r="U681">
            <v>0.85</v>
          </cell>
          <cell r="V681">
            <v>1</v>
          </cell>
          <cell r="X681" t="str">
            <v>C</v>
          </cell>
          <cell r="Y681">
            <v>160</v>
          </cell>
          <cell r="Z681">
            <v>99.159094144496379</v>
          </cell>
          <cell r="AA681" t="str">
            <v/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본 "/>
      <sheetName val="Load List(원본)"/>
      <sheetName val="Load List "/>
    </sheetNames>
    <sheetDataSet>
      <sheetData sheetId="0"/>
      <sheetData sheetId="1">
        <row r="10">
          <cell r="B10" t="str">
            <v>Process Equipment</v>
          </cell>
          <cell r="U10">
            <v>0</v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A11" t="str">
            <v>PEU-2</v>
          </cell>
          <cell r="B11" t="str">
            <v>41-P-4102</v>
          </cell>
          <cell r="C11" t="str">
            <v>Reactor A Coolant Pump</v>
          </cell>
          <cell r="D11">
            <v>4104</v>
          </cell>
          <cell r="E11" t="str">
            <v>ISBL</v>
          </cell>
          <cell r="J11" t="str">
            <v>3</v>
          </cell>
          <cell r="K11">
            <v>10000</v>
          </cell>
          <cell r="L11" t="str">
            <v>AC</v>
          </cell>
          <cell r="M11" t="str">
            <v>M</v>
          </cell>
          <cell r="N11" t="str">
            <v>N</v>
          </cell>
          <cell r="O11" t="str">
            <v/>
          </cell>
          <cell r="P11" t="str">
            <v>4850-HDB-101A</v>
          </cell>
          <cell r="Q11" t="str">
            <v>C</v>
          </cell>
          <cell r="S11">
            <v>870</v>
          </cell>
          <cell r="T11">
            <v>970</v>
          </cell>
          <cell r="X11">
            <v>0.95</v>
          </cell>
          <cell r="Y11">
            <v>0.85</v>
          </cell>
        </row>
        <row r="12">
          <cell r="A12" t="str">
            <v>PEU-2</v>
          </cell>
          <cell r="B12" t="str">
            <v>41-P-4101</v>
          </cell>
          <cell r="C12" t="str">
            <v>Reactor A Circulation Pump</v>
          </cell>
          <cell r="D12">
            <v>4102</v>
          </cell>
          <cell r="E12" t="str">
            <v>ISBL</v>
          </cell>
          <cell r="J12" t="str">
            <v>3</v>
          </cell>
          <cell r="K12">
            <v>10000</v>
          </cell>
          <cell r="L12" t="str">
            <v>AC</v>
          </cell>
          <cell r="M12" t="str">
            <v>M</v>
          </cell>
          <cell r="N12" t="str">
            <v>N</v>
          </cell>
          <cell r="O12" t="str">
            <v>SOFT STARTER</v>
          </cell>
          <cell r="P12" t="str">
            <v>4850-HDB-101B</v>
          </cell>
          <cell r="Q12" t="str">
            <v>C</v>
          </cell>
          <cell r="S12">
            <v>1600</v>
          </cell>
          <cell r="T12">
            <v>2600</v>
          </cell>
          <cell r="X12">
            <v>0.95</v>
          </cell>
          <cell r="Y12">
            <v>0.85</v>
          </cell>
        </row>
        <row r="13">
          <cell r="A13" t="str">
            <v>PEU-2</v>
          </cell>
          <cell r="B13" t="str">
            <v>41-PK-6040-2</v>
          </cell>
          <cell r="C13" t="str">
            <v>Extruder Gear Pump</v>
          </cell>
          <cell r="D13">
            <v>4107</v>
          </cell>
          <cell r="E13" t="str">
            <v>ISBL</v>
          </cell>
          <cell r="J13" t="str">
            <v>3</v>
          </cell>
          <cell r="K13">
            <v>10000</v>
          </cell>
          <cell r="L13" t="str">
            <v>AC</v>
          </cell>
          <cell r="M13" t="str">
            <v>M</v>
          </cell>
          <cell r="N13" t="str">
            <v>N</v>
          </cell>
          <cell r="O13" t="str">
            <v>VSD</v>
          </cell>
          <cell r="P13" t="str">
            <v>4850-HDB-101A</v>
          </cell>
          <cell r="Q13" t="str">
            <v>C</v>
          </cell>
          <cell r="S13">
            <v>2250</v>
          </cell>
          <cell r="T13">
            <v>2500</v>
          </cell>
          <cell r="X13">
            <v>0.95</v>
          </cell>
          <cell r="Y13">
            <v>0.85</v>
          </cell>
        </row>
        <row r="14">
          <cell r="A14" t="str">
            <v>PEU-2</v>
          </cell>
          <cell r="B14" t="str">
            <v>41-BL-6001A</v>
          </cell>
          <cell r="C14" t="str">
            <v>Fluff Transfer Blower</v>
          </cell>
          <cell r="D14">
            <v>4102</v>
          </cell>
          <cell r="E14" t="str">
            <v>ISBL</v>
          </cell>
          <cell r="J14" t="str">
            <v>3</v>
          </cell>
          <cell r="K14">
            <v>10000</v>
          </cell>
          <cell r="L14" t="str">
            <v>AC</v>
          </cell>
          <cell r="M14" t="str">
            <v>M</v>
          </cell>
          <cell r="N14" t="str">
            <v>N</v>
          </cell>
          <cell r="O14" t="str">
            <v/>
          </cell>
          <cell r="P14" t="str">
            <v>4850-HDB-101B</v>
          </cell>
          <cell r="Q14" t="str">
            <v>C</v>
          </cell>
          <cell r="S14">
            <v>550</v>
          </cell>
          <cell r="T14">
            <v>700</v>
          </cell>
          <cell r="X14">
            <v>0.95</v>
          </cell>
          <cell r="Y14">
            <v>0.85</v>
          </cell>
        </row>
        <row r="15">
          <cell r="A15" t="str">
            <v>PEU-2</v>
          </cell>
          <cell r="B15" t="str">
            <v>41-BL-6001B</v>
          </cell>
          <cell r="C15" t="str">
            <v>Fluff Transfer Blower</v>
          </cell>
          <cell r="D15">
            <v>4102</v>
          </cell>
          <cell r="E15" t="str">
            <v>ISBL</v>
          </cell>
          <cell r="J15" t="str">
            <v>3</v>
          </cell>
          <cell r="K15">
            <v>10000</v>
          </cell>
          <cell r="L15" t="str">
            <v>AC</v>
          </cell>
          <cell r="M15" t="str">
            <v>M</v>
          </cell>
          <cell r="N15" t="str">
            <v>N</v>
          </cell>
          <cell r="O15" t="str">
            <v/>
          </cell>
          <cell r="P15" t="str">
            <v>4850-HDB-101A</v>
          </cell>
          <cell r="Q15" t="str">
            <v>S</v>
          </cell>
          <cell r="S15">
            <v>550</v>
          </cell>
          <cell r="T15">
            <v>700</v>
          </cell>
          <cell r="X15">
            <v>0.95</v>
          </cell>
          <cell r="Y15">
            <v>0.85</v>
          </cell>
        </row>
        <row r="16">
          <cell r="A16" t="str">
            <v>PEU-2</v>
          </cell>
          <cell r="B16" t="str">
            <v>41-K-7001A</v>
          </cell>
          <cell r="C16" t="str">
            <v>Product Transfer Blower</v>
          </cell>
          <cell r="D16">
            <v>4107</v>
          </cell>
          <cell r="E16" t="str">
            <v>ISBL</v>
          </cell>
          <cell r="J16" t="str">
            <v>3</v>
          </cell>
          <cell r="K16">
            <v>10000</v>
          </cell>
          <cell r="L16" t="str">
            <v>AC</v>
          </cell>
          <cell r="M16" t="str">
            <v>M</v>
          </cell>
          <cell r="N16" t="str">
            <v>N</v>
          </cell>
          <cell r="O16" t="str">
            <v/>
          </cell>
          <cell r="P16" t="str">
            <v>4850-HDB-101B</v>
          </cell>
          <cell r="Q16" t="str">
            <v>C</v>
          </cell>
          <cell r="S16">
            <v>730</v>
          </cell>
          <cell r="T16">
            <v>800</v>
          </cell>
          <cell r="X16">
            <v>0.95</v>
          </cell>
          <cell r="Y16">
            <v>0.85</v>
          </cell>
        </row>
        <row r="17">
          <cell r="A17" t="str">
            <v>PEU-2</v>
          </cell>
          <cell r="B17" t="str">
            <v>41-K-7001B</v>
          </cell>
          <cell r="C17" t="str">
            <v>Product Transfer Blower</v>
          </cell>
          <cell r="D17">
            <v>4107</v>
          </cell>
          <cell r="E17" t="str">
            <v>ISBL</v>
          </cell>
          <cell r="J17" t="str">
            <v>3</v>
          </cell>
          <cell r="K17">
            <v>10000</v>
          </cell>
          <cell r="L17" t="str">
            <v>AC</v>
          </cell>
          <cell r="M17" t="str">
            <v>M</v>
          </cell>
          <cell r="N17" t="str">
            <v>N</v>
          </cell>
          <cell r="O17" t="str">
            <v/>
          </cell>
          <cell r="P17" t="str">
            <v>4850-HDB-101A</v>
          </cell>
          <cell r="Q17" t="str">
            <v>S</v>
          </cell>
          <cell r="S17">
            <v>730</v>
          </cell>
          <cell r="T17">
            <v>800</v>
          </cell>
          <cell r="X17">
            <v>0.95</v>
          </cell>
          <cell r="Y17">
            <v>0.85</v>
          </cell>
        </row>
        <row r="18">
          <cell r="A18" t="str">
            <v>PEU-2</v>
          </cell>
          <cell r="B18" t="str">
            <v>41-K-2401A</v>
          </cell>
          <cell r="C18" t="str">
            <v xml:space="preserve">Ethylene Feed Compressor </v>
          </cell>
          <cell r="D18">
            <v>4103</v>
          </cell>
          <cell r="E18" t="str">
            <v>ISBL</v>
          </cell>
          <cell r="J18" t="str">
            <v>3</v>
          </cell>
          <cell r="K18">
            <v>10000</v>
          </cell>
          <cell r="L18" t="str">
            <v>AC</v>
          </cell>
          <cell r="M18" t="str">
            <v>M</v>
          </cell>
          <cell r="N18" t="str">
            <v>N</v>
          </cell>
          <cell r="O18" t="str">
            <v>SOFT STARTER</v>
          </cell>
          <cell r="P18" t="str">
            <v>4850-HDB-101A</v>
          </cell>
          <cell r="Q18" t="str">
            <v>C</v>
          </cell>
          <cell r="S18">
            <v>1311</v>
          </cell>
          <cell r="T18">
            <v>1500</v>
          </cell>
          <cell r="X18">
            <v>0.95</v>
          </cell>
          <cell r="Y18">
            <v>0.85</v>
          </cell>
        </row>
        <row r="19">
          <cell r="A19" t="str">
            <v>PEU-2</v>
          </cell>
          <cell r="B19" t="str">
            <v>41-K-2401B</v>
          </cell>
          <cell r="C19" t="str">
            <v xml:space="preserve">Ethylene Feed Compressor </v>
          </cell>
          <cell r="D19">
            <v>0</v>
          </cell>
          <cell r="E19" t="str">
            <v>ISBL</v>
          </cell>
          <cell r="J19" t="str">
            <v>3</v>
          </cell>
          <cell r="K19">
            <v>10000</v>
          </cell>
          <cell r="L19" t="str">
            <v>AC</v>
          </cell>
          <cell r="M19" t="str">
            <v>M</v>
          </cell>
          <cell r="N19" t="str">
            <v>N</v>
          </cell>
          <cell r="O19" t="str">
            <v>SOFT STARTER</v>
          </cell>
          <cell r="P19" t="str">
            <v>4850-HDB-101A</v>
          </cell>
          <cell r="Q19" t="str">
            <v>C</v>
          </cell>
          <cell r="S19">
            <v>1311</v>
          </cell>
          <cell r="T19">
            <v>1500</v>
          </cell>
          <cell r="X19">
            <v>0.95</v>
          </cell>
          <cell r="Y19">
            <v>0.85</v>
          </cell>
        </row>
        <row r="20">
          <cell r="A20" t="str">
            <v>PEU-2</v>
          </cell>
          <cell r="B20" t="str">
            <v>41-P-4202</v>
          </cell>
          <cell r="C20" t="str">
            <v>Reactor B Coolant Pump</v>
          </cell>
          <cell r="D20">
            <v>4104</v>
          </cell>
          <cell r="E20" t="str">
            <v>ISBL</v>
          </cell>
          <cell r="J20" t="str">
            <v>3</v>
          </cell>
          <cell r="K20">
            <v>10000</v>
          </cell>
          <cell r="L20" t="str">
            <v>AC</v>
          </cell>
          <cell r="M20" t="str">
            <v>M</v>
          </cell>
          <cell r="N20" t="str">
            <v>N</v>
          </cell>
          <cell r="O20" t="str">
            <v/>
          </cell>
          <cell r="P20" t="str">
            <v>4850-HDB-101B</v>
          </cell>
          <cell r="Q20" t="str">
            <v>C</v>
          </cell>
          <cell r="S20">
            <v>870</v>
          </cell>
          <cell r="T20">
            <v>970</v>
          </cell>
          <cell r="X20">
            <v>0.95</v>
          </cell>
          <cell r="Y20">
            <v>0.85</v>
          </cell>
        </row>
        <row r="21">
          <cell r="A21" t="str">
            <v>PEU-2</v>
          </cell>
          <cell r="B21" t="str">
            <v>41-P-4201</v>
          </cell>
          <cell r="C21" t="str">
            <v>Reactor B Circulation Pump</v>
          </cell>
          <cell r="D21">
            <v>4102</v>
          </cell>
          <cell r="E21" t="str">
            <v>ISBL</v>
          </cell>
          <cell r="J21" t="str">
            <v>3</v>
          </cell>
          <cell r="K21">
            <v>10000</v>
          </cell>
          <cell r="L21" t="str">
            <v>AC</v>
          </cell>
          <cell r="M21" t="str">
            <v>M</v>
          </cell>
          <cell r="N21" t="str">
            <v>N</v>
          </cell>
          <cell r="O21" t="str">
            <v>SOFT STARTER</v>
          </cell>
          <cell r="P21" t="str">
            <v>4850-HDB-101A</v>
          </cell>
          <cell r="Q21" t="str">
            <v>C</v>
          </cell>
          <cell r="S21">
            <v>1600</v>
          </cell>
          <cell r="T21">
            <v>2600</v>
          </cell>
          <cell r="X21">
            <v>0.95</v>
          </cell>
          <cell r="Y21">
            <v>0.85</v>
          </cell>
        </row>
        <row r="22">
          <cell r="A22" t="str">
            <v>PEU-2</v>
          </cell>
          <cell r="B22" t="str">
            <v>41-K-5021</v>
          </cell>
          <cell r="C22" t="str">
            <v xml:space="preserve">INRU Compressor </v>
          </cell>
          <cell r="D22">
            <v>4101</v>
          </cell>
          <cell r="E22" t="str">
            <v>ISBL</v>
          </cell>
          <cell r="J22" t="str">
            <v>3</v>
          </cell>
          <cell r="K22">
            <v>10000</v>
          </cell>
          <cell r="L22" t="str">
            <v>AC</v>
          </cell>
          <cell r="M22" t="str">
            <v>M</v>
          </cell>
          <cell r="N22" t="str">
            <v>N</v>
          </cell>
          <cell r="O22" t="str">
            <v>SOFT STARTER</v>
          </cell>
          <cell r="P22" t="str">
            <v>4850-HDB-101B</v>
          </cell>
          <cell r="Q22" t="str">
            <v>C</v>
          </cell>
          <cell r="S22">
            <v>1500</v>
          </cell>
          <cell r="T22">
            <v>2100</v>
          </cell>
          <cell r="X22">
            <v>0.95</v>
          </cell>
          <cell r="Y22">
            <v>0.85</v>
          </cell>
        </row>
        <row r="23">
          <cell r="A23" t="str">
            <v>C/T</v>
          </cell>
          <cell r="B23" t="str">
            <v>63-P-0001C</v>
          </cell>
          <cell r="C23" t="str">
            <v>Cooling Water Pump (Motor-driven)</v>
          </cell>
          <cell r="D23">
            <v>6300</v>
          </cell>
          <cell r="E23" t="str">
            <v>ISBL</v>
          </cell>
          <cell r="J23" t="str">
            <v>3</v>
          </cell>
          <cell r="K23">
            <v>10000</v>
          </cell>
          <cell r="L23" t="str">
            <v>AC</v>
          </cell>
          <cell r="M23" t="str">
            <v>M</v>
          </cell>
          <cell r="N23" t="str">
            <v>N</v>
          </cell>
          <cell r="O23" t="str">
            <v>SOFT STARTER</v>
          </cell>
          <cell r="P23" t="str">
            <v>4850-HDB-101A</v>
          </cell>
          <cell r="Q23" t="str">
            <v>C</v>
          </cell>
          <cell r="S23">
            <v>2400</v>
          </cell>
          <cell r="T23">
            <v>2950</v>
          </cell>
          <cell r="X23">
            <v>0.95</v>
          </cell>
          <cell r="Y23">
            <v>0.85</v>
          </cell>
        </row>
        <row r="24">
          <cell r="A24" t="str">
            <v>C/T</v>
          </cell>
          <cell r="B24" t="str">
            <v>63-P-0001D</v>
          </cell>
          <cell r="C24" t="str">
            <v>Cooling Water Pump (Motor-driven)</v>
          </cell>
          <cell r="D24">
            <v>6300</v>
          </cell>
          <cell r="E24" t="str">
            <v>ISBL</v>
          </cell>
          <cell r="J24" t="str">
            <v>3</v>
          </cell>
          <cell r="K24">
            <v>10000</v>
          </cell>
          <cell r="L24" t="str">
            <v>AC</v>
          </cell>
          <cell r="M24" t="str">
            <v>M</v>
          </cell>
          <cell r="N24" t="str">
            <v>N</v>
          </cell>
          <cell r="O24" t="str">
            <v>SOFT STARTER</v>
          </cell>
          <cell r="P24" t="str">
            <v>4850-HDB-101B</v>
          </cell>
          <cell r="Q24" t="str">
            <v>C</v>
          </cell>
          <cell r="S24">
            <v>2400</v>
          </cell>
          <cell r="T24">
            <v>2950</v>
          </cell>
          <cell r="X24">
            <v>0.95</v>
          </cell>
          <cell r="Y24">
            <v>0.85</v>
          </cell>
        </row>
        <row r="25">
          <cell r="A25" t="str">
            <v>C/T</v>
          </cell>
          <cell r="B25" t="str">
            <v>63-P-0001E</v>
          </cell>
          <cell r="C25" t="str">
            <v>Cooling Water Pump (Motor-driven)</v>
          </cell>
          <cell r="D25">
            <v>6300</v>
          </cell>
          <cell r="E25" t="str">
            <v>ISBL</v>
          </cell>
          <cell r="J25" t="str">
            <v>3</v>
          </cell>
          <cell r="K25">
            <v>10000</v>
          </cell>
          <cell r="L25" t="str">
            <v>AC</v>
          </cell>
          <cell r="M25" t="str">
            <v>M</v>
          </cell>
          <cell r="N25" t="str">
            <v>N</v>
          </cell>
          <cell r="O25" t="str">
            <v>SOFT STARTER</v>
          </cell>
          <cell r="P25" t="str">
            <v>4850-HDB-101A</v>
          </cell>
          <cell r="Q25" t="str">
            <v>S</v>
          </cell>
          <cell r="S25">
            <v>2400</v>
          </cell>
          <cell r="T25">
            <v>2950</v>
          </cell>
          <cell r="X25">
            <v>0.95</v>
          </cell>
          <cell r="Y25">
            <v>0.85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ISBL</v>
          </cell>
          <cell r="J26" t="str">
            <v>3</v>
          </cell>
          <cell r="K26">
            <v>0</v>
          </cell>
          <cell r="L26" t="str">
            <v>AC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X26">
            <v>0</v>
          </cell>
          <cell r="Y26">
            <v>0</v>
          </cell>
        </row>
        <row r="27">
          <cell r="A27" t="str">
            <v>PEU-2</v>
          </cell>
          <cell r="B27" t="str">
            <v>41-E-2016</v>
          </cell>
          <cell r="C27" t="str">
            <v>Ethylene Treater Regeneration Heater</v>
          </cell>
          <cell r="D27">
            <v>4103</v>
          </cell>
          <cell r="E27" t="str">
            <v>ISBL</v>
          </cell>
          <cell r="J27" t="str">
            <v>3</v>
          </cell>
          <cell r="K27">
            <v>10000</v>
          </cell>
          <cell r="L27" t="str">
            <v>AC</v>
          </cell>
          <cell r="M27" t="str">
            <v>F</v>
          </cell>
          <cell r="N27" t="str">
            <v>N</v>
          </cell>
          <cell r="O27" t="str">
            <v/>
          </cell>
          <cell r="P27" t="str">
            <v>4850-HDB-101A</v>
          </cell>
          <cell r="Q27" t="str">
            <v>C</v>
          </cell>
          <cell r="S27">
            <v>656</v>
          </cell>
          <cell r="T27">
            <v>820</v>
          </cell>
          <cell r="X27">
            <v>1</v>
          </cell>
          <cell r="Y27">
            <v>0.85</v>
          </cell>
        </row>
        <row r="28">
          <cell r="A28" t="str">
            <v>PEU-2</v>
          </cell>
          <cell r="B28" t="str">
            <v>41-E-5016</v>
          </cell>
          <cell r="C28" t="str">
            <v>Treater Regeneration Heater</v>
          </cell>
          <cell r="D28">
            <v>4104</v>
          </cell>
          <cell r="E28" t="str">
            <v>ISBL</v>
          </cell>
          <cell r="J28" t="str">
            <v>3</v>
          </cell>
          <cell r="K28">
            <v>10000</v>
          </cell>
          <cell r="L28" t="str">
            <v>AC</v>
          </cell>
          <cell r="M28" t="str">
            <v>F</v>
          </cell>
          <cell r="N28" t="str">
            <v>N</v>
          </cell>
          <cell r="O28" t="str">
            <v/>
          </cell>
          <cell r="P28" t="str">
            <v>4850-HDB-101B</v>
          </cell>
          <cell r="Q28" t="str">
            <v>C</v>
          </cell>
          <cell r="S28">
            <v>480</v>
          </cell>
          <cell r="T28">
            <v>600</v>
          </cell>
          <cell r="X28">
            <v>1</v>
          </cell>
          <cell r="Y28">
            <v>0.85</v>
          </cell>
        </row>
        <row r="29">
          <cell r="A29" t="str">
            <v>PEU-2</v>
          </cell>
          <cell r="B29" t="str">
            <v>41-E-5058</v>
          </cell>
          <cell r="C29" t="str">
            <v>Light Olefin Recovery Heater</v>
          </cell>
          <cell r="D29" t="str">
            <v>x</v>
          </cell>
          <cell r="E29" t="str">
            <v>ISBL</v>
          </cell>
          <cell r="J29" t="str">
            <v>3</v>
          </cell>
          <cell r="K29">
            <v>10000</v>
          </cell>
          <cell r="L29" t="str">
            <v>AC</v>
          </cell>
          <cell r="M29" t="str">
            <v>F</v>
          </cell>
          <cell r="N29" t="str">
            <v>N</v>
          </cell>
          <cell r="O29" t="str">
            <v/>
          </cell>
          <cell r="P29" t="str">
            <v>4850-HDB-101A</v>
          </cell>
          <cell r="Q29" t="str">
            <v>C</v>
          </cell>
          <cell r="S29">
            <v>160</v>
          </cell>
          <cell r="T29">
            <v>200</v>
          </cell>
          <cell r="X29">
            <v>1</v>
          </cell>
          <cell r="Y29">
            <v>0.85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ISBL</v>
          </cell>
          <cell r="J30" t="str">
            <v>3</v>
          </cell>
          <cell r="K30">
            <v>0</v>
          </cell>
          <cell r="L30" t="str">
            <v>AC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T30">
            <v>0</v>
          </cell>
          <cell r="X30">
            <v>0</v>
          </cell>
          <cell r="Y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ISBL</v>
          </cell>
          <cell r="J31" t="str">
            <v>3</v>
          </cell>
          <cell r="K31">
            <v>0</v>
          </cell>
          <cell r="L31" t="str">
            <v>AC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T31">
            <v>0</v>
          </cell>
          <cell r="X31">
            <v>0</v>
          </cell>
          <cell r="Y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ISBL</v>
          </cell>
          <cell r="J32" t="str">
            <v>3</v>
          </cell>
          <cell r="K32">
            <v>0</v>
          </cell>
          <cell r="L32" t="str">
            <v>AC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T32">
            <v>0</v>
          </cell>
          <cell r="X32">
            <v>0</v>
          </cell>
          <cell r="Y32">
            <v>0</v>
          </cell>
        </row>
        <row r="33">
          <cell r="A33" t="str">
            <v>PEU-2</v>
          </cell>
          <cell r="B33" t="str">
            <v>E-1001</v>
          </cell>
          <cell r="C33" t="str">
            <v>Catalyst Activator Air Preheater for Catalyst Activator Package</v>
          </cell>
          <cell r="D33">
            <v>4105</v>
          </cell>
          <cell r="E33" t="str">
            <v>ISBL</v>
          </cell>
          <cell r="J33" t="str">
            <v>3</v>
          </cell>
          <cell r="K33">
            <v>690</v>
          </cell>
          <cell r="L33" t="str">
            <v>AC</v>
          </cell>
          <cell r="M33" t="str">
            <v>F</v>
          </cell>
          <cell r="N33" t="str">
            <v>N</v>
          </cell>
          <cell r="O33" t="str">
            <v/>
          </cell>
          <cell r="P33" t="str">
            <v>4850-MDB-201B</v>
          </cell>
          <cell r="Q33" t="str">
            <v>C</v>
          </cell>
          <cell r="S33">
            <v>56</v>
          </cell>
          <cell r="T33">
            <v>70</v>
          </cell>
          <cell r="X33">
            <v>1</v>
          </cell>
          <cell r="Y33">
            <v>0.85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ISBL</v>
          </cell>
          <cell r="J34" t="str">
            <v>3</v>
          </cell>
          <cell r="K34">
            <v>0</v>
          </cell>
          <cell r="L34" t="str">
            <v>AC</v>
          </cell>
          <cell r="M34">
            <v>0</v>
          </cell>
          <cell r="N34">
            <v>0</v>
          </cell>
          <cell r="O34" t="str">
            <v/>
          </cell>
          <cell r="P34">
            <v>0</v>
          </cell>
          <cell r="Q34">
            <v>0</v>
          </cell>
          <cell r="S34">
            <v>0</v>
          </cell>
          <cell r="T34">
            <v>0</v>
          </cell>
          <cell r="X34">
            <v>0</v>
          </cell>
          <cell r="Y34">
            <v>0</v>
          </cell>
        </row>
        <row r="35">
          <cell r="A35" t="str">
            <v>PEU-2</v>
          </cell>
          <cell r="B35" t="str">
            <v>E-1002A</v>
          </cell>
          <cell r="C35" t="str">
            <v>Activator Heater for Catalyst Activator Package-A</v>
          </cell>
          <cell r="D35">
            <v>4105</v>
          </cell>
          <cell r="E35" t="str">
            <v>ISBL</v>
          </cell>
          <cell r="J35" t="str">
            <v>3</v>
          </cell>
          <cell r="K35">
            <v>690</v>
          </cell>
          <cell r="L35" t="str">
            <v>AC</v>
          </cell>
          <cell r="M35" t="str">
            <v>F</v>
          </cell>
          <cell r="N35" t="str">
            <v>N</v>
          </cell>
          <cell r="O35" t="str">
            <v/>
          </cell>
          <cell r="P35" t="str">
            <v>4850-MDB-201A</v>
          </cell>
          <cell r="Q35" t="str">
            <v>C</v>
          </cell>
          <cell r="S35">
            <v>160</v>
          </cell>
          <cell r="T35">
            <v>200</v>
          </cell>
          <cell r="X35">
            <v>1</v>
          </cell>
          <cell r="Y35">
            <v>0.85</v>
          </cell>
        </row>
        <row r="36">
          <cell r="A36" t="str">
            <v>PEU-2</v>
          </cell>
          <cell r="B36" t="str">
            <v>E-1002B</v>
          </cell>
          <cell r="C36" t="str">
            <v>Activator Heater for Catalyst Activator Package-B</v>
          </cell>
          <cell r="D36">
            <v>4105</v>
          </cell>
          <cell r="E36" t="str">
            <v>ISBL</v>
          </cell>
          <cell r="J36" t="str">
            <v>3</v>
          </cell>
          <cell r="K36">
            <v>690</v>
          </cell>
          <cell r="L36" t="str">
            <v>AC</v>
          </cell>
          <cell r="M36" t="str">
            <v>F</v>
          </cell>
          <cell r="N36" t="str">
            <v>N</v>
          </cell>
          <cell r="O36" t="str">
            <v/>
          </cell>
          <cell r="P36" t="str">
            <v>4850-MDB-201B</v>
          </cell>
          <cell r="Q36" t="str">
            <v>C</v>
          </cell>
          <cell r="S36">
            <v>160</v>
          </cell>
          <cell r="T36">
            <v>200</v>
          </cell>
          <cell r="X36">
            <v>1</v>
          </cell>
          <cell r="Y36">
            <v>0.85</v>
          </cell>
        </row>
        <row r="37">
          <cell r="A37" t="str">
            <v>PEU-2</v>
          </cell>
          <cell r="B37" t="str">
            <v>E-1002C</v>
          </cell>
          <cell r="C37" t="str">
            <v>Activator Heater for Catalyst Activator Package-C</v>
          </cell>
          <cell r="D37">
            <v>4105</v>
          </cell>
          <cell r="E37" t="str">
            <v>ISBL</v>
          </cell>
          <cell r="J37" t="str">
            <v>3</v>
          </cell>
          <cell r="K37">
            <v>690</v>
          </cell>
          <cell r="L37" t="str">
            <v>AC</v>
          </cell>
          <cell r="M37" t="str">
            <v>F</v>
          </cell>
          <cell r="N37" t="str">
            <v>N</v>
          </cell>
          <cell r="O37" t="str">
            <v/>
          </cell>
          <cell r="P37" t="str">
            <v>4850-MDB-201A</v>
          </cell>
          <cell r="Q37" t="str">
            <v>C</v>
          </cell>
          <cell r="S37">
            <v>160</v>
          </cell>
          <cell r="T37">
            <v>200</v>
          </cell>
          <cell r="X37">
            <v>1</v>
          </cell>
          <cell r="Y37">
            <v>0.85</v>
          </cell>
        </row>
        <row r="38">
          <cell r="A38" t="str">
            <v>PEU-2</v>
          </cell>
          <cell r="B38" t="str">
            <v>E-1002D</v>
          </cell>
          <cell r="C38" t="str">
            <v>Activator Heater for Catalyst Activator Package-D</v>
          </cell>
          <cell r="D38">
            <v>4105</v>
          </cell>
          <cell r="E38" t="str">
            <v>ISBL</v>
          </cell>
          <cell r="J38" t="str">
            <v>3</v>
          </cell>
          <cell r="K38">
            <v>690</v>
          </cell>
          <cell r="L38" t="str">
            <v>AC</v>
          </cell>
          <cell r="M38" t="str">
            <v>F</v>
          </cell>
          <cell r="N38" t="str">
            <v>N</v>
          </cell>
          <cell r="O38" t="str">
            <v/>
          </cell>
          <cell r="P38" t="str">
            <v>4850-MDB-201B</v>
          </cell>
          <cell r="Q38" t="str">
            <v>C</v>
          </cell>
          <cell r="S38">
            <v>160</v>
          </cell>
          <cell r="T38">
            <v>200</v>
          </cell>
          <cell r="X38">
            <v>1</v>
          </cell>
          <cell r="Y38">
            <v>0.85</v>
          </cell>
        </row>
        <row r="39">
          <cell r="A39" t="str">
            <v>PEU-2</v>
          </cell>
          <cell r="B39" t="str">
            <v>E-1002E</v>
          </cell>
          <cell r="C39" t="str">
            <v>Activator Heater for Catalyst Activator Package-E</v>
          </cell>
          <cell r="D39">
            <v>4105</v>
          </cell>
          <cell r="E39" t="str">
            <v>ISBL</v>
          </cell>
          <cell r="J39" t="str">
            <v>3</v>
          </cell>
          <cell r="K39">
            <v>690</v>
          </cell>
          <cell r="L39" t="str">
            <v>AC</v>
          </cell>
          <cell r="M39" t="str">
            <v>F</v>
          </cell>
          <cell r="N39" t="str">
            <v>N</v>
          </cell>
          <cell r="O39" t="str">
            <v/>
          </cell>
          <cell r="P39" t="str">
            <v>4850-MDB-201A</v>
          </cell>
          <cell r="Q39" t="str">
            <v>C</v>
          </cell>
          <cell r="S39">
            <v>160</v>
          </cell>
          <cell r="T39">
            <v>200</v>
          </cell>
          <cell r="X39">
            <v>1</v>
          </cell>
          <cell r="Y39">
            <v>0.85</v>
          </cell>
        </row>
        <row r="40">
          <cell r="A40" t="str">
            <v>PEU-2</v>
          </cell>
          <cell r="B40" t="str">
            <v>E-1002F</v>
          </cell>
          <cell r="C40" t="str">
            <v>Activator Heater for Catalyst Activator Package-F</v>
          </cell>
          <cell r="D40">
            <v>4105</v>
          </cell>
          <cell r="E40" t="str">
            <v>ISBL</v>
          </cell>
          <cell r="J40" t="str">
            <v>3</v>
          </cell>
          <cell r="K40">
            <v>690</v>
          </cell>
          <cell r="L40" t="str">
            <v>AC</v>
          </cell>
          <cell r="M40" t="str">
            <v>F</v>
          </cell>
          <cell r="N40" t="str">
            <v>N</v>
          </cell>
          <cell r="O40" t="str">
            <v/>
          </cell>
          <cell r="P40" t="str">
            <v>4850-MDB-201B</v>
          </cell>
          <cell r="Q40" t="str">
            <v>C</v>
          </cell>
          <cell r="S40">
            <v>160</v>
          </cell>
          <cell r="T40">
            <v>200</v>
          </cell>
          <cell r="X40">
            <v>1</v>
          </cell>
          <cell r="Y40">
            <v>0.85</v>
          </cell>
        </row>
        <row r="41">
          <cell r="A41" t="str">
            <v>PEU-2</v>
          </cell>
          <cell r="B41" t="str">
            <v>E-1002G</v>
          </cell>
          <cell r="C41" t="str">
            <v>Activator Heater for Catalyst Activator Package-G</v>
          </cell>
          <cell r="D41">
            <v>4105</v>
          </cell>
          <cell r="E41" t="str">
            <v>ISBL</v>
          </cell>
          <cell r="J41" t="str">
            <v>3</v>
          </cell>
          <cell r="K41">
            <v>690</v>
          </cell>
          <cell r="L41" t="str">
            <v>AC</v>
          </cell>
          <cell r="M41" t="str">
            <v>F</v>
          </cell>
          <cell r="N41" t="str">
            <v>N</v>
          </cell>
          <cell r="O41" t="str">
            <v/>
          </cell>
          <cell r="P41" t="str">
            <v>4850-MDB-201A</v>
          </cell>
          <cell r="Q41" t="str">
            <v>C</v>
          </cell>
          <cell r="S41">
            <v>160</v>
          </cell>
          <cell r="T41">
            <v>200</v>
          </cell>
          <cell r="X41">
            <v>1</v>
          </cell>
          <cell r="Y41">
            <v>0.85</v>
          </cell>
        </row>
        <row r="42">
          <cell r="A42" t="str">
            <v>PEU-2</v>
          </cell>
          <cell r="B42" t="str">
            <v>E-1002H</v>
          </cell>
          <cell r="C42" t="str">
            <v>Activator Heater for Catalyst Activator Package-H</v>
          </cell>
          <cell r="D42">
            <v>4105</v>
          </cell>
          <cell r="E42" t="str">
            <v>ISBL</v>
          </cell>
          <cell r="J42" t="str">
            <v>3</v>
          </cell>
          <cell r="K42">
            <v>690</v>
          </cell>
          <cell r="L42" t="str">
            <v>AC</v>
          </cell>
          <cell r="M42" t="str">
            <v>F</v>
          </cell>
          <cell r="N42" t="str">
            <v>N</v>
          </cell>
          <cell r="O42" t="str">
            <v/>
          </cell>
          <cell r="P42" t="str">
            <v>4850-MDB-201B</v>
          </cell>
          <cell r="Q42" t="str">
            <v>C</v>
          </cell>
          <cell r="S42">
            <v>160</v>
          </cell>
          <cell r="T42">
            <v>200</v>
          </cell>
          <cell r="X42">
            <v>1</v>
          </cell>
          <cell r="Y42">
            <v>0.85</v>
          </cell>
        </row>
        <row r="43">
          <cell r="A43" t="str">
            <v>PEU-2</v>
          </cell>
          <cell r="B43" t="str">
            <v>E-1002I</v>
          </cell>
          <cell r="C43" t="str">
            <v>Activator Heater for Catalyst Activator Package-I</v>
          </cell>
          <cell r="D43">
            <v>4105</v>
          </cell>
          <cell r="E43" t="str">
            <v>ISBL</v>
          </cell>
          <cell r="J43" t="str">
            <v>3</v>
          </cell>
          <cell r="K43">
            <v>690</v>
          </cell>
          <cell r="L43" t="str">
            <v>AC</v>
          </cell>
          <cell r="M43" t="str">
            <v>F</v>
          </cell>
          <cell r="N43" t="str">
            <v>N</v>
          </cell>
          <cell r="O43" t="str">
            <v/>
          </cell>
          <cell r="P43" t="str">
            <v>4850-MDB-201A</v>
          </cell>
          <cell r="Q43" t="str">
            <v>C</v>
          </cell>
          <cell r="S43">
            <v>116</v>
          </cell>
          <cell r="T43">
            <v>145</v>
          </cell>
          <cell r="X43">
            <v>1</v>
          </cell>
          <cell r="Y43">
            <v>0.85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 t="str">
            <v>ISBL</v>
          </cell>
          <cell r="J44" t="str">
            <v>3</v>
          </cell>
          <cell r="K44">
            <v>0</v>
          </cell>
          <cell r="L44" t="str">
            <v>AC</v>
          </cell>
          <cell r="M44">
            <v>0</v>
          </cell>
          <cell r="N44">
            <v>0</v>
          </cell>
          <cell r="O44" t="str">
            <v/>
          </cell>
          <cell r="P44">
            <v>0</v>
          </cell>
          <cell r="Q44">
            <v>0</v>
          </cell>
          <cell r="S44">
            <v>0</v>
          </cell>
          <cell r="T44">
            <v>0</v>
          </cell>
          <cell r="X44">
            <v>0</v>
          </cell>
          <cell r="Y44">
            <v>0</v>
          </cell>
        </row>
        <row r="45">
          <cell r="A45" t="str">
            <v>PEU-2</v>
          </cell>
          <cell r="B45" t="str">
            <v>41-PK-5051-4</v>
          </cell>
          <cell r="C45" t="str">
            <v>Electric heater for oil separator</v>
          </cell>
          <cell r="D45">
            <v>4104</v>
          </cell>
          <cell r="E45" t="str">
            <v>ISBL</v>
          </cell>
          <cell r="J45" t="str">
            <v>3</v>
          </cell>
          <cell r="K45">
            <v>690</v>
          </cell>
          <cell r="L45" t="str">
            <v>AC</v>
          </cell>
          <cell r="M45" t="str">
            <v>F</v>
          </cell>
          <cell r="N45" t="str">
            <v>N</v>
          </cell>
          <cell r="O45" t="str">
            <v/>
          </cell>
          <cell r="P45" t="str">
            <v>4850-MDB-201A</v>
          </cell>
          <cell r="Q45" t="str">
            <v>C</v>
          </cell>
          <cell r="S45">
            <v>2.7</v>
          </cell>
          <cell r="T45">
            <v>3</v>
          </cell>
          <cell r="X45">
            <v>1</v>
          </cell>
          <cell r="Y45">
            <v>0.85</v>
          </cell>
        </row>
        <row r="46">
          <cell r="A46" t="str">
            <v>PEU-2</v>
          </cell>
          <cell r="B46" t="str">
            <v>41-PK-5040-3A</v>
          </cell>
          <cell r="C46" t="str">
            <v>Lube Oil Heater</v>
          </cell>
          <cell r="D46">
            <v>4104</v>
          </cell>
          <cell r="E46" t="str">
            <v>ISBL</v>
          </cell>
          <cell r="J46" t="str">
            <v>3</v>
          </cell>
          <cell r="K46">
            <v>690</v>
          </cell>
          <cell r="L46" t="str">
            <v>AC</v>
          </cell>
          <cell r="M46" t="str">
            <v>F</v>
          </cell>
          <cell r="N46" t="str">
            <v>N</v>
          </cell>
          <cell r="O46" t="str">
            <v/>
          </cell>
          <cell r="P46" t="str">
            <v>4850-MDB-201A</v>
          </cell>
          <cell r="Q46" t="str">
            <v>C</v>
          </cell>
          <cell r="S46">
            <v>4.5</v>
          </cell>
          <cell r="T46">
            <v>5</v>
          </cell>
          <cell r="X46">
            <v>1</v>
          </cell>
          <cell r="Y46">
            <v>0.85</v>
          </cell>
        </row>
        <row r="47">
          <cell r="A47" t="str">
            <v>PEU-2</v>
          </cell>
          <cell r="B47" t="str">
            <v>41-PK-5040-3B</v>
          </cell>
          <cell r="C47" t="str">
            <v>Lube Oil Heater</v>
          </cell>
          <cell r="D47">
            <v>4104</v>
          </cell>
          <cell r="E47" t="str">
            <v>ISBL</v>
          </cell>
          <cell r="J47" t="str">
            <v>3</v>
          </cell>
          <cell r="K47">
            <v>690</v>
          </cell>
          <cell r="L47" t="str">
            <v>AC</v>
          </cell>
          <cell r="M47" t="str">
            <v>F</v>
          </cell>
          <cell r="N47" t="str">
            <v>N</v>
          </cell>
          <cell r="O47" t="str">
            <v/>
          </cell>
          <cell r="P47" t="str">
            <v>4850-MDB-201A</v>
          </cell>
          <cell r="Q47" t="str">
            <v>S</v>
          </cell>
          <cell r="S47">
            <v>4.5</v>
          </cell>
          <cell r="T47">
            <v>5</v>
          </cell>
          <cell r="X47">
            <v>1</v>
          </cell>
          <cell r="Y47">
            <v>0.85</v>
          </cell>
        </row>
        <row r="48">
          <cell r="A48" t="str">
            <v>PEU-2</v>
          </cell>
          <cell r="B48" t="str">
            <v>41-PK-2401-1A</v>
          </cell>
          <cell r="C48" t="str">
            <v>Lube Oil Tank Heater</v>
          </cell>
          <cell r="D48">
            <v>4103</v>
          </cell>
          <cell r="E48" t="str">
            <v>ISBL</v>
          </cell>
          <cell r="J48" t="str">
            <v>3</v>
          </cell>
          <cell r="K48">
            <v>690</v>
          </cell>
          <cell r="L48" t="str">
            <v>AC</v>
          </cell>
          <cell r="M48" t="str">
            <v>F</v>
          </cell>
          <cell r="N48" t="str">
            <v>N</v>
          </cell>
          <cell r="O48" t="str">
            <v/>
          </cell>
          <cell r="P48" t="str">
            <v>4850-MDB-201B</v>
          </cell>
          <cell r="Q48" t="str">
            <v>I</v>
          </cell>
          <cell r="S48">
            <v>6</v>
          </cell>
          <cell r="T48">
            <v>7.5</v>
          </cell>
          <cell r="X48">
            <v>1</v>
          </cell>
          <cell r="Y48">
            <v>0.85</v>
          </cell>
        </row>
        <row r="49">
          <cell r="A49" t="str">
            <v>PEU-2</v>
          </cell>
          <cell r="B49" t="str">
            <v>41-PK-2401-1B</v>
          </cell>
          <cell r="C49" t="str">
            <v>Lube Oil Tank Heater</v>
          </cell>
          <cell r="D49">
            <v>4103</v>
          </cell>
          <cell r="E49" t="str">
            <v>ISBL</v>
          </cell>
          <cell r="J49" t="str">
            <v>3</v>
          </cell>
          <cell r="K49">
            <v>690</v>
          </cell>
          <cell r="L49" t="str">
            <v>AC</v>
          </cell>
          <cell r="M49" t="str">
            <v>F</v>
          </cell>
          <cell r="N49" t="str">
            <v>N</v>
          </cell>
          <cell r="O49" t="str">
            <v/>
          </cell>
          <cell r="P49" t="str">
            <v>4850-MDB-201B</v>
          </cell>
          <cell r="Q49" t="str">
            <v>I</v>
          </cell>
          <cell r="S49">
            <v>6</v>
          </cell>
          <cell r="T49">
            <v>7.5</v>
          </cell>
          <cell r="X49">
            <v>1</v>
          </cell>
          <cell r="Y49">
            <v>0.85</v>
          </cell>
        </row>
        <row r="50">
          <cell r="A50" t="str">
            <v>PEU-2</v>
          </cell>
          <cell r="B50" t="str">
            <v>41-PK-2401-3A</v>
          </cell>
          <cell r="C50" t="str">
            <v>Degassifying drum heater</v>
          </cell>
          <cell r="D50">
            <v>4103</v>
          </cell>
          <cell r="E50" t="str">
            <v>ISBL</v>
          </cell>
          <cell r="J50" t="str">
            <v>3</v>
          </cell>
          <cell r="K50">
            <v>690</v>
          </cell>
          <cell r="L50" t="str">
            <v>AC</v>
          </cell>
          <cell r="M50" t="str">
            <v>F</v>
          </cell>
          <cell r="N50" t="str">
            <v>N</v>
          </cell>
          <cell r="O50" t="str">
            <v/>
          </cell>
          <cell r="P50" t="str">
            <v>4850-MDB-201A</v>
          </cell>
          <cell r="Q50" t="str">
            <v>I</v>
          </cell>
          <cell r="S50">
            <v>6</v>
          </cell>
          <cell r="T50">
            <v>7.5</v>
          </cell>
          <cell r="X50">
            <v>1</v>
          </cell>
          <cell r="Y50">
            <v>0.85</v>
          </cell>
        </row>
        <row r="51">
          <cell r="A51" t="str">
            <v>PEU-2</v>
          </cell>
          <cell r="B51" t="str">
            <v>41-PK-2401-3B</v>
          </cell>
          <cell r="C51" t="str">
            <v>Degassifying drum heater</v>
          </cell>
          <cell r="D51">
            <v>4103</v>
          </cell>
          <cell r="E51" t="str">
            <v>ISBL</v>
          </cell>
          <cell r="J51" t="str">
            <v>3</v>
          </cell>
          <cell r="K51">
            <v>690</v>
          </cell>
          <cell r="L51" t="str">
            <v>AC</v>
          </cell>
          <cell r="M51" t="str">
            <v>F</v>
          </cell>
          <cell r="N51" t="str">
            <v>N</v>
          </cell>
          <cell r="O51" t="str">
            <v/>
          </cell>
          <cell r="P51" t="str">
            <v>4850-MDB-201A</v>
          </cell>
          <cell r="Q51" t="str">
            <v>I</v>
          </cell>
          <cell r="S51">
            <v>6</v>
          </cell>
          <cell r="T51">
            <v>7.5</v>
          </cell>
          <cell r="X51">
            <v>1</v>
          </cell>
          <cell r="Y51">
            <v>0.85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 t="str">
            <v>ISBL</v>
          </cell>
          <cell r="J52" t="str">
            <v>3</v>
          </cell>
          <cell r="K52">
            <v>0</v>
          </cell>
          <cell r="L52" t="str">
            <v>AC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  <cell r="T52">
            <v>0</v>
          </cell>
          <cell r="X52">
            <v>0</v>
          </cell>
          <cell r="Y52">
            <v>0</v>
          </cell>
        </row>
        <row r="53">
          <cell r="A53" t="str">
            <v>PEU-2</v>
          </cell>
          <cell r="B53" t="str">
            <v>41-E-4103</v>
          </cell>
          <cell r="C53" t="str">
            <v>Reactor A Thrust Bearing L.O. Heater</v>
          </cell>
          <cell r="D53">
            <v>4102</v>
          </cell>
          <cell r="E53" t="str">
            <v>ISBL</v>
          </cell>
          <cell r="J53" t="str">
            <v>3</v>
          </cell>
          <cell r="K53">
            <v>690</v>
          </cell>
          <cell r="L53" t="str">
            <v>AC</v>
          </cell>
          <cell r="M53" t="str">
            <v>F</v>
          </cell>
          <cell r="N53" t="str">
            <v>N</v>
          </cell>
          <cell r="O53" t="str">
            <v/>
          </cell>
          <cell r="P53" t="str">
            <v>4850-MDB-201B</v>
          </cell>
          <cell r="Q53" t="str">
            <v>I</v>
          </cell>
          <cell r="S53">
            <v>5</v>
          </cell>
          <cell r="T53">
            <v>5.5</v>
          </cell>
          <cell r="X53">
            <v>1</v>
          </cell>
          <cell r="Y53">
            <v>0.85</v>
          </cell>
        </row>
        <row r="54">
          <cell r="A54" t="str">
            <v>PEU-2</v>
          </cell>
          <cell r="B54" t="str">
            <v>41-E-4203</v>
          </cell>
          <cell r="C54" t="str">
            <v>Reactor B Thrust Bearing L.O. Heater</v>
          </cell>
          <cell r="D54">
            <v>4102</v>
          </cell>
          <cell r="E54" t="str">
            <v>ISBL</v>
          </cell>
          <cell r="J54" t="str">
            <v>3</v>
          </cell>
          <cell r="K54">
            <v>690</v>
          </cell>
          <cell r="L54" t="str">
            <v>AC</v>
          </cell>
          <cell r="M54" t="str">
            <v>F</v>
          </cell>
          <cell r="N54" t="str">
            <v>N</v>
          </cell>
          <cell r="O54" t="str">
            <v/>
          </cell>
          <cell r="P54" t="str">
            <v>4850-MDB-201A</v>
          </cell>
          <cell r="Q54" t="str">
            <v>I</v>
          </cell>
          <cell r="S54">
            <v>5</v>
          </cell>
          <cell r="T54">
            <v>5.5</v>
          </cell>
          <cell r="X54">
            <v>1</v>
          </cell>
          <cell r="Y54">
            <v>0.85</v>
          </cell>
        </row>
        <row r="55">
          <cell r="A55" t="str">
            <v>PEU-2</v>
          </cell>
          <cell r="B55" t="str">
            <v xml:space="preserve">t.b.d. </v>
          </cell>
          <cell r="C55" t="str">
            <v xml:space="preserve">Hot Oil Heater for Gear Pump Bearing </v>
          </cell>
          <cell r="D55">
            <v>4107</v>
          </cell>
          <cell r="E55" t="str">
            <v>ISBL</v>
          </cell>
          <cell r="J55" t="str">
            <v>3</v>
          </cell>
          <cell r="K55">
            <v>690</v>
          </cell>
          <cell r="L55" t="str">
            <v>AC</v>
          </cell>
          <cell r="M55" t="str">
            <v>F</v>
          </cell>
          <cell r="N55" t="str">
            <v>N</v>
          </cell>
          <cell r="O55" t="str">
            <v/>
          </cell>
          <cell r="P55" t="str">
            <v>4850-MDB-201B</v>
          </cell>
          <cell r="Q55" t="str">
            <v>C</v>
          </cell>
          <cell r="S55">
            <v>32</v>
          </cell>
          <cell r="T55">
            <v>40</v>
          </cell>
          <cell r="X55">
            <v>1</v>
          </cell>
          <cell r="Y55">
            <v>0.85</v>
          </cell>
        </row>
        <row r="56">
          <cell r="A56" t="str">
            <v>PEU-2</v>
          </cell>
          <cell r="B56" t="str">
            <v xml:space="preserve">t.b.d. </v>
          </cell>
          <cell r="C56" t="str">
            <v xml:space="preserve">Hot Oil Heater for Gear Pump Rotor </v>
          </cell>
          <cell r="D56">
            <v>4107</v>
          </cell>
          <cell r="E56" t="str">
            <v>ISBL</v>
          </cell>
          <cell r="J56" t="str">
            <v>3</v>
          </cell>
          <cell r="K56">
            <v>690</v>
          </cell>
          <cell r="L56" t="str">
            <v>AC</v>
          </cell>
          <cell r="M56" t="str">
            <v>F</v>
          </cell>
          <cell r="N56" t="str">
            <v>N</v>
          </cell>
          <cell r="O56" t="str">
            <v/>
          </cell>
          <cell r="P56" t="str">
            <v>4850-MDB-201A</v>
          </cell>
          <cell r="Q56" t="str">
            <v>C</v>
          </cell>
          <cell r="S56">
            <v>32</v>
          </cell>
          <cell r="T56">
            <v>40</v>
          </cell>
          <cell r="X56">
            <v>1</v>
          </cell>
          <cell r="Y56">
            <v>0.85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 t="str">
            <v>ISBL</v>
          </cell>
          <cell r="J57" t="str">
            <v>3</v>
          </cell>
          <cell r="K57">
            <v>0</v>
          </cell>
          <cell r="L57" t="str">
            <v>AC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T57">
            <v>0</v>
          </cell>
          <cell r="X57">
            <v>0</v>
          </cell>
          <cell r="Y57">
            <v>0</v>
          </cell>
        </row>
        <row r="58">
          <cell r="A58" t="str">
            <v>PEU-2</v>
          </cell>
          <cell r="B58" t="str">
            <v>41-K-5021-3A</v>
          </cell>
          <cell r="C58" t="str">
            <v>Main/Aux. Lube Oil Pump Motor</v>
          </cell>
          <cell r="D58">
            <v>4101</v>
          </cell>
          <cell r="E58" t="str">
            <v>ISBL</v>
          </cell>
          <cell r="J58" t="str">
            <v>3</v>
          </cell>
          <cell r="K58">
            <v>690</v>
          </cell>
          <cell r="L58" t="str">
            <v>AC</v>
          </cell>
          <cell r="M58" t="str">
            <v>M</v>
          </cell>
          <cell r="N58" t="str">
            <v>N</v>
          </cell>
          <cell r="O58" t="str">
            <v/>
          </cell>
          <cell r="P58" t="str">
            <v>4850-MDB-202B</v>
          </cell>
          <cell r="Q58" t="str">
            <v>C</v>
          </cell>
          <cell r="S58">
            <v>12</v>
          </cell>
          <cell r="T58">
            <v>15</v>
          </cell>
          <cell r="X58">
            <v>0.9</v>
          </cell>
          <cell r="Y58">
            <v>0.8</v>
          </cell>
        </row>
        <row r="59">
          <cell r="A59" t="str">
            <v>PEU-2</v>
          </cell>
          <cell r="B59" t="str">
            <v>41-K-5021-3B</v>
          </cell>
          <cell r="C59" t="str">
            <v>Main/Aux. Lube Oil Pump Motor</v>
          </cell>
          <cell r="D59">
            <v>4101</v>
          </cell>
          <cell r="E59" t="str">
            <v>ISBL</v>
          </cell>
          <cell r="J59" t="str">
            <v>3</v>
          </cell>
          <cell r="K59">
            <v>690</v>
          </cell>
          <cell r="L59" t="str">
            <v>AC</v>
          </cell>
          <cell r="M59" t="str">
            <v>M</v>
          </cell>
          <cell r="N59" t="str">
            <v>N</v>
          </cell>
          <cell r="O59" t="str">
            <v/>
          </cell>
          <cell r="P59" t="str">
            <v>4850-MDB-202A</v>
          </cell>
          <cell r="Q59" t="str">
            <v>S</v>
          </cell>
          <cell r="S59">
            <v>12</v>
          </cell>
          <cell r="T59">
            <v>15</v>
          </cell>
          <cell r="X59">
            <v>0.9</v>
          </cell>
          <cell r="Y59">
            <v>0.8</v>
          </cell>
        </row>
        <row r="60">
          <cell r="A60" t="str">
            <v>PEU-2</v>
          </cell>
          <cell r="B60" t="str">
            <v>41-K-5021-5A</v>
          </cell>
          <cell r="C60" t="str">
            <v>INRU Liquid Product Pump</v>
          </cell>
          <cell r="D60">
            <v>4101</v>
          </cell>
          <cell r="E60" t="str">
            <v>ISBL</v>
          </cell>
          <cell r="J60" t="str">
            <v>3</v>
          </cell>
          <cell r="K60">
            <v>690</v>
          </cell>
          <cell r="L60" t="str">
            <v>AC</v>
          </cell>
          <cell r="M60" t="str">
            <v>M</v>
          </cell>
          <cell r="N60" t="str">
            <v>N</v>
          </cell>
          <cell r="O60" t="str">
            <v/>
          </cell>
          <cell r="P60" t="str">
            <v>4850-MDB-202A</v>
          </cell>
          <cell r="Q60" t="str">
            <v>C</v>
          </cell>
          <cell r="S60">
            <v>6</v>
          </cell>
          <cell r="T60">
            <v>7.5</v>
          </cell>
          <cell r="X60">
            <v>0.88200000000000001</v>
          </cell>
          <cell r="Y60">
            <v>0.8</v>
          </cell>
        </row>
        <row r="61">
          <cell r="A61" t="str">
            <v>PEU-2</v>
          </cell>
          <cell r="B61" t="str">
            <v>41-K-5021-5B</v>
          </cell>
          <cell r="C61" t="str">
            <v>INRU Liquid Product Pump</v>
          </cell>
          <cell r="D61">
            <v>4101</v>
          </cell>
          <cell r="E61" t="str">
            <v>ISBL</v>
          </cell>
          <cell r="J61" t="str">
            <v>3</v>
          </cell>
          <cell r="K61">
            <v>690</v>
          </cell>
          <cell r="L61" t="str">
            <v>AC</v>
          </cell>
          <cell r="M61" t="str">
            <v>M</v>
          </cell>
          <cell r="N61" t="str">
            <v>N</v>
          </cell>
          <cell r="O61" t="str">
            <v/>
          </cell>
          <cell r="P61" t="str">
            <v>4850-MDB-202A</v>
          </cell>
          <cell r="Q61" t="str">
            <v>S</v>
          </cell>
          <cell r="S61">
            <v>6</v>
          </cell>
          <cell r="T61">
            <v>7.5</v>
          </cell>
          <cell r="X61">
            <v>0.88200000000000001</v>
          </cell>
          <cell r="Y61">
            <v>0.8</v>
          </cell>
        </row>
        <row r="62">
          <cell r="A62" t="str">
            <v>PEU-2</v>
          </cell>
          <cell r="B62" t="str">
            <v>41-PK-5051-1</v>
          </cell>
          <cell r="C62" t="str">
            <v>Compressor motor</v>
          </cell>
          <cell r="D62">
            <v>4104</v>
          </cell>
          <cell r="E62" t="str">
            <v>ISBL</v>
          </cell>
          <cell r="J62" t="str">
            <v>3</v>
          </cell>
          <cell r="K62">
            <v>690</v>
          </cell>
          <cell r="L62" t="str">
            <v>AC</v>
          </cell>
          <cell r="M62" t="str">
            <v>M</v>
          </cell>
          <cell r="N62" t="str">
            <v>N</v>
          </cell>
          <cell r="O62" t="str">
            <v>Soft Starter</v>
          </cell>
          <cell r="P62" t="str">
            <v>4850-MDB-202A</v>
          </cell>
          <cell r="Q62" t="str">
            <v>C</v>
          </cell>
          <cell r="S62">
            <v>230</v>
          </cell>
          <cell r="T62">
            <v>300</v>
          </cell>
          <cell r="X62">
            <v>0.95899999999999996</v>
          </cell>
          <cell r="Y62">
            <v>0.76666666666666672</v>
          </cell>
        </row>
        <row r="63">
          <cell r="A63" t="str">
            <v>PEU-2</v>
          </cell>
          <cell r="B63" t="str">
            <v>41-PK-5051-2A</v>
          </cell>
          <cell r="C63" t="str">
            <v>Oil pump motor</v>
          </cell>
          <cell r="D63">
            <v>4104</v>
          </cell>
          <cell r="E63" t="str">
            <v>ISBL</v>
          </cell>
          <cell r="J63" t="str">
            <v>3</v>
          </cell>
          <cell r="K63">
            <v>690</v>
          </cell>
          <cell r="L63" t="str">
            <v>AC</v>
          </cell>
          <cell r="M63" t="str">
            <v>M</v>
          </cell>
          <cell r="N63" t="str">
            <v>N</v>
          </cell>
          <cell r="O63" t="str">
            <v/>
          </cell>
          <cell r="P63" t="str">
            <v>4850-MDB-202A</v>
          </cell>
          <cell r="Q63" t="str">
            <v>C</v>
          </cell>
          <cell r="S63">
            <v>8.8000000000000007</v>
          </cell>
          <cell r="T63">
            <v>11</v>
          </cell>
          <cell r="X63">
            <v>0.89500000000000002</v>
          </cell>
          <cell r="Y63">
            <v>0.73333333333333328</v>
          </cell>
        </row>
        <row r="64">
          <cell r="A64" t="str">
            <v>PEU-2</v>
          </cell>
          <cell r="B64" t="str">
            <v>41-PK-5051-2B</v>
          </cell>
          <cell r="C64" t="str">
            <v>Oil pump motor</v>
          </cell>
          <cell r="D64">
            <v>4104</v>
          </cell>
          <cell r="E64" t="str">
            <v>ISBL</v>
          </cell>
          <cell r="J64" t="str">
            <v>3</v>
          </cell>
          <cell r="K64">
            <v>690</v>
          </cell>
          <cell r="L64" t="str">
            <v>AC</v>
          </cell>
          <cell r="M64" t="str">
            <v>M</v>
          </cell>
          <cell r="N64" t="str">
            <v>N</v>
          </cell>
          <cell r="O64" t="str">
            <v/>
          </cell>
          <cell r="P64" t="str">
            <v>4850-MDB-202A</v>
          </cell>
          <cell r="Q64" t="str">
            <v>S</v>
          </cell>
          <cell r="S64">
            <v>8.8000000000000007</v>
          </cell>
          <cell r="T64">
            <v>11</v>
          </cell>
          <cell r="X64">
            <v>0.89500000000000002</v>
          </cell>
          <cell r="Y64">
            <v>0.73333333333333328</v>
          </cell>
        </row>
        <row r="65">
          <cell r="A65" t="str">
            <v>PEU-2</v>
          </cell>
          <cell r="B65" t="str">
            <v>41-RF-6001</v>
          </cell>
          <cell r="C65" t="str">
            <v>Extruder Feed Tank Rotary Valve</v>
          </cell>
          <cell r="D65">
            <v>4102</v>
          </cell>
          <cell r="E65" t="str">
            <v>ISBL</v>
          </cell>
          <cell r="J65" t="str">
            <v>3</v>
          </cell>
          <cell r="K65">
            <v>690</v>
          </cell>
          <cell r="L65" t="str">
            <v>AC</v>
          </cell>
          <cell r="M65" t="str">
            <v>M</v>
          </cell>
          <cell r="N65" t="str">
            <v>N</v>
          </cell>
          <cell r="O65" t="str">
            <v>VSD</v>
          </cell>
          <cell r="P65" t="str">
            <v>4850-MDB-202B</v>
          </cell>
          <cell r="Q65" t="str">
            <v>C</v>
          </cell>
          <cell r="S65">
            <v>4.4000000000000004</v>
          </cell>
          <cell r="T65">
            <v>5.5</v>
          </cell>
          <cell r="X65">
            <v>0.87</v>
          </cell>
          <cell r="Y65">
            <v>0.8</v>
          </cell>
        </row>
        <row r="66">
          <cell r="A66" t="str">
            <v>PEU-2</v>
          </cell>
          <cell r="B66" t="str">
            <v>41-MX-6020</v>
          </cell>
          <cell r="C66" t="str">
            <v xml:space="preserve">Extruder Feed Mixer </v>
          </cell>
          <cell r="D66">
            <v>4102</v>
          </cell>
          <cell r="E66" t="str">
            <v>ISBL</v>
          </cell>
          <cell r="J66" t="str">
            <v>3</v>
          </cell>
          <cell r="K66">
            <v>690</v>
          </cell>
          <cell r="L66" t="str">
            <v>AC</v>
          </cell>
          <cell r="M66" t="str">
            <v>M</v>
          </cell>
          <cell r="N66" t="str">
            <v>N</v>
          </cell>
          <cell r="O66" t="str">
            <v>VSD</v>
          </cell>
          <cell r="P66" t="str">
            <v>4850-MDB-202A</v>
          </cell>
          <cell r="Q66" t="str">
            <v>C</v>
          </cell>
          <cell r="S66">
            <v>14.8</v>
          </cell>
          <cell r="T66">
            <v>18.5</v>
          </cell>
          <cell r="X66">
            <v>0.90700000000000003</v>
          </cell>
          <cell r="Y66">
            <v>0.8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 t="str">
            <v>ISBL</v>
          </cell>
          <cell r="J67" t="str">
            <v>3</v>
          </cell>
          <cell r="K67">
            <v>0</v>
          </cell>
          <cell r="L67" t="str">
            <v>AC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S67">
            <v>0</v>
          </cell>
          <cell r="T67">
            <v>0</v>
          </cell>
          <cell r="X67">
            <v>0</v>
          </cell>
          <cell r="Y67">
            <v>0</v>
          </cell>
        </row>
        <row r="68">
          <cell r="A68" t="str">
            <v>PEU-2</v>
          </cell>
          <cell r="B68" t="str">
            <v>41-PK-5040-1</v>
          </cell>
          <cell r="C68" t="str">
            <v xml:space="preserve">Dehexanizer Column Overhead Compressor </v>
          </cell>
          <cell r="D68">
            <v>4104</v>
          </cell>
          <cell r="E68" t="str">
            <v>ISBL</v>
          </cell>
          <cell r="J68" t="str">
            <v>3</v>
          </cell>
          <cell r="K68">
            <v>690</v>
          </cell>
          <cell r="L68" t="str">
            <v>AC</v>
          </cell>
          <cell r="M68" t="str">
            <v>M</v>
          </cell>
          <cell r="N68" t="str">
            <v>N</v>
          </cell>
          <cell r="O68" t="str">
            <v>Soft Starter</v>
          </cell>
          <cell r="P68" t="str">
            <v>4850-MDB-202A</v>
          </cell>
          <cell r="Q68" t="str">
            <v>C</v>
          </cell>
          <cell r="S68">
            <v>200</v>
          </cell>
          <cell r="T68">
            <v>250</v>
          </cell>
          <cell r="X68">
            <v>0.95899999999999996</v>
          </cell>
          <cell r="Y68">
            <v>0.8</v>
          </cell>
        </row>
        <row r="69">
          <cell r="A69" t="str">
            <v>PEU-2</v>
          </cell>
          <cell r="B69" t="str">
            <v>41-RF-5001</v>
          </cell>
          <cell r="C69" t="str">
            <v>Extruder Feed Tank Rotary Valve</v>
          </cell>
          <cell r="D69">
            <v>4102</v>
          </cell>
          <cell r="E69" t="str">
            <v>ISBL</v>
          </cell>
          <cell r="J69" t="str">
            <v>3</v>
          </cell>
          <cell r="K69">
            <v>690</v>
          </cell>
          <cell r="L69" t="str">
            <v>AC</v>
          </cell>
          <cell r="M69" t="str">
            <v>M</v>
          </cell>
          <cell r="N69" t="str">
            <v>N</v>
          </cell>
          <cell r="O69" t="str">
            <v>VSD</v>
          </cell>
          <cell r="P69" t="str">
            <v>4850-MDB-202B</v>
          </cell>
          <cell r="Q69" t="str">
            <v>C</v>
          </cell>
          <cell r="S69">
            <v>4.4000000000000004</v>
          </cell>
          <cell r="T69">
            <v>5.5</v>
          </cell>
          <cell r="X69">
            <v>0.87</v>
          </cell>
          <cell r="Y69">
            <v>0.8</v>
          </cell>
        </row>
        <row r="70">
          <cell r="A70" t="str">
            <v>PEU-2</v>
          </cell>
          <cell r="B70" t="str">
            <v>41-RF-5002</v>
          </cell>
          <cell r="C70" t="str">
            <v>Fluff Silo Rotary Valve</v>
          </cell>
          <cell r="D70">
            <v>4102</v>
          </cell>
          <cell r="E70" t="str">
            <v>ISBL</v>
          </cell>
          <cell r="J70" t="str">
            <v>3</v>
          </cell>
          <cell r="K70">
            <v>690</v>
          </cell>
          <cell r="L70" t="str">
            <v>AC</v>
          </cell>
          <cell r="M70" t="str">
            <v>M</v>
          </cell>
          <cell r="N70" t="str">
            <v>N</v>
          </cell>
          <cell r="O70" t="str">
            <v/>
          </cell>
          <cell r="P70" t="str">
            <v>4850-MDB-202B</v>
          </cell>
          <cell r="Q70" t="str">
            <v>C</v>
          </cell>
          <cell r="S70">
            <v>4.4000000000000004</v>
          </cell>
          <cell r="T70">
            <v>5.5</v>
          </cell>
          <cell r="X70">
            <v>0.87</v>
          </cell>
          <cell r="Y70">
            <v>0.8</v>
          </cell>
        </row>
        <row r="71">
          <cell r="A71" t="str">
            <v>PEU-2</v>
          </cell>
          <cell r="B71" t="str">
            <v>41-PK-6040-3</v>
          </cell>
          <cell r="C71" t="str">
            <v>Pelletizer Motor</v>
          </cell>
          <cell r="D71">
            <v>4107</v>
          </cell>
          <cell r="E71" t="str">
            <v>ISBL</v>
          </cell>
          <cell r="J71" t="str">
            <v>3</v>
          </cell>
          <cell r="K71">
            <v>690</v>
          </cell>
          <cell r="L71" t="str">
            <v>AC</v>
          </cell>
          <cell r="M71" t="str">
            <v>M</v>
          </cell>
          <cell r="N71" t="str">
            <v>N</v>
          </cell>
          <cell r="O71" t="str">
            <v>Soft Starter</v>
          </cell>
          <cell r="P71" t="str">
            <v>4850-MDB-202A</v>
          </cell>
          <cell r="Q71" t="str">
            <v>C</v>
          </cell>
          <cell r="S71">
            <v>270</v>
          </cell>
          <cell r="T71">
            <v>300</v>
          </cell>
          <cell r="X71">
            <v>0.95899999999999996</v>
          </cell>
          <cell r="Y71">
            <v>0.9</v>
          </cell>
        </row>
        <row r="72">
          <cell r="A72" t="str">
            <v>PEU-2</v>
          </cell>
          <cell r="B72" t="str">
            <v>41-PK-6040-4</v>
          </cell>
          <cell r="C72" t="str">
            <v>Barring Motor</v>
          </cell>
          <cell r="D72">
            <v>4107</v>
          </cell>
          <cell r="E72" t="str">
            <v>ISBL</v>
          </cell>
          <cell r="J72" t="str">
            <v>3</v>
          </cell>
          <cell r="K72">
            <v>690</v>
          </cell>
          <cell r="L72" t="str">
            <v>AC</v>
          </cell>
          <cell r="M72" t="str">
            <v>M</v>
          </cell>
          <cell r="N72" t="str">
            <v>N</v>
          </cell>
          <cell r="O72" t="str">
            <v>Soft Starter</v>
          </cell>
          <cell r="P72" t="str">
            <v>4850-MDB-202B</v>
          </cell>
          <cell r="Q72" t="str">
            <v>C</v>
          </cell>
          <cell r="S72">
            <v>81</v>
          </cell>
          <cell r="T72">
            <v>90</v>
          </cell>
          <cell r="X72">
            <v>0.94699999999999995</v>
          </cell>
          <cell r="Y72">
            <v>0.9</v>
          </cell>
        </row>
        <row r="73">
          <cell r="A73" t="str">
            <v>PEU-2</v>
          </cell>
          <cell r="B73" t="str">
            <v>41-PK-6040-5A</v>
          </cell>
          <cell r="C73" t="str">
            <v>Lube Oil Pump Motor</v>
          </cell>
          <cell r="D73">
            <v>4107</v>
          </cell>
          <cell r="E73" t="str">
            <v>ISBL</v>
          </cell>
          <cell r="J73" t="str">
            <v>3</v>
          </cell>
          <cell r="K73">
            <v>690</v>
          </cell>
          <cell r="L73" t="str">
            <v>AC</v>
          </cell>
          <cell r="M73" t="str">
            <v>M</v>
          </cell>
          <cell r="N73" t="str">
            <v>N</v>
          </cell>
          <cell r="O73" t="str">
            <v>Soft Starter</v>
          </cell>
          <cell r="P73" t="str">
            <v>4850-MDB-202A</v>
          </cell>
          <cell r="Q73" t="str">
            <v>C</v>
          </cell>
          <cell r="S73">
            <v>49.5</v>
          </cell>
          <cell r="T73">
            <v>55</v>
          </cell>
          <cell r="X73">
            <v>0.93899999999999995</v>
          </cell>
          <cell r="Y73">
            <v>0.9</v>
          </cell>
        </row>
        <row r="74">
          <cell r="A74" t="str">
            <v>PEU-2</v>
          </cell>
          <cell r="B74" t="str">
            <v>41-PK-6040-5B</v>
          </cell>
          <cell r="C74" t="str">
            <v>Lube Oil Pump Motor</v>
          </cell>
          <cell r="D74">
            <v>4107</v>
          </cell>
          <cell r="E74" t="str">
            <v>ISBL</v>
          </cell>
          <cell r="J74" t="str">
            <v>3</v>
          </cell>
          <cell r="K74">
            <v>690</v>
          </cell>
          <cell r="L74" t="str">
            <v>AC</v>
          </cell>
          <cell r="M74" t="str">
            <v>M</v>
          </cell>
          <cell r="N74" t="str">
            <v>N</v>
          </cell>
          <cell r="O74" t="str">
            <v>Soft Starter</v>
          </cell>
          <cell r="P74" t="str">
            <v>4850-MDB-202B</v>
          </cell>
          <cell r="Q74" t="str">
            <v>S</v>
          </cell>
          <cell r="S74">
            <v>49.5</v>
          </cell>
          <cell r="T74">
            <v>55</v>
          </cell>
          <cell r="X74">
            <v>0.93899999999999995</v>
          </cell>
          <cell r="Y74">
            <v>0.9</v>
          </cell>
        </row>
        <row r="75">
          <cell r="A75" t="str">
            <v>PEU-2</v>
          </cell>
          <cell r="B75" t="str">
            <v>41-PK-6040-8A</v>
          </cell>
          <cell r="C75" t="str">
            <v>Lube Oil Return Pump Motor</v>
          </cell>
          <cell r="D75">
            <v>4107</v>
          </cell>
          <cell r="E75" t="str">
            <v>ISBL</v>
          </cell>
          <cell r="J75" t="str">
            <v>3</v>
          </cell>
          <cell r="K75">
            <v>690</v>
          </cell>
          <cell r="L75" t="str">
            <v>AC</v>
          </cell>
          <cell r="M75" t="str">
            <v>M</v>
          </cell>
          <cell r="N75" t="str">
            <v>N</v>
          </cell>
          <cell r="O75" t="str">
            <v/>
          </cell>
          <cell r="P75" t="str">
            <v>4850-MDB-202A</v>
          </cell>
          <cell r="Q75" t="str">
            <v>C</v>
          </cell>
          <cell r="S75">
            <v>13.5</v>
          </cell>
          <cell r="T75">
            <v>15</v>
          </cell>
          <cell r="X75">
            <v>0.9</v>
          </cell>
          <cell r="Y75">
            <v>0.9</v>
          </cell>
        </row>
        <row r="76">
          <cell r="A76" t="str">
            <v>PEU-2</v>
          </cell>
          <cell r="B76" t="str">
            <v>41-PK-6040-8B</v>
          </cell>
          <cell r="C76" t="str">
            <v>Lube Oil Return Pump Motor</v>
          </cell>
          <cell r="D76">
            <v>4107</v>
          </cell>
          <cell r="E76" t="str">
            <v>ISBL</v>
          </cell>
          <cell r="J76" t="str">
            <v>3</v>
          </cell>
          <cell r="K76">
            <v>690</v>
          </cell>
          <cell r="L76" t="str">
            <v>AC</v>
          </cell>
          <cell r="M76" t="str">
            <v>M</v>
          </cell>
          <cell r="N76" t="str">
            <v>N</v>
          </cell>
          <cell r="O76" t="str">
            <v/>
          </cell>
          <cell r="P76" t="str">
            <v>4850-MDB-202B</v>
          </cell>
          <cell r="Q76" t="str">
            <v>S</v>
          </cell>
          <cell r="S76">
            <v>13.5</v>
          </cell>
          <cell r="T76">
            <v>15</v>
          </cell>
          <cell r="X76">
            <v>0.9</v>
          </cell>
          <cell r="Y76">
            <v>0.9</v>
          </cell>
        </row>
        <row r="77">
          <cell r="A77" t="str">
            <v>PEU-2</v>
          </cell>
          <cell r="B77" t="str">
            <v>41-PK-6040-9</v>
          </cell>
          <cell r="C77" t="str">
            <v>Hydraulic Oil Pump Motor for Mixer</v>
          </cell>
          <cell r="D77">
            <v>4107</v>
          </cell>
          <cell r="E77" t="str">
            <v>ISBL</v>
          </cell>
          <cell r="J77" t="str">
            <v>3</v>
          </cell>
          <cell r="K77">
            <v>690</v>
          </cell>
          <cell r="L77" t="str">
            <v>AC</v>
          </cell>
          <cell r="M77" t="str">
            <v>M</v>
          </cell>
          <cell r="N77" t="str">
            <v>N</v>
          </cell>
          <cell r="O77" t="str">
            <v/>
          </cell>
          <cell r="P77" t="str">
            <v>4850-MDB-202A</v>
          </cell>
          <cell r="Q77" t="str">
            <v>C</v>
          </cell>
          <cell r="S77">
            <v>40.5</v>
          </cell>
          <cell r="T77">
            <v>45</v>
          </cell>
          <cell r="X77">
            <v>0.93500000000000005</v>
          </cell>
          <cell r="Y77">
            <v>0.9</v>
          </cell>
        </row>
        <row r="78">
          <cell r="A78" t="str">
            <v>PEU-2</v>
          </cell>
          <cell r="B78" t="str">
            <v>41-PK-6040-10</v>
          </cell>
          <cell r="C78" t="str">
            <v>Hydraulic Oil Pump Motor for Screen Changer</v>
          </cell>
          <cell r="D78">
            <v>4107</v>
          </cell>
          <cell r="E78" t="str">
            <v>ISBL</v>
          </cell>
          <cell r="J78" t="str">
            <v>3</v>
          </cell>
          <cell r="K78">
            <v>690</v>
          </cell>
          <cell r="L78" t="str">
            <v>AC</v>
          </cell>
          <cell r="M78" t="str">
            <v>M</v>
          </cell>
          <cell r="N78" t="str">
            <v>N</v>
          </cell>
          <cell r="O78" t="str">
            <v/>
          </cell>
          <cell r="P78" t="str">
            <v>4850-MDB-202B</v>
          </cell>
          <cell r="Q78" t="str">
            <v>C</v>
          </cell>
          <cell r="S78">
            <v>27</v>
          </cell>
          <cell r="T78">
            <v>30</v>
          </cell>
          <cell r="X78">
            <v>0.92</v>
          </cell>
          <cell r="Y78">
            <v>0.9</v>
          </cell>
        </row>
        <row r="79">
          <cell r="A79" t="str">
            <v>PEU-2</v>
          </cell>
          <cell r="B79" t="str">
            <v>41-PK-6040-11A</v>
          </cell>
          <cell r="C79" t="str">
            <v>BCW Pump Motor</v>
          </cell>
          <cell r="D79">
            <v>4107</v>
          </cell>
          <cell r="E79" t="str">
            <v>ISBL</v>
          </cell>
          <cell r="J79" t="str">
            <v>3</v>
          </cell>
          <cell r="K79">
            <v>690</v>
          </cell>
          <cell r="L79" t="str">
            <v>AC</v>
          </cell>
          <cell r="M79" t="str">
            <v>M</v>
          </cell>
          <cell r="N79" t="str">
            <v>N</v>
          </cell>
          <cell r="O79" t="str">
            <v/>
          </cell>
          <cell r="P79" t="str">
            <v>4850-MDB-202A</v>
          </cell>
          <cell r="Q79" t="str">
            <v>C</v>
          </cell>
          <cell r="S79">
            <v>13.5</v>
          </cell>
          <cell r="T79">
            <v>15</v>
          </cell>
          <cell r="X79">
            <v>0.9</v>
          </cell>
          <cell r="Y79">
            <v>0.9</v>
          </cell>
        </row>
        <row r="80">
          <cell r="A80" t="str">
            <v>PEU-2</v>
          </cell>
          <cell r="B80" t="str">
            <v>41-PK-6040-11B</v>
          </cell>
          <cell r="C80" t="str">
            <v>BCW Pump Motor</v>
          </cell>
          <cell r="D80">
            <v>4107</v>
          </cell>
          <cell r="E80" t="str">
            <v>ISBL</v>
          </cell>
          <cell r="J80" t="str">
            <v>3</v>
          </cell>
          <cell r="K80">
            <v>690</v>
          </cell>
          <cell r="L80" t="str">
            <v>AC</v>
          </cell>
          <cell r="M80" t="str">
            <v>M</v>
          </cell>
          <cell r="N80" t="str">
            <v>N</v>
          </cell>
          <cell r="O80" t="str">
            <v/>
          </cell>
          <cell r="P80" t="str">
            <v>4850-MDB-202B</v>
          </cell>
          <cell r="Q80" t="str">
            <v>S</v>
          </cell>
          <cell r="S80">
            <v>13.5</v>
          </cell>
          <cell r="T80">
            <v>15</v>
          </cell>
          <cell r="X80">
            <v>0.9</v>
          </cell>
          <cell r="Y80">
            <v>0.9</v>
          </cell>
        </row>
        <row r="81">
          <cell r="A81" t="str">
            <v>PEU-2</v>
          </cell>
          <cell r="B81" t="str">
            <v>41-PK-6040-12A</v>
          </cell>
          <cell r="C81" t="str">
            <v>PCW Pump Motor</v>
          </cell>
          <cell r="D81">
            <v>4107</v>
          </cell>
          <cell r="E81" t="str">
            <v>ISBL</v>
          </cell>
          <cell r="J81" t="str">
            <v>3</v>
          </cell>
          <cell r="K81">
            <v>690</v>
          </cell>
          <cell r="L81" t="str">
            <v>AC</v>
          </cell>
          <cell r="M81" t="str">
            <v>M</v>
          </cell>
          <cell r="N81" t="str">
            <v>N</v>
          </cell>
          <cell r="O81" t="str">
            <v>Soft Starter</v>
          </cell>
          <cell r="P81" t="str">
            <v>4850-MDB-202A</v>
          </cell>
          <cell r="Q81" t="str">
            <v>C</v>
          </cell>
          <cell r="S81">
            <v>144</v>
          </cell>
          <cell r="T81">
            <v>160</v>
          </cell>
          <cell r="X81">
            <v>0.95699999999999996</v>
          </cell>
          <cell r="Y81">
            <v>0.9</v>
          </cell>
        </row>
        <row r="82">
          <cell r="A82" t="str">
            <v>PEU-2</v>
          </cell>
          <cell r="B82" t="str">
            <v>41-PK-6040-12B</v>
          </cell>
          <cell r="C82" t="str">
            <v>PCW Pump Motor</v>
          </cell>
          <cell r="D82">
            <v>4107</v>
          </cell>
          <cell r="E82" t="str">
            <v>ISBL</v>
          </cell>
          <cell r="J82" t="str">
            <v>3</v>
          </cell>
          <cell r="K82">
            <v>690</v>
          </cell>
          <cell r="L82" t="str">
            <v>AC</v>
          </cell>
          <cell r="M82" t="str">
            <v>M</v>
          </cell>
          <cell r="N82" t="str">
            <v>N</v>
          </cell>
          <cell r="O82" t="str">
            <v>Soft Starter</v>
          </cell>
          <cell r="P82" t="str">
            <v>4850-MDB-202B</v>
          </cell>
          <cell r="Q82" t="str">
            <v>S</v>
          </cell>
          <cell r="S82">
            <v>144</v>
          </cell>
          <cell r="T82">
            <v>160</v>
          </cell>
          <cell r="X82">
            <v>0.95699999999999996</v>
          </cell>
          <cell r="Y82">
            <v>0.9</v>
          </cell>
        </row>
        <row r="83">
          <cell r="A83" t="str">
            <v>PEU-2</v>
          </cell>
          <cell r="B83" t="str">
            <v>41-PK-6040-13</v>
          </cell>
          <cell r="C83" t="str">
            <v>Dryer Motor</v>
          </cell>
          <cell r="D83">
            <v>4107</v>
          </cell>
          <cell r="E83" t="str">
            <v>ISBL</v>
          </cell>
          <cell r="J83" t="str">
            <v>3</v>
          </cell>
          <cell r="K83">
            <v>690</v>
          </cell>
          <cell r="L83" t="str">
            <v>AC</v>
          </cell>
          <cell r="M83" t="str">
            <v>M</v>
          </cell>
          <cell r="N83" t="str">
            <v>N</v>
          </cell>
          <cell r="O83" t="str">
            <v>Soft Starter</v>
          </cell>
          <cell r="P83" t="str">
            <v>4850-MDB-202B</v>
          </cell>
          <cell r="Q83" t="str">
            <v>C</v>
          </cell>
          <cell r="S83">
            <v>81</v>
          </cell>
          <cell r="T83">
            <v>90</v>
          </cell>
          <cell r="X83">
            <v>0.94699999999999995</v>
          </cell>
          <cell r="Y83">
            <v>0.9</v>
          </cell>
        </row>
        <row r="84">
          <cell r="A84" t="str">
            <v>PEU-2</v>
          </cell>
          <cell r="B84" t="str">
            <v>41-PK-6040-14A</v>
          </cell>
          <cell r="C84" t="str">
            <v>Dryer Exhaust Fan Motor</v>
          </cell>
          <cell r="D84">
            <v>4107</v>
          </cell>
          <cell r="E84" t="str">
            <v>ISBL</v>
          </cell>
          <cell r="J84" t="str">
            <v>3</v>
          </cell>
          <cell r="K84">
            <v>690</v>
          </cell>
          <cell r="L84" t="str">
            <v>AC</v>
          </cell>
          <cell r="M84" t="str">
            <v>M</v>
          </cell>
          <cell r="N84" t="str">
            <v>N</v>
          </cell>
          <cell r="O84" t="str">
            <v/>
          </cell>
          <cell r="P84" t="str">
            <v>4850-MDB-202A</v>
          </cell>
          <cell r="Q84" t="str">
            <v>C</v>
          </cell>
          <cell r="S84">
            <v>19.8</v>
          </cell>
          <cell r="T84">
            <v>22</v>
          </cell>
          <cell r="X84">
            <v>0.91300000000000003</v>
          </cell>
          <cell r="Y84">
            <v>0.9</v>
          </cell>
        </row>
        <row r="85">
          <cell r="A85" t="str">
            <v>PEU-2</v>
          </cell>
          <cell r="B85" t="str">
            <v>41-PK-6040-14B</v>
          </cell>
          <cell r="C85" t="str">
            <v>Dryer Exhaust Fan Motor</v>
          </cell>
          <cell r="D85">
            <v>4107</v>
          </cell>
          <cell r="E85" t="str">
            <v>ISBL</v>
          </cell>
          <cell r="J85" t="str">
            <v>3</v>
          </cell>
          <cell r="K85">
            <v>690</v>
          </cell>
          <cell r="L85" t="str">
            <v>AC</v>
          </cell>
          <cell r="M85" t="str">
            <v>M</v>
          </cell>
          <cell r="N85" t="str">
            <v>N</v>
          </cell>
          <cell r="O85" t="str">
            <v/>
          </cell>
          <cell r="P85" t="str">
            <v>4850-MDB-202A</v>
          </cell>
          <cell r="Q85" t="str">
            <v>S</v>
          </cell>
          <cell r="S85">
            <v>19.8</v>
          </cell>
          <cell r="T85">
            <v>22</v>
          </cell>
          <cell r="X85">
            <v>0.91300000000000003</v>
          </cell>
          <cell r="Y85">
            <v>0.9</v>
          </cell>
        </row>
        <row r="86">
          <cell r="A86" t="str">
            <v>PEU-2</v>
          </cell>
          <cell r="B86" t="str">
            <v>41-PK-6040-15</v>
          </cell>
          <cell r="C86" t="str">
            <v>Vibrating Screen Classifier Motor</v>
          </cell>
          <cell r="D86">
            <v>4107</v>
          </cell>
          <cell r="E86" t="str">
            <v>ISBL</v>
          </cell>
          <cell r="J86" t="str">
            <v>3</v>
          </cell>
          <cell r="K86">
            <v>690</v>
          </cell>
          <cell r="L86" t="str">
            <v>AC</v>
          </cell>
          <cell r="M86" t="str">
            <v>M</v>
          </cell>
          <cell r="N86" t="str">
            <v>N</v>
          </cell>
          <cell r="O86" t="str">
            <v/>
          </cell>
          <cell r="P86" t="str">
            <v>4850-MDB-202B</v>
          </cell>
          <cell r="Q86" t="str">
            <v>C</v>
          </cell>
          <cell r="S86">
            <v>6.75</v>
          </cell>
          <cell r="T86">
            <v>7.5</v>
          </cell>
          <cell r="X86">
            <v>0.88200000000000001</v>
          </cell>
          <cell r="Y86">
            <v>0.9</v>
          </cell>
        </row>
        <row r="87">
          <cell r="A87" t="str">
            <v>PEU-2</v>
          </cell>
          <cell r="B87" t="str">
            <v>41-PK-6040-16A</v>
          </cell>
          <cell r="C87" t="str">
            <v>Hot Oil Pump Motor for Die Plate Heating</v>
          </cell>
          <cell r="D87">
            <v>4107</v>
          </cell>
          <cell r="E87" t="str">
            <v>ISBL</v>
          </cell>
          <cell r="J87" t="str">
            <v>3</v>
          </cell>
          <cell r="K87">
            <v>690</v>
          </cell>
          <cell r="L87" t="str">
            <v>AC</v>
          </cell>
          <cell r="M87" t="str">
            <v>M</v>
          </cell>
          <cell r="N87" t="str">
            <v>N</v>
          </cell>
          <cell r="O87" t="str">
            <v>Soft Starter</v>
          </cell>
          <cell r="P87" t="str">
            <v>4850-MDB-202A</v>
          </cell>
          <cell r="Q87" t="str">
            <v>C</v>
          </cell>
          <cell r="S87">
            <v>67.5</v>
          </cell>
          <cell r="T87">
            <v>75</v>
          </cell>
          <cell r="X87">
            <v>0.94299999999999995</v>
          </cell>
          <cell r="Y87">
            <v>0.9</v>
          </cell>
        </row>
        <row r="88">
          <cell r="A88" t="str">
            <v>PEU-2</v>
          </cell>
          <cell r="B88" t="str">
            <v>41-PK-6040-16B</v>
          </cell>
          <cell r="C88" t="str">
            <v>Hot Oil Pump Motor for Die Plate Heating</v>
          </cell>
          <cell r="D88">
            <v>4107</v>
          </cell>
          <cell r="E88" t="str">
            <v>ISBL</v>
          </cell>
          <cell r="J88" t="str">
            <v>3</v>
          </cell>
          <cell r="K88">
            <v>690</v>
          </cell>
          <cell r="L88" t="str">
            <v>AC</v>
          </cell>
          <cell r="M88" t="str">
            <v>M</v>
          </cell>
          <cell r="N88" t="str">
            <v>N</v>
          </cell>
          <cell r="O88" t="str">
            <v>Soft Starter</v>
          </cell>
          <cell r="P88" t="str">
            <v>4850-MDB-202B</v>
          </cell>
          <cell r="Q88" t="str">
            <v>S</v>
          </cell>
          <cell r="S88">
            <v>67.5</v>
          </cell>
          <cell r="T88">
            <v>75</v>
          </cell>
          <cell r="X88">
            <v>0.94299999999999995</v>
          </cell>
          <cell r="Y88">
            <v>0.9</v>
          </cell>
        </row>
        <row r="89">
          <cell r="A89" t="str">
            <v>PEU-2</v>
          </cell>
          <cell r="B89" t="str">
            <v>41-PK-6040-17A</v>
          </cell>
          <cell r="C89" t="str">
            <v>Hot Oil Pump Motor for Gear Pump Rotor Cooling</v>
          </cell>
          <cell r="D89">
            <v>4107</v>
          </cell>
          <cell r="E89" t="str">
            <v>ISBL</v>
          </cell>
          <cell r="J89" t="str">
            <v>3</v>
          </cell>
          <cell r="K89">
            <v>690</v>
          </cell>
          <cell r="L89" t="str">
            <v>AC</v>
          </cell>
          <cell r="M89" t="str">
            <v>M</v>
          </cell>
          <cell r="N89" t="str">
            <v>N</v>
          </cell>
          <cell r="O89" t="str">
            <v/>
          </cell>
          <cell r="P89" t="str">
            <v>4850-MDB-202A</v>
          </cell>
          <cell r="Q89" t="str">
            <v>C</v>
          </cell>
          <cell r="S89">
            <v>16</v>
          </cell>
          <cell r="T89">
            <v>20</v>
          </cell>
          <cell r="X89">
            <v>0.90700000000000003</v>
          </cell>
          <cell r="Y89">
            <v>0.90000000000000013</v>
          </cell>
        </row>
        <row r="90">
          <cell r="A90" t="str">
            <v>PEU-2</v>
          </cell>
          <cell r="B90" t="str">
            <v>41-PK-6040-17B</v>
          </cell>
          <cell r="C90" t="str">
            <v>Hot Oil Pump Motor for Gear Pump Rotor Cooling</v>
          </cell>
          <cell r="D90">
            <v>4107</v>
          </cell>
          <cell r="E90" t="str">
            <v>ISBL</v>
          </cell>
          <cell r="J90" t="str">
            <v>3</v>
          </cell>
          <cell r="K90">
            <v>690</v>
          </cell>
          <cell r="L90" t="str">
            <v>AC</v>
          </cell>
          <cell r="M90" t="str">
            <v>M</v>
          </cell>
          <cell r="N90" t="str">
            <v>N</v>
          </cell>
          <cell r="O90" t="str">
            <v/>
          </cell>
          <cell r="P90" t="str">
            <v>4850-MDB-202B</v>
          </cell>
          <cell r="Q90" t="str">
            <v>S</v>
          </cell>
          <cell r="S90">
            <v>16</v>
          </cell>
          <cell r="T90">
            <v>20</v>
          </cell>
          <cell r="X90">
            <v>0.90700000000000003</v>
          </cell>
          <cell r="Y90">
            <v>0.90000000000000013</v>
          </cell>
        </row>
        <row r="91">
          <cell r="A91" t="str">
            <v>PEU-2</v>
          </cell>
          <cell r="B91" t="str">
            <v>41-PK-6040-18A</v>
          </cell>
          <cell r="C91" t="str">
            <v>Hot Oil Pump Motor for Gear Pump Bearing Cooling</v>
          </cell>
          <cell r="D91">
            <v>4107</v>
          </cell>
          <cell r="E91" t="str">
            <v>ISBL</v>
          </cell>
          <cell r="J91" t="str">
            <v>3</v>
          </cell>
          <cell r="K91">
            <v>690</v>
          </cell>
          <cell r="L91" t="str">
            <v>AC</v>
          </cell>
          <cell r="M91" t="str">
            <v>M</v>
          </cell>
          <cell r="N91" t="str">
            <v>N</v>
          </cell>
          <cell r="O91" t="str">
            <v/>
          </cell>
          <cell r="P91" t="str">
            <v>4850-MDB-202A</v>
          </cell>
          <cell r="Q91" t="str">
            <v>C</v>
          </cell>
          <cell r="S91">
            <v>19.8</v>
          </cell>
          <cell r="T91">
            <v>22</v>
          </cell>
          <cell r="X91">
            <v>0.91300000000000003</v>
          </cell>
          <cell r="Y91">
            <v>0.90000000000000013</v>
          </cell>
        </row>
        <row r="92">
          <cell r="A92" t="str">
            <v>PEU-2</v>
          </cell>
          <cell r="B92" t="str">
            <v>41-PK-6040-18B</v>
          </cell>
          <cell r="C92" t="str">
            <v>Hot Oil Pump Motor for Gear Pump Bearing Cooling</v>
          </cell>
          <cell r="D92">
            <v>4107</v>
          </cell>
          <cell r="E92" t="str">
            <v>ISBL</v>
          </cell>
          <cell r="J92" t="str">
            <v>3</v>
          </cell>
          <cell r="K92">
            <v>690</v>
          </cell>
          <cell r="L92" t="str">
            <v>AC</v>
          </cell>
          <cell r="M92" t="str">
            <v>M</v>
          </cell>
          <cell r="N92" t="str">
            <v>N</v>
          </cell>
          <cell r="O92" t="str">
            <v/>
          </cell>
          <cell r="P92" t="str">
            <v>4850-MDB-202B</v>
          </cell>
          <cell r="Q92" t="str">
            <v>S</v>
          </cell>
          <cell r="S92">
            <v>19.8</v>
          </cell>
          <cell r="T92">
            <v>22</v>
          </cell>
          <cell r="X92">
            <v>0.91300000000000003</v>
          </cell>
          <cell r="Y92">
            <v>0.90000000000000013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 t="str">
            <v>ISBL</v>
          </cell>
          <cell r="J93" t="str">
            <v>3</v>
          </cell>
          <cell r="K93">
            <v>0</v>
          </cell>
          <cell r="L93" t="str">
            <v>AC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S93">
            <v>0</v>
          </cell>
          <cell r="T93">
            <v>0</v>
          </cell>
          <cell r="X93">
            <v>0</v>
          </cell>
          <cell r="Y93">
            <v>0</v>
          </cell>
        </row>
        <row r="94">
          <cell r="A94" t="str">
            <v>PEU-2</v>
          </cell>
          <cell r="B94" t="str">
            <v>41-PK-6040-31</v>
          </cell>
          <cell r="C94" t="str">
            <v>Gear Pump Motor Fan Motor</v>
          </cell>
          <cell r="D94">
            <v>4107</v>
          </cell>
          <cell r="E94" t="str">
            <v>ISBL</v>
          </cell>
          <cell r="J94" t="str">
            <v>3</v>
          </cell>
          <cell r="K94">
            <v>690</v>
          </cell>
          <cell r="L94" t="str">
            <v>AC</v>
          </cell>
          <cell r="M94" t="str">
            <v>M</v>
          </cell>
          <cell r="N94" t="str">
            <v>N</v>
          </cell>
          <cell r="O94" t="str">
            <v/>
          </cell>
          <cell r="P94" t="str">
            <v>4850-MDB-202A</v>
          </cell>
          <cell r="Q94" t="str">
            <v>C</v>
          </cell>
          <cell r="S94">
            <v>5.4</v>
          </cell>
          <cell r="T94">
            <v>6</v>
          </cell>
          <cell r="X94">
            <v>0.87</v>
          </cell>
          <cell r="Y94">
            <v>0.9</v>
          </cell>
        </row>
        <row r="95">
          <cell r="A95" t="str">
            <v>PEU-2</v>
          </cell>
          <cell r="B95" t="str">
            <v>41-PK-6040-32</v>
          </cell>
          <cell r="C95" t="str">
            <v>Hot Oil Pump Motor for Gear Pump &amp; S/C Heating</v>
          </cell>
          <cell r="D95">
            <v>4107</v>
          </cell>
          <cell r="E95" t="str">
            <v>ISBL</v>
          </cell>
          <cell r="J95" t="str">
            <v>3</v>
          </cell>
          <cell r="K95">
            <v>690</v>
          </cell>
          <cell r="L95" t="str">
            <v>AC</v>
          </cell>
          <cell r="M95" t="str">
            <v>M</v>
          </cell>
          <cell r="N95" t="str">
            <v>N</v>
          </cell>
          <cell r="O95" t="str">
            <v>Soft Starter</v>
          </cell>
          <cell r="P95" t="str">
            <v>4850-MDB-202B</v>
          </cell>
          <cell r="Q95" t="str">
            <v>C</v>
          </cell>
          <cell r="S95">
            <v>67.5</v>
          </cell>
          <cell r="T95">
            <v>75</v>
          </cell>
          <cell r="X95">
            <v>0.94299999999999995</v>
          </cell>
          <cell r="Y95">
            <v>0.9</v>
          </cell>
        </row>
        <row r="96">
          <cell r="A96" t="str">
            <v>PEU-2</v>
          </cell>
          <cell r="B96" t="str">
            <v>41-PK-6040-33</v>
          </cell>
          <cell r="C96" t="str">
            <v>Hot Oil Pump Motor for Gear Mixer Chamber Heating</v>
          </cell>
          <cell r="D96">
            <v>4107</v>
          </cell>
          <cell r="E96" t="str">
            <v>ISBL</v>
          </cell>
          <cell r="J96" t="str">
            <v>3</v>
          </cell>
          <cell r="K96">
            <v>690</v>
          </cell>
          <cell r="L96" t="str">
            <v>AC</v>
          </cell>
          <cell r="M96" t="str">
            <v>M</v>
          </cell>
          <cell r="N96" t="str">
            <v>N</v>
          </cell>
          <cell r="O96" t="str">
            <v/>
          </cell>
          <cell r="P96" t="str">
            <v>4850-MDB-202A</v>
          </cell>
          <cell r="Q96" t="str">
            <v>C</v>
          </cell>
          <cell r="S96">
            <v>45</v>
          </cell>
          <cell r="T96">
            <v>50</v>
          </cell>
          <cell r="X96">
            <v>0.93500000000000005</v>
          </cell>
          <cell r="Y96">
            <v>0.9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 t="str">
            <v>ISBL</v>
          </cell>
          <cell r="J97" t="str">
            <v>3</v>
          </cell>
          <cell r="K97">
            <v>0</v>
          </cell>
          <cell r="L97" t="str">
            <v>AC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  <cell r="T97">
            <v>0</v>
          </cell>
          <cell r="X97">
            <v>0</v>
          </cell>
          <cell r="Y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 t="str">
            <v>ISBL</v>
          </cell>
          <cell r="J98" t="str">
            <v>3</v>
          </cell>
          <cell r="K98">
            <v>0</v>
          </cell>
          <cell r="L98" t="str">
            <v>AC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  <cell r="T98">
            <v>0</v>
          </cell>
          <cell r="X98">
            <v>0</v>
          </cell>
          <cell r="Y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 t="str">
            <v>ISBL</v>
          </cell>
          <cell r="J99" t="str">
            <v>3</v>
          </cell>
          <cell r="K99">
            <v>0</v>
          </cell>
          <cell r="L99" t="str">
            <v>AC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  <cell r="T99">
            <v>0</v>
          </cell>
          <cell r="X99">
            <v>0</v>
          </cell>
          <cell r="Y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 t="str">
            <v>ISBL</v>
          </cell>
          <cell r="J100" t="str">
            <v>3</v>
          </cell>
          <cell r="K100">
            <v>0</v>
          </cell>
          <cell r="L100" t="str">
            <v>AC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  <cell r="T100">
            <v>0</v>
          </cell>
          <cell r="X100">
            <v>0</v>
          </cell>
          <cell r="Y100">
            <v>0</v>
          </cell>
        </row>
        <row r="101">
          <cell r="A101" t="str">
            <v>PEU-2</v>
          </cell>
          <cell r="B101" t="str">
            <v>41-P-5060A</v>
          </cell>
          <cell r="C101" t="str">
            <v>Deethanizer OVHD Accumulator Reflux Pump</v>
          </cell>
          <cell r="D101">
            <v>4104</v>
          </cell>
          <cell r="E101" t="str">
            <v>ISBL</v>
          </cell>
          <cell r="J101" t="str">
            <v>3</v>
          </cell>
          <cell r="K101">
            <v>690</v>
          </cell>
          <cell r="L101" t="str">
            <v>AC</v>
          </cell>
          <cell r="M101" t="str">
            <v>M</v>
          </cell>
          <cell r="N101" t="str">
            <v>N</v>
          </cell>
          <cell r="O101" t="str">
            <v/>
          </cell>
          <cell r="P101" t="str">
            <v>4850-MDB-203A</v>
          </cell>
          <cell r="Q101" t="str">
            <v>C</v>
          </cell>
          <cell r="S101">
            <v>18.7</v>
          </cell>
          <cell r="T101">
            <v>22</v>
          </cell>
          <cell r="X101">
            <v>0.91300000000000003</v>
          </cell>
          <cell r="Y101">
            <v>0.85</v>
          </cell>
        </row>
        <row r="102">
          <cell r="A102" t="str">
            <v>PEU-2</v>
          </cell>
          <cell r="B102" t="str">
            <v>46-P-8061A</v>
          </cell>
          <cell r="C102" t="str">
            <v>Demin. Water Booster Pump</v>
          </cell>
          <cell r="D102">
            <v>4101</v>
          </cell>
          <cell r="E102" t="str">
            <v>ISBL</v>
          </cell>
          <cell r="J102" t="str">
            <v>3</v>
          </cell>
          <cell r="K102">
            <v>690</v>
          </cell>
          <cell r="L102" t="str">
            <v>AC</v>
          </cell>
          <cell r="M102" t="str">
            <v>M</v>
          </cell>
          <cell r="N102" t="str">
            <v>N</v>
          </cell>
          <cell r="O102" t="str">
            <v/>
          </cell>
          <cell r="P102" t="str">
            <v>4850-MDB-203B</v>
          </cell>
          <cell r="Q102" t="str">
            <v>C</v>
          </cell>
          <cell r="S102">
            <v>9</v>
          </cell>
          <cell r="T102">
            <v>11</v>
          </cell>
          <cell r="X102">
            <v>0.89500000000000002</v>
          </cell>
          <cell r="Y102">
            <v>0.85</v>
          </cell>
        </row>
        <row r="103">
          <cell r="A103" t="str">
            <v>PEU-2</v>
          </cell>
          <cell r="B103" t="str">
            <v>63-P-0011A</v>
          </cell>
          <cell r="C103" t="str">
            <v>Glycol Water Circulation Pump</v>
          </cell>
          <cell r="D103">
            <v>4106</v>
          </cell>
          <cell r="E103" t="str">
            <v>ISBL</v>
          </cell>
          <cell r="J103" t="str">
            <v>3</v>
          </cell>
          <cell r="K103">
            <v>690</v>
          </cell>
          <cell r="L103" t="str">
            <v>AC</v>
          </cell>
          <cell r="M103" t="str">
            <v>M</v>
          </cell>
          <cell r="N103" t="str">
            <v>N</v>
          </cell>
          <cell r="O103" t="str">
            <v/>
          </cell>
          <cell r="P103" t="str">
            <v>4850-MDB-203A</v>
          </cell>
          <cell r="Q103" t="str">
            <v>C</v>
          </cell>
          <cell r="S103">
            <v>9.9</v>
          </cell>
          <cell r="T103">
            <v>11</v>
          </cell>
          <cell r="X103">
            <v>0.89500000000000002</v>
          </cell>
          <cell r="Y103">
            <v>0.85</v>
          </cell>
        </row>
        <row r="104">
          <cell r="A104" t="str">
            <v>PEU-2</v>
          </cell>
          <cell r="B104" t="str">
            <v>63-P-0011B</v>
          </cell>
          <cell r="C104" t="str">
            <v>Glycol Water Circulation Pump</v>
          </cell>
          <cell r="D104">
            <v>4106</v>
          </cell>
          <cell r="E104" t="str">
            <v>ISBL</v>
          </cell>
          <cell r="J104" t="str">
            <v>3</v>
          </cell>
          <cell r="K104">
            <v>690</v>
          </cell>
          <cell r="L104" t="str">
            <v>AC</v>
          </cell>
          <cell r="M104" t="str">
            <v>M</v>
          </cell>
          <cell r="N104" t="str">
            <v>N</v>
          </cell>
          <cell r="O104" t="str">
            <v/>
          </cell>
          <cell r="P104" t="str">
            <v>4850-MDB-203B</v>
          </cell>
          <cell r="Q104" t="str">
            <v>C</v>
          </cell>
          <cell r="S104">
            <v>9.9</v>
          </cell>
          <cell r="T104">
            <v>11</v>
          </cell>
          <cell r="X104">
            <v>0.89500000000000002</v>
          </cell>
          <cell r="Y104">
            <v>0.85</v>
          </cell>
        </row>
        <row r="105">
          <cell r="A105" t="str">
            <v>PEU-2</v>
          </cell>
          <cell r="B105" t="str">
            <v>63-P-0011C</v>
          </cell>
          <cell r="C105" t="str">
            <v>Glycol Water Circulation Pump</v>
          </cell>
          <cell r="D105">
            <v>4106</v>
          </cell>
          <cell r="E105" t="str">
            <v>ISBL</v>
          </cell>
          <cell r="J105" t="str">
            <v>3</v>
          </cell>
          <cell r="K105">
            <v>690</v>
          </cell>
          <cell r="L105" t="str">
            <v>AC</v>
          </cell>
          <cell r="M105" t="str">
            <v>M</v>
          </cell>
          <cell r="N105" t="str">
            <v>N</v>
          </cell>
          <cell r="O105" t="str">
            <v/>
          </cell>
          <cell r="P105" t="str">
            <v>4850-MDB-203A</v>
          </cell>
          <cell r="Q105" t="str">
            <v>S</v>
          </cell>
          <cell r="S105">
            <v>9.9</v>
          </cell>
          <cell r="T105">
            <v>11</v>
          </cell>
          <cell r="X105">
            <v>0.89500000000000002</v>
          </cell>
          <cell r="Y105">
            <v>0.85</v>
          </cell>
        </row>
        <row r="106">
          <cell r="A106" t="str">
            <v>PEU-2</v>
          </cell>
          <cell r="B106" t="str">
            <v>63-P-0012A</v>
          </cell>
          <cell r="C106" t="str">
            <v>Pressure Holding Pump</v>
          </cell>
          <cell r="D106" t="str">
            <v>x</v>
          </cell>
          <cell r="E106" t="str">
            <v>ISBL</v>
          </cell>
          <cell r="J106" t="str">
            <v>3</v>
          </cell>
          <cell r="K106">
            <v>690</v>
          </cell>
          <cell r="L106" t="str">
            <v>AC</v>
          </cell>
          <cell r="M106" t="str">
            <v>M</v>
          </cell>
          <cell r="N106" t="str">
            <v>N</v>
          </cell>
          <cell r="O106" t="str">
            <v/>
          </cell>
          <cell r="P106" t="str">
            <v>4850-MDB-203B</v>
          </cell>
          <cell r="Q106" t="str">
            <v>C</v>
          </cell>
          <cell r="S106">
            <v>9.9</v>
          </cell>
          <cell r="T106">
            <v>11</v>
          </cell>
          <cell r="X106">
            <v>0.89500000000000002</v>
          </cell>
          <cell r="Y106">
            <v>0.85</v>
          </cell>
        </row>
        <row r="107">
          <cell r="A107" t="str">
            <v>PEU-2</v>
          </cell>
          <cell r="B107" t="str">
            <v>63-P-0012B</v>
          </cell>
          <cell r="C107" t="str">
            <v>Pressure Holding Pump</v>
          </cell>
          <cell r="D107" t="str">
            <v>x</v>
          </cell>
          <cell r="E107" t="str">
            <v>ISBL</v>
          </cell>
          <cell r="J107" t="str">
            <v>3</v>
          </cell>
          <cell r="K107">
            <v>690</v>
          </cell>
          <cell r="L107" t="str">
            <v>AC</v>
          </cell>
          <cell r="M107" t="str">
            <v>M</v>
          </cell>
          <cell r="N107" t="str">
            <v>N</v>
          </cell>
          <cell r="O107" t="str">
            <v/>
          </cell>
          <cell r="P107" t="str">
            <v>4850-MDB-203A</v>
          </cell>
          <cell r="Q107" t="str">
            <v>S</v>
          </cell>
          <cell r="S107">
            <v>9.9</v>
          </cell>
          <cell r="T107">
            <v>11</v>
          </cell>
          <cell r="X107">
            <v>0.89500000000000002</v>
          </cell>
          <cell r="Y107">
            <v>0.85</v>
          </cell>
        </row>
        <row r="108">
          <cell r="A108" t="str">
            <v>PEU-2</v>
          </cell>
          <cell r="B108" t="str">
            <v>63-P-0021A</v>
          </cell>
          <cell r="C108" t="str">
            <v>Industrial Waste Water Pump</v>
          </cell>
          <cell r="D108" t="str">
            <v>x</v>
          </cell>
          <cell r="E108" t="str">
            <v>ISBL</v>
          </cell>
          <cell r="J108" t="str">
            <v>3</v>
          </cell>
          <cell r="K108">
            <v>690</v>
          </cell>
          <cell r="L108" t="str">
            <v>AC</v>
          </cell>
          <cell r="M108" t="str">
            <v>M</v>
          </cell>
          <cell r="N108" t="str">
            <v>N</v>
          </cell>
          <cell r="O108" t="str">
            <v/>
          </cell>
          <cell r="P108" t="str">
            <v>4850-MDB-203A</v>
          </cell>
          <cell r="Q108" t="str">
            <v>I</v>
          </cell>
          <cell r="S108">
            <v>27</v>
          </cell>
          <cell r="T108">
            <v>30</v>
          </cell>
          <cell r="X108">
            <v>0.92</v>
          </cell>
          <cell r="Y108">
            <v>0.85</v>
          </cell>
        </row>
        <row r="109">
          <cell r="A109" t="str">
            <v>PEU-2</v>
          </cell>
          <cell r="B109" t="str">
            <v>63-P-0021B</v>
          </cell>
          <cell r="C109" t="str">
            <v>Industrial Waste Water Pump</v>
          </cell>
          <cell r="D109" t="str">
            <v>x</v>
          </cell>
          <cell r="E109" t="str">
            <v>ISBL</v>
          </cell>
          <cell r="J109" t="str">
            <v>3</v>
          </cell>
          <cell r="K109">
            <v>690</v>
          </cell>
          <cell r="L109" t="str">
            <v>AC</v>
          </cell>
          <cell r="M109" t="str">
            <v>M</v>
          </cell>
          <cell r="N109" t="str">
            <v>N</v>
          </cell>
          <cell r="O109" t="str">
            <v/>
          </cell>
          <cell r="P109" t="str">
            <v>4850-MDB-203B</v>
          </cell>
          <cell r="Q109" t="str">
            <v>S</v>
          </cell>
          <cell r="S109">
            <v>27</v>
          </cell>
          <cell r="T109">
            <v>30</v>
          </cell>
          <cell r="X109">
            <v>0.92</v>
          </cell>
          <cell r="Y109">
            <v>0.85</v>
          </cell>
        </row>
        <row r="110">
          <cell r="A110" t="str">
            <v>PEU-2</v>
          </cell>
          <cell r="B110" t="str">
            <v>46-P-8071A</v>
          </cell>
          <cell r="C110" t="str">
            <v>Waste Storm Water Pump</v>
          </cell>
          <cell r="D110">
            <v>0</v>
          </cell>
          <cell r="E110" t="str">
            <v>ISBL</v>
          </cell>
          <cell r="J110" t="str">
            <v>3</v>
          </cell>
          <cell r="K110">
            <v>690</v>
          </cell>
          <cell r="L110" t="str">
            <v>AC</v>
          </cell>
          <cell r="M110" t="str">
            <v>M</v>
          </cell>
          <cell r="N110" t="str">
            <v>N</v>
          </cell>
          <cell r="O110" t="str">
            <v/>
          </cell>
          <cell r="P110" t="str">
            <v>4850-MDB-203A</v>
          </cell>
          <cell r="Q110" t="str">
            <v>I</v>
          </cell>
          <cell r="S110">
            <v>11.3</v>
          </cell>
          <cell r="T110">
            <v>15</v>
          </cell>
          <cell r="X110">
            <v>0.9</v>
          </cell>
          <cell r="Y110">
            <v>0.85</v>
          </cell>
        </row>
        <row r="111">
          <cell r="A111" t="str">
            <v>PEU-2</v>
          </cell>
          <cell r="B111" t="str">
            <v>46-P-8071B</v>
          </cell>
          <cell r="C111" t="str">
            <v>Waste Storm Water Pump</v>
          </cell>
          <cell r="D111">
            <v>0</v>
          </cell>
          <cell r="E111" t="str">
            <v>ISBL</v>
          </cell>
          <cell r="J111" t="str">
            <v>3</v>
          </cell>
          <cell r="K111">
            <v>690</v>
          </cell>
          <cell r="L111" t="str">
            <v>AC</v>
          </cell>
          <cell r="M111" t="str">
            <v>M</v>
          </cell>
          <cell r="N111" t="str">
            <v>N</v>
          </cell>
          <cell r="O111" t="str">
            <v/>
          </cell>
          <cell r="P111" t="str">
            <v>4850-MDB-203B</v>
          </cell>
          <cell r="Q111" t="str">
            <v>S</v>
          </cell>
          <cell r="S111">
            <v>11.3</v>
          </cell>
          <cell r="T111">
            <v>15</v>
          </cell>
          <cell r="X111">
            <v>0.9</v>
          </cell>
          <cell r="Y111">
            <v>0.85</v>
          </cell>
        </row>
        <row r="112">
          <cell r="A112" t="str">
            <v>PEU-2</v>
          </cell>
          <cell r="B112" t="str">
            <v>46-P-8072A</v>
          </cell>
          <cell r="C112" t="str">
            <v>Storm Water Pump</v>
          </cell>
          <cell r="D112">
            <v>0</v>
          </cell>
          <cell r="E112" t="str">
            <v>ISBL</v>
          </cell>
          <cell r="J112" t="str">
            <v>3</v>
          </cell>
          <cell r="K112">
            <v>690</v>
          </cell>
          <cell r="L112" t="str">
            <v>AC</v>
          </cell>
          <cell r="M112" t="str">
            <v>M</v>
          </cell>
          <cell r="N112" t="str">
            <v>N</v>
          </cell>
          <cell r="O112" t="str">
            <v/>
          </cell>
          <cell r="P112" t="str">
            <v>4850-MDB-203A</v>
          </cell>
          <cell r="Q112" t="str">
            <v>I</v>
          </cell>
          <cell r="S112">
            <v>8.3000000000000007</v>
          </cell>
          <cell r="T112">
            <v>11</v>
          </cell>
          <cell r="X112">
            <v>0.89500000000000002</v>
          </cell>
          <cell r="Y112">
            <v>0.85</v>
          </cell>
        </row>
        <row r="113">
          <cell r="A113" t="str">
            <v>PEU-2</v>
          </cell>
          <cell r="B113" t="str">
            <v>46-P-8072B</v>
          </cell>
          <cell r="C113" t="str">
            <v>Storm Water Pump</v>
          </cell>
          <cell r="D113">
            <v>0</v>
          </cell>
          <cell r="E113" t="str">
            <v>ISBL</v>
          </cell>
          <cell r="J113" t="str">
            <v>3</v>
          </cell>
          <cell r="K113">
            <v>690</v>
          </cell>
          <cell r="L113" t="str">
            <v>AC</v>
          </cell>
          <cell r="M113" t="str">
            <v>M</v>
          </cell>
          <cell r="N113" t="str">
            <v>N</v>
          </cell>
          <cell r="O113" t="str">
            <v/>
          </cell>
          <cell r="P113" t="str">
            <v>4850-MDB-203B</v>
          </cell>
          <cell r="Q113" t="str">
            <v>S</v>
          </cell>
          <cell r="S113">
            <v>8.3000000000000007</v>
          </cell>
          <cell r="T113">
            <v>11</v>
          </cell>
          <cell r="X113">
            <v>0.89500000000000002</v>
          </cell>
          <cell r="Y113">
            <v>0.85</v>
          </cell>
        </row>
        <row r="114">
          <cell r="A114" t="str">
            <v>PEU-2</v>
          </cell>
          <cell r="B114" t="str">
            <v>41-AG-3102</v>
          </cell>
          <cell r="C114" t="str">
            <v>PF Catalyst Slurry Mix Tank Agitator</v>
          </cell>
          <cell r="D114">
            <v>4105</v>
          </cell>
          <cell r="E114" t="str">
            <v>ISBL</v>
          </cell>
          <cell r="J114" t="str">
            <v>3</v>
          </cell>
          <cell r="K114">
            <v>690</v>
          </cell>
          <cell r="L114" t="str">
            <v>AC</v>
          </cell>
          <cell r="M114" t="str">
            <v>M</v>
          </cell>
          <cell r="N114" t="str">
            <v>N</v>
          </cell>
          <cell r="O114" t="str">
            <v/>
          </cell>
          <cell r="P114" t="str">
            <v>4850-MDB-203B</v>
          </cell>
          <cell r="Q114" t="str">
            <v>C</v>
          </cell>
          <cell r="S114">
            <v>24</v>
          </cell>
          <cell r="T114">
            <v>30</v>
          </cell>
          <cell r="X114">
            <v>0.92</v>
          </cell>
          <cell r="Y114">
            <v>0.85</v>
          </cell>
        </row>
        <row r="115">
          <cell r="A115" t="str">
            <v>PEU-2</v>
          </cell>
          <cell r="B115" t="str">
            <v>41-AG-3103A</v>
          </cell>
          <cell r="C115" t="str">
            <v>PF Catalyst Run Tank Agitator</v>
          </cell>
          <cell r="D115">
            <v>4105</v>
          </cell>
          <cell r="E115" t="str">
            <v>ISBL</v>
          </cell>
          <cell r="J115" t="str">
            <v>3</v>
          </cell>
          <cell r="K115">
            <v>690</v>
          </cell>
          <cell r="L115" t="str">
            <v>AC</v>
          </cell>
          <cell r="M115" t="str">
            <v>M</v>
          </cell>
          <cell r="N115" t="str">
            <v>N</v>
          </cell>
          <cell r="O115">
            <v>0</v>
          </cell>
          <cell r="P115" t="str">
            <v>4850-MDB-203A</v>
          </cell>
          <cell r="Q115" t="str">
            <v>C</v>
          </cell>
          <cell r="S115">
            <v>17.600000000000001</v>
          </cell>
          <cell r="T115">
            <v>22</v>
          </cell>
          <cell r="X115">
            <v>0.91300000000000003</v>
          </cell>
          <cell r="Y115">
            <v>0.85</v>
          </cell>
        </row>
        <row r="116">
          <cell r="A116" t="str">
            <v>PEU-2</v>
          </cell>
          <cell r="B116" t="str">
            <v>41-AG-3103B</v>
          </cell>
          <cell r="C116" t="str">
            <v>PF Catalyst Run Tank Agitator</v>
          </cell>
          <cell r="D116">
            <v>4105</v>
          </cell>
          <cell r="E116" t="str">
            <v>ISBL</v>
          </cell>
          <cell r="J116" t="str">
            <v>3</v>
          </cell>
          <cell r="K116">
            <v>690</v>
          </cell>
          <cell r="L116" t="str">
            <v>AC</v>
          </cell>
          <cell r="M116" t="str">
            <v>M</v>
          </cell>
          <cell r="N116" t="str">
            <v>N</v>
          </cell>
          <cell r="O116">
            <v>0</v>
          </cell>
          <cell r="P116" t="str">
            <v>4850-MDB-203B</v>
          </cell>
          <cell r="Q116" t="str">
            <v>C</v>
          </cell>
          <cell r="S116">
            <v>17.600000000000001</v>
          </cell>
          <cell r="T116">
            <v>22</v>
          </cell>
          <cell r="X116">
            <v>0.91300000000000003</v>
          </cell>
          <cell r="Y116">
            <v>0.85</v>
          </cell>
        </row>
        <row r="117">
          <cell r="A117" t="str">
            <v>PEU-2</v>
          </cell>
          <cell r="B117" t="str">
            <v>41-AG-3202A</v>
          </cell>
          <cell r="C117" t="str">
            <v>ZN Catalyst Slurry Mix/Run Tank Agitator</v>
          </cell>
          <cell r="D117">
            <v>4105</v>
          </cell>
          <cell r="E117" t="str">
            <v>ISBL</v>
          </cell>
          <cell r="J117" t="str">
            <v>3</v>
          </cell>
          <cell r="K117">
            <v>690</v>
          </cell>
          <cell r="L117" t="str">
            <v>AC</v>
          </cell>
          <cell r="M117" t="str">
            <v>M</v>
          </cell>
          <cell r="N117" t="str">
            <v>N</v>
          </cell>
          <cell r="O117">
            <v>0</v>
          </cell>
          <cell r="P117" t="str">
            <v>4850-MDB-203A</v>
          </cell>
          <cell r="Q117" t="str">
            <v>C</v>
          </cell>
          <cell r="S117">
            <v>24</v>
          </cell>
          <cell r="T117">
            <v>30</v>
          </cell>
          <cell r="X117">
            <v>0.92</v>
          </cell>
          <cell r="Y117">
            <v>0.85</v>
          </cell>
        </row>
        <row r="118">
          <cell r="A118" t="str">
            <v>PEU-2</v>
          </cell>
          <cell r="B118" t="str">
            <v>41-AG-3202B</v>
          </cell>
          <cell r="C118" t="str">
            <v>ZN Catalyst Slurry Mix/Run Tank Agitator</v>
          </cell>
          <cell r="D118">
            <v>4105</v>
          </cell>
          <cell r="E118" t="str">
            <v>ISBL</v>
          </cell>
          <cell r="J118" t="str">
            <v>3</v>
          </cell>
          <cell r="K118">
            <v>690</v>
          </cell>
          <cell r="L118" t="str">
            <v>AC</v>
          </cell>
          <cell r="M118" t="str">
            <v>M</v>
          </cell>
          <cell r="N118" t="str">
            <v>N</v>
          </cell>
          <cell r="O118">
            <v>0</v>
          </cell>
          <cell r="P118" t="str">
            <v>4850-MDB-203B</v>
          </cell>
          <cell r="Q118" t="str">
            <v>C</v>
          </cell>
          <cell r="S118">
            <v>24</v>
          </cell>
          <cell r="T118">
            <v>30</v>
          </cell>
          <cell r="X118">
            <v>0.92</v>
          </cell>
          <cell r="Y118">
            <v>0.85</v>
          </cell>
        </row>
        <row r="119">
          <cell r="A119" t="str">
            <v>PEU-2</v>
          </cell>
          <cell r="B119" t="str">
            <v>41-AG-3302A</v>
          </cell>
          <cell r="C119" t="str">
            <v>Metallocene Catalyst Slurry Mix/Run Tank Agitator</v>
          </cell>
          <cell r="D119">
            <v>4105</v>
          </cell>
          <cell r="E119" t="str">
            <v>ISBL</v>
          </cell>
          <cell r="J119" t="str">
            <v>3</v>
          </cell>
          <cell r="K119">
            <v>690</v>
          </cell>
          <cell r="L119" t="str">
            <v>AC</v>
          </cell>
          <cell r="M119" t="str">
            <v>M</v>
          </cell>
          <cell r="N119" t="str">
            <v>N</v>
          </cell>
          <cell r="O119">
            <v>0</v>
          </cell>
          <cell r="P119" t="str">
            <v>4850-MDB-203A</v>
          </cell>
          <cell r="Q119" t="str">
            <v>C</v>
          </cell>
          <cell r="S119">
            <v>17.600000000000001</v>
          </cell>
          <cell r="T119">
            <v>22</v>
          </cell>
          <cell r="X119">
            <v>0.91300000000000003</v>
          </cell>
          <cell r="Y119">
            <v>0.85</v>
          </cell>
        </row>
        <row r="120">
          <cell r="A120" t="str">
            <v>PEU-2</v>
          </cell>
          <cell r="B120" t="str">
            <v>41-AG-3302B</v>
          </cell>
          <cell r="C120" t="str">
            <v>Metallocene Catalyst Slurry Mix/Run Tank Agitator</v>
          </cell>
          <cell r="D120">
            <v>4105</v>
          </cell>
          <cell r="E120" t="str">
            <v>ISBL</v>
          </cell>
          <cell r="J120" t="str">
            <v>3</v>
          </cell>
          <cell r="K120">
            <v>690</v>
          </cell>
          <cell r="L120" t="str">
            <v>AC</v>
          </cell>
          <cell r="M120" t="str">
            <v>M</v>
          </cell>
          <cell r="N120" t="str">
            <v>N</v>
          </cell>
          <cell r="O120">
            <v>0</v>
          </cell>
          <cell r="P120" t="str">
            <v>4850-MDB-203B</v>
          </cell>
          <cell r="Q120" t="str">
            <v>C</v>
          </cell>
          <cell r="S120">
            <v>17.600000000000001</v>
          </cell>
          <cell r="T120">
            <v>22</v>
          </cell>
          <cell r="X120">
            <v>0.91300000000000003</v>
          </cell>
          <cell r="Y120">
            <v>0.85</v>
          </cell>
        </row>
        <row r="121">
          <cell r="A121" t="str">
            <v>PEU-2</v>
          </cell>
          <cell r="B121" t="str">
            <v>41-HO-1001</v>
          </cell>
          <cell r="C121" t="str">
            <v>Catalyst Activator Hoist</v>
          </cell>
          <cell r="D121">
            <v>4105</v>
          </cell>
          <cell r="E121" t="str">
            <v>ISBL</v>
          </cell>
          <cell r="J121" t="str">
            <v>3</v>
          </cell>
          <cell r="K121">
            <v>690</v>
          </cell>
          <cell r="L121" t="str">
            <v>AC</v>
          </cell>
          <cell r="M121" t="str">
            <v>F</v>
          </cell>
          <cell r="N121" t="str">
            <v>N</v>
          </cell>
          <cell r="O121">
            <v>0</v>
          </cell>
          <cell r="P121" t="str">
            <v>4850-MDB-203A</v>
          </cell>
          <cell r="Q121" t="str">
            <v>I</v>
          </cell>
          <cell r="S121">
            <v>2.64</v>
          </cell>
          <cell r="T121">
            <v>3.3</v>
          </cell>
          <cell r="X121">
            <v>1</v>
          </cell>
          <cell r="Y121">
            <v>0.85</v>
          </cell>
        </row>
        <row r="122">
          <cell r="A122" t="str">
            <v>PEU-2</v>
          </cell>
          <cell r="B122" t="str">
            <v>41-HO-3101</v>
          </cell>
          <cell r="C122" t="str">
            <v>PF Catalyst Mix Tank Hoist</v>
          </cell>
          <cell r="D122">
            <v>4105</v>
          </cell>
          <cell r="E122" t="str">
            <v>ISBL</v>
          </cell>
          <cell r="J122" t="str">
            <v>3</v>
          </cell>
          <cell r="K122">
            <v>690</v>
          </cell>
          <cell r="L122" t="str">
            <v>AC</v>
          </cell>
          <cell r="M122" t="str">
            <v>F</v>
          </cell>
          <cell r="N122" t="str">
            <v>N</v>
          </cell>
          <cell r="O122">
            <v>0</v>
          </cell>
          <cell r="P122" t="str">
            <v>4850-MDB-203B</v>
          </cell>
          <cell r="Q122" t="str">
            <v>I</v>
          </cell>
          <cell r="S122">
            <v>2.8</v>
          </cell>
          <cell r="T122">
            <v>3.5</v>
          </cell>
          <cell r="X122">
            <v>1</v>
          </cell>
          <cell r="Y122">
            <v>0.85</v>
          </cell>
        </row>
        <row r="123">
          <cell r="A123" t="str">
            <v>PEU-2</v>
          </cell>
          <cell r="B123" t="str">
            <v>41-HO-3102</v>
          </cell>
          <cell r="C123" t="str">
            <v>PF Catalyst Run Tank Hoist</v>
          </cell>
          <cell r="D123">
            <v>4105</v>
          </cell>
          <cell r="E123" t="str">
            <v>ISBL</v>
          </cell>
          <cell r="J123" t="str">
            <v>3</v>
          </cell>
          <cell r="K123">
            <v>690</v>
          </cell>
          <cell r="L123" t="str">
            <v>AC</v>
          </cell>
          <cell r="M123" t="str">
            <v>F</v>
          </cell>
          <cell r="N123" t="str">
            <v>N</v>
          </cell>
          <cell r="O123">
            <v>0</v>
          </cell>
          <cell r="P123" t="str">
            <v>4850-MDB-203A</v>
          </cell>
          <cell r="Q123" t="str">
            <v>I</v>
          </cell>
          <cell r="S123">
            <v>2.8</v>
          </cell>
          <cell r="T123">
            <v>3.5</v>
          </cell>
          <cell r="X123">
            <v>1</v>
          </cell>
          <cell r="Y123">
            <v>0.85</v>
          </cell>
        </row>
        <row r="124">
          <cell r="A124" t="str">
            <v>PEU-2</v>
          </cell>
          <cell r="B124" t="str">
            <v>41-HO-3202</v>
          </cell>
          <cell r="C124" t="str">
            <v xml:space="preserve">ZN Catalyst Mix/Run Tank Hoist </v>
          </cell>
          <cell r="D124">
            <v>4105</v>
          </cell>
          <cell r="E124" t="str">
            <v>ISBL</v>
          </cell>
          <cell r="J124" t="str">
            <v>3</v>
          </cell>
          <cell r="K124">
            <v>690</v>
          </cell>
          <cell r="L124" t="str">
            <v>AC</v>
          </cell>
          <cell r="M124" t="str">
            <v>F</v>
          </cell>
          <cell r="N124" t="str">
            <v>N</v>
          </cell>
          <cell r="O124">
            <v>0</v>
          </cell>
          <cell r="P124" t="str">
            <v>4850-MDB-203B</v>
          </cell>
          <cell r="Q124" t="str">
            <v>I</v>
          </cell>
          <cell r="S124">
            <v>2.8</v>
          </cell>
          <cell r="T124">
            <v>3.5</v>
          </cell>
          <cell r="X124">
            <v>1</v>
          </cell>
          <cell r="Y124">
            <v>0.85</v>
          </cell>
        </row>
        <row r="125">
          <cell r="A125" t="str">
            <v>PEU-2</v>
          </cell>
          <cell r="B125" t="str">
            <v>41-HO-3203</v>
          </cell>
          <cell r="C125" t="str">
            <v xml:space="preserve">ZN Catalyst Drum Hoist </v>
          </cell>
          <cell r="D125">
            <v>4105</v>
          </cell>
          <cell r="E125" t="str">
            <v>ISBL</v>
          </cell>
          <cell r="J125" t="str">
            <v>3</v>
          </cell>
          <cell r="K125">
            <v>690</v>
          </cell>
          <cell r="L125" t="str">
            <v>AC</v>
          </cell>
          <cell r="M125" t="str">
            <v>F</v>
          </cell>
          <cell r="N125" t="str">
            <v>N</v>
          </cell>
          <cell r="O125">
            <v>0</v>
          </cell>
          <cell r="P125" t="str">
            <v>4850-MDB-203A</v>
          </cell>
          <cell r="Q125" t="str">
            <v>I</v>
          </cell>
          <cell r="S125">
            <v>2.64</v>
          </cell>
          <cell r="T125">
            <v>3.3</v>
          </cell>
          <cell r="X125">
            <v>1</v>
          </cell>
          <cell r="Y125">
            <v>0.85</v>
          </cell>
        </row>
        <row r="126">
          <cell r="A126" t="str">
            <v>PEU-2</v>
          </cell>
          <cell r="B126" t="str">
            <v>41-HO-3302</v>
          </cell>
          <cell r="C126" t="str">
            <v xml:space="preserve">Metallocene Catalyst Mix/Run Tank Hoist </v>
          </cell>
          <cell r="D126">
            <v>4105</v>
          </cell>
          <cell r="E126" t="str">
            <v>ISBL</v>
          </cell>
          <cell r="J126" t="str">
            <v>3</v>
          </cell>
          <cell r="K126">
            <v>690</v>
          </cell>
          <cell r="L126" t="str">
            <v>AC</v>
          </cell>
          <cell r="M126" t="str">
            <v>F</v>
          </cell>
          <cell r="N126" t="str">
            <v>N</v>
          </cell>
          <cell r="O126">
            <v>0</v>
          </cell>
          <cell r="P126" t="str">
            <v>4850-MDB-203B</v>
          </cell>
          <cell r="Q126" t="str">
            <v>I</v>
          </cell>
          <cell r="S126">
            <v>2.8</v>
          </cell>
          <cell r="T126">
            <v>3.5</v>
          </cell>
          <cell r="X126">
            <v>1</v>
          </cell>
          <cell r="Y126">
            <v>0.85</v>
          </cell>
        </row>
        <row r="127">
          <cell r="A127" t="str">
            <v>PEU-2</v>
          </cell>
          <cell r="B127" t="str">
            <v>41-HO-3303</v>
          </cell>
          <cell r="C127" t="str">
            <v xml:space="preserve">Metallocene Catalyst Drum Hoist </v>
          </cell>
          <cell r="D127">
            <v>4105</v>
          </cell>
          <cell r="E127" t="str">
            <v>ISBL</v>
          </cell>
          <cell r="J127" t="str">
            <v>3</v>
          </cell>
          <cell r="K127">
            <v>690</v>
          </cell>
          <cell r="L127" t="str">
            <v>AC</v>
          </cell>
          <cell r="M127" t="str">
            <v>F</v>
          </cell>
          <cell r="N127" t="str">
            <v>N</v>
          </cell>
          <cell r="O127">
            <v>0</v>
          </cell>
          <cell r="P127" t="str">
            <v>4850-MDB-203A</v>
          </cell>
          <cell r="Q127" t="str">
            <v>I</v>
          </cell>
          <cell r="S127">
            <v>2.64</v>
          </cell>
          <cell r="T127">
            <v>3.3</v>
          </cell>
          <cell r="X127">
            <v>1</v>
          </cell>
          <cell r="Y127">
            <v>0.85</v>
          </cell>
        </row>
        <row r="128">
          <cell r="A128" t="str">
            <v>PEU-2</v>
          </cell>
          <cell r="B128" t="str">
            <v>41-HO-4101A</v>
          </cell>
          <cell r="C128" t="str">
            <v xml:space="preserve">Reactor A Elbow Hoist </v>
          </cell>
          <cell r="D128" t="str">
            <v>x</v>
          </cell>
          <cell r="E128" t="str">
            <v>ISBL</v>
          </cell>
          <cell r="J128" t="str">
            <v>3</v>
          </cell>
          <cell r="K128">
            <v>690</v>
          </cell>
          <cell r="L128" t="str">
            <v>AC</v>
          </cell>
          <cell r="M128" t="str">
            <v>F</v>
          </cell>
          <cell r="N128" t="str">
            <v>N</v>
          </cell>
          <cell r="O128">
            <v>0</v>
          </cell>
          <cell r="P128" t="str">
            <v>4850-MDB-203B</v>
          </cell>
          <cell r="Q128" t="str">
            <v>I</v>
          </cell>
          <cell r="S128">
            <v>4.8</v>
          </cell>
          <cell r="T128">
            <v>6</v>
          </cell>
          <cell r="X128">
            <v>1</v>
          </cell>
          <cell r="Y128">
            <v>0.85</v>
          </cell>
        </row>
        <row r="129">
          <cell r="A129" t="str">
            <v>PEU-2</v>
          </cell>
          <cell r="B129" t="str">
            <v>41-HO-4101B</v>
          </cell>
          <cell r="C129" t="str">
            <v xml:space="preserve">Reactor A Elbow Hoist </v>
          </cell>
          <cell r="D129" t="str">
            <v>x</v>
          </cell>
          <cell r="E129" t="str">
            <v>ISBL</v>
          </cell>
          <cell r="J129" t="str">
            <v>3</v>
          </cell>
          <cell r="K129">
            <v>690</v>
          </cell>
          <cell r="L129" t="str">
            <v>AC</v>
          </cell>
          <cell r="M129" t="str">
            <v>F</v>
          </cell>
          <cell r="N129" t="str">
            <v>N</v>
          </cell>
          <cell r="O129">
            <v>0</v>
          </cell>
          <cell r="P129" t="str">
            <v>4850-MDB-203A</v>
          </cell>
          <cell r="Q129" t="str">
            <v>I</v>
          </cell>
          <cell r="S129">
            <v>4.8</v>
          </cell>
          <cell r="T129">
            <v>6</v>
          </cell>
          <cell r="X129">
            <v>1</v>
          </cell>
          <cell r="Y129">
            <v>0.85</v>
          </cell>
        </row>
        <row r="130">
          <cell r="A130" t="str">
            <v>PEU-2</v>
          </cell>
          <cell r="B130" t="str">
            <v>41-HO-4201A</v>
          </cell>
          <cell r="C130" t="str">
            <v xml:space="preserve">Reactor B Elbow Hoist </v>
          </cell>
          <cell r="D130" t="str">
            <v>x</v>
          </cell>
          <cell r="E130" t="str">
            <v>ISBL</v>
          </cell>
          <cell r="J130" t="str">
            <v>3</v>
          </cell>
          <cell r="K130">
            <v>690</v>
          </cell>
          <cell r="L130" t="str">
            <v>AC</v>
          </cell>
          <cell r="M130" t="str">
            <v>F</v>
          </cell>
          <cell r="N130" t="str">
            <v>N</v>
          </cell>
          <cell r="O130">
            <v>0</v>
          </cell>
          <cell r="P130" t="str">
            <v>4850-MDB-203B</v>
          </cell>
          <cell r="Q130" t="str">
            <v>I</v>
          </cell>
          <cell r="S130">
            <v>4.8</v>
          </cell>
          <cell r="T130">
            <v>6</v>
          </cell>
          <cell r="X130">
            <v>1</v>
          </cell>
          <cell r="Y130">
            <v>0.85</v>
          </cell>
        </row>
        <row r="131">
          <cell r="A131" t="str">
            <v>PEU-2</v>
          </cell>
          <cell r="B131" t="str">
            <v>41-HO-4201B</v>
          </cell>
          <cell r="C131" t="str">
            <v xml:space="preserve">Reactor B Elbow Hoist </v>
          </cell>
          <cell r="D131" t="str">
            <v>x</v>
          </cell>
          <cell r="E131" t="str">
            <v>ISBL</v>
          </cell>
          <cell r="J131" t="str">
            <v>3</v>
          </cell>
          <cell r="K131">
            <v>690</v>
          </cell>
          <cell r="L131" t="str">
            <v>AC</v>
          </cell>
          <cell r="M131" t="str">
            <v>F</v>
          </cell>
          <cell r="N131" t="str">
            <v>N</v>
          </cell>
          <cell r="O131">
            <v>0</v>
          </cell>
          <cell r="P131" t="str">
            <v>4850-MDB-203A</v>
          </cell>
          <cell r="Q131" t="str">
            <v>I</v>
          </cell>
          <cell r="S131">
            <v>4.8</v>
          </cell>
          <cell r="T131">
            <v>6</v>
          </cell>
          <cell r="X131">
            <v>1</v>
          </cell>
          <cell r="Y131">
            <v>0.85</v>
          </cell>
        </row>
        <row r="132">
          <cell r="A132" t="str">
            <v>PEU-2</v>
          </cell>
          <cell r="B132" t="str">
            <v>41-HO-4221</v>
          </cell>
          <cell r="C132" t="str">
            <v xml:space="preserve">Flash Gas Filter Hoist </v>
          </cell>
          <cell r="D132" t="str">
            <v>x</v>
          </cell>
          <cell r="E132" t="str">
            <v>ISBL</v>
          </cell>
          <cell r="J132" t="str">
            <v>3</v>
          </cell>
          <cell r="K132">
            <v>690</v>
          </cell>
          <cell r="L132" t="str">
            <v>AC</v>
          </cell>
          <cell r="M132" t="str">
            <v>F</v>
          </cell>
          <cell r="N132" t="str">
            <v>N</v>
          </cell>
          <cell r="O132">
            <v>0</v>
          </cell>
          <cell r="P132" t="str">
            <v>4850-MDB-203B</v>
          </cell>
          <cell r="Q132" t="str">
            <v>I</v>
          </cell>
          <cell r="S132">
            <v>4.8</v>
          </cell>
          <cell r="T132">
            <v>6</v>
          </cell>
          <cell r="X132">
            <v>1</v>
          </cell>
          <cell r="Y132">
            <v>0.85</v>
          </cell>
        </row>
        <row r="133">
          <cell r="A133" t="str">
            <v>PEU-2</v>
          </cell>
          <cell r="B133" t="str">
            <v>41-HO-5001</v>
          </cell>
          <cell r="C133" t="str">
            <v>Purge Column Vent Filter Hoist</v>
          </cell>
          <cell r="D133" t="str">
            <v>x</v>
          </cell>
          <cell r="E133" t="str">
            <v>ISBL</v>
          </cell>
          <cell r="J133" t="str">
            <v>3</v>
          </cell>
          <cell r="K133">
            <v>690</v>
          </cell>
          <cell r="L133" t="str">
            <v>AC</v>
          </cell>
          <cell r="M133" t="str">
            <v>F</v>
          </cell>
          <cell r="N133" t="str">
            <v>N</v>
          </cell>
          <cell r="O133">
            <v>0</v>
          </cell>
          <cell r="P133" t="str">
            <v>4850-MDB-203A</v>
          </cell>
          <cell r="Q133" t="str">
            <v>I</v>
          </cell>
          <cell r="S133">
            <v>4.8</v>
          </cell>
          <cell r="T133">
            <v>6</v>
          </cell>
          <cell r="X133">
            <v>1</v>
          </cell>
          <cell r="Y133">
            <v>0.85</v>
          </cell>
        </row>
        <row r="134">
          <cell r="A134" t="str">
            <v>PEU-2</v>
          </cell>
          <cell r="B134" t="str">
            <v>41-HO-5002</v>
          </cell>
          <cell r="C134" t="str">
            <v>Dehexanizer Overhead Condenser Hoist</v>
          </cell>
          <cell r="D134" t="str">
            <v>x</v>
          </cell>
          <cell r="E134" t="str">
            <v>ISBL</v>
          </cell>
          <cell r="J134" t="str">
            <v>3</v>
          </cell>
          <cell r="K134">
            <v>690</v>
          </cell>
          <cell r="L134" t="str">
            <v>AC</v>
          </cell>
          <cell r="M134" t="str">
            <v>F</v>
          </cell>
          <cell r="N134" t="str">
            <v>N</v>
          </cell>
          <cell r="O134">
            <v>0</v>
          </cell>
          <cell r="P134" t="str">
            <v>4850-MDB-203B</v>
          </cell>
          <cell r="Q134" t="str">
            <v>I</v>
          </cell>
          <cell r="S134">
            <v>16.850000000000001</v>
          </cell>
          <cell r="T134">
            <v>18.5</v>
          </cell>
          <cell r="X134">
            <v>1</v>
          </cell>
          <cell r="Y134">
            <v>0.85</v>
          </cell>
        </row>
        <row r="135">
          <cell r="A135" t="str">
            <v>PEU-2</v>
          </cell>
          <cell r="B135" t="str">
            <v>41-HO-6045A</v>
          </cell>
          <cell r="C135" t="str">
            <v>Additive Super Sack Hoist</v>
          </cell>
          <cell r="D135" t="str">
            <v>x</v>
          </cell>
          <cell r="E135" t="str">
            <v>ISBL</v>
          </cell>
          <cell r="J135" t="str">
            <v>3</v>
          </cell>
          <cell r="K135">
            <v>690</v>
          </cell>
          <cell r="L135" t="str">
            <v>AC</v>
          </cell>
          <cell r="M135" t="str">
            <v>F</v>
          </cell>
          <cell r="N135" t="str">
            <v>N</v>
          </cell>
          <cell r="O135">
            <v>0</v>
          </cell>
          <cell r="P135" t="str">
            <v>4850-MDB-203A</v>
          </cell>
          <cell r="Q135" t="str">
            <v>I</v>
          </cell>
          <cell r="S135">
            <v>3.15</v>
          </cell>
          <cell r="T135">
            <v>3.5</v>
          </cell>
          <cell r="X135">
            <v>1</v>
          </cell>
          <cell r="Y135">
            <v>0.85</v>
          </cell>
        </row>
        <row r="136">
          <cell r="A136" t="str">
            <v>PEU-2</v>
          </cell>
          <cell r="B136" t="str">
            <v>41-HO-6045B</v>
          </cell>
          <cell r="C136" t="str">
            <v>Additive Super Sack Hoist</v>
          </cell>
          <cell r="D136" t="str">
            <v>x</v>
          </cell>
          <cell r="E136" t="str">
            <v>ISBL</v>
          </cell>
          <cell r="J136" t="str">
            <v>3</v>
          </cell>
          <cell r="K136">
            <v>690</v>
          </cell>
          <cell r="L136" t="str">
            <v>AC</v>
          </cell>
          <cell r="M136" t="str">
            <v>F</v>
          </cell>
          <cell r="N136" t="str">
            <v>N</v>
          </cell>
          <cell r="O136">
            <v>0</v>
          </cell>
          <cell r="P136" t="str">
            <v>4850-MDB-203B</v>
          </cell>
          <cell r="Q136" t="str">
            <v>I</v>
          </cell>
          <cell r="S136">
            <v>3.15</v>
          </cell>
          <cell r="T136">
            <v>3.5</v>
          </cell>
          <cell r="X136">
            <v>1</v>
          </cell>
          <cell r="Y136">
            <v>0.85</v>
          </cell>
        </row>
        <row r="137">
          <cell r="A137" t="str">
            <v>PEU-2</v>
          </cell>
          <cell r="B137" t="str">
            <v>41-HO-6045C</v>
          </cell>
          <cell r="C137" t="str">
            <v>Additive Super Sack Hoist</v>
          </cell>
          <cell r="D137" t="str">
            <v>x</v>
          </cell>
          <cell r="E137" t="str">
            <v>ISBL</v>
          </cell>
          <cell r="J137" t="str">
            <v>3</v>
          </cell>
          <cell r="K137">
            <v>690</v>
          </cell>
          <cell r="L137" t="str">
            <v>AC</v>
          </cell>
          <cell r="M137" t="str">
            <v>F</v>
          </cell>
          <cell r="N137" t="str">
            <v>N</v>
          </cell>
          <cell r="O137">
            <v>0</v>
          </cell>
          <cell r="P137" t="str">
            <v>4850-MDB-203A</v>
          </cell>
          <cell r="Q137" t="str">
            <v>I</v>
          </cell>
          <cell r="S137">
            <v>3.15</v>
          </cell>
          <cell r="T137">
            <v>3.5</v>
          </cell>
          <cell r="X137">
            <v>1</v>
          </cell>
          <cell r="Y137">
            <v>0.85</v>
          </cell>
        </row>
        <row r="138">
          <cell r="A138" t="str">
            <v>PEU-2</v>
          </cell>
          <cell r="B138" t="str">
            <v>41-HO-6045D</v>
          </cell>
          <cell r="C138" t="str">
            <v>Additive Super Sack Hoist</v>
          </cell>
          <cell r="D138" t="str">
            <v>x</v>
          </cell>
          <cell r="E138" t="str">
            <v>ISBL</v>
          </cell>
          <cell r="J138" t="str">
            <v>3</v>
          </cell>
          <cell r="K138">
            <v>690</v>
          </cell>
          <cell r="L138" t="str">
            <v>AC</v>
          </cell>
          <cell r="M138" t="str">
            <v>F</v>
          </cell>
          <cell r="N138" t="str">
            <v>N</v>
          </cell>
          <cell r="O138">
            <v>0</v>
          </cell>
          <cell r="P138" t="str">
            <v>4850-MDB-203B</v>
          </cell>
          <cell r="Q138" t="str">
            <v>I</v>
          </cell>
          <cell r="S138">
            <v>3.15</v>
          </cell>
          <cell r="T138">
            <v>3.5</v>
          </cell>
          <cell r="X138">
            <v>1</v>
          </cell>
          <cell r="Y138">
            <v>0.85</v>
          </cell>
        </row>
        <row r="139">
          <cell r="A139" t="str">
            <v>PEU-2</v>
          </cell>
          <cell r="B139" t="str">
            <v>41-HO-XXX1</v>
          </cell>
          <cell r="C139" t="str">
            <v xml:space="preserve">Electrical Hoist for Main Motor </v>
          </cell>
          <cell r="D139" t="str">
            <v>x</v>
          </cell>
          <cell r="E139" t="str">
            <v>ISBL</v>
          </cell>
          <cell r="J139" t="str">
            <v>3</v>
          </cell>
          <cell r="K139">
            <v>690</v>
          </cell>
          <cell r="L139" t="str">
            <v>AC</v>
          </cell>
          <cell r="M139" t="str">
            <v>F</v>
          </cell>
          <cell r="N139" t="str">
            <v>N</v>
          </cell>
          <cell r="O139">
            <v>0</v>
          </cell>
          <cell r="P139" t="str">
            <v>4850-MDB-203A</v>
          </cell>
          <cell r="Q139" t="str">
            <v>I</v>
          </cell>
          <cell r="S139">
            <v>11.87</v>
          </cell>
          <cell r="T139">
            <v>15.83</v>
          </cell>
          <cell r="X139">
            <v>1</v>
          </cell>
          <cell r="Y139">
            <v>0.85</v>
          </cell>
        </row>
        <row r="140">
          <cell r="A140" t="str">
            <v>PEU-2</v>
          </cell>
          <cell r="B140" t="str">
            <v>41-HO-XXX2</v>
          </cell>
          <cell r="C140" t="str">
            <v>Electrical Hoist for Auxiliary Motor</v>
          </cell>
          <cell r="D140" t="str">
            <v>x</v>
          </cell>
          <cell r="E140" t="str">
            <v>ISBL</v>
          </cell>
          <cell r="J140" t="str">
            <v>3</v>
          </cell>
          <cell r="K140">
            <v>690</v>
          </cell>
          <cell r="L140" t="str">
            <v>AC</v>
          </cell>
          <cell r="M140" t="str">
            <v>F</v>
          </cell>
          <cell r="N140" t="str">
            <v>N</v>
          </cell>
          <cell r="O140">
            <v>0</v>
          </cell>
          <cell r="P140" t="str">
            <v>4850-MDB-203B</v>
          </cell>
          <cell r="Q140" t="str">
            <v>I</v>
          </cell>
          <cell r="S140">
            <v>6.86</v>
          </cell>
          <cell r="T140">
            <v>9.15</v>
          </cell>
          <cell r="X140">
            <v>1</v>
          </cell>
          <cell r="Y140">
            <v>0.85</v>
          </cell>
        </row>
        <row r="141">
          <cell r="A141" t="str">
            <v>PEU-2</v>
          </cell>
          <cell r="B141" t="str">
            <v>41-HO-XXX3</v>
          </cell>
          <cell r="C141" t="str">
            <v>Electrical Hoist for Gear Box-1</v>
          </cell>
          <cell r="D141" t="str">
            <v>x</v>
          </cell>
          <cell r="E141" t="str">
            <v>ISBL</v>
          </cell>
          <cell r="J141" t="str">
            <v>3</v>
          </cell>
          <cell r="K141">
            <v>690</v>
          </cell>
          <cell r="L141" t="str">
            <v>AC</v>
          </cell>
          <cell r="M141" t="str">
            <v>F</v>
          </cell>
          <cell r="N141" t="str">
            <v>N</v>
          </cell>
          <cell r="O141">
            <v>0</v>
          </cell>
          <cell r="P141" t="str">
            <v>4850-MDB-203A</v>
          </cell>
          <cell r="Q141" t="str">
            <v>I</v>
          </cell>
          <cell r="S141">
            <v>10.33</v>
          </cell>
          <cell r="T141">
            <v>13.77</v>
          </cell>
          <cell r="X141">
            <v>1</v>
          </cell>
          <cell r="Y141">
            <v>0.85</v>
          </cell>
        </row>
        <row r="142">
          <cell r="A142" t="str">
            <v>PEU-2</v>
          </cell>
          <cell r="B142" t="str">
            <v>41-HO-XXX4</v>
          </cell>
          <cell r="C142" t="str">
            <v>Electrical Hoist for Gear Box-2</v>
          </cell>
          <cell r="D142" t="str">
            <v>x</v>
          </cell>
          <cell r="E142" t="str">
            <v>ISBL</v>
          </cell>
          <cell r="J142" t="str">
            <v>3</v>
          </cell>
          <cell r="K142">
            <v>690</v>
          </cell>
          <cell r="L142" t="str">
            <v>AC</v>
          </cell>
          <cell r="M142" t="str">
            <v>F</v>
          </cell>
          <cell r="N142" t="str">
            <v>N</v>
          </cell>
          <cell r="O142">
            <v>0</v>
          </cell>
          <cell r="P142" t="str">
            <v>4850-MDB-203B</v>
          </cell>
          <cell r="Q142" t="str">
            <v>I</v>
          </cell>
          <cell r="S142">
            <v>10.33</v>
          </cell>
          <cell r="T142">
            <v>13.77</v>
          </cell>
          <cell r="X142">
            <v>1</v>
          </cell>
          <cell r="Y142">
            <v>0.85</v>
          </cell>
        </row>
        <row r="143">
          <cell r="A143" t="str">
            <v>PEU-2</v>
          </cell>
          <cell r="B143" t="str">
            <v>41-HO-XXX5</v>
          </cell>
          <cell r="C143" t="str">
            <v>Electrical Hoist for Extruder Screw</v>
          </cell>
          <cell r="D143" t="str">
            <v>x</v>
          </cell>
          <cell r="E143" t="str">
            <v>ISBL</v>
          </cell>
          <cell r="J143" t="str">
            <v>3</v>
          </cell>
          <cell r="K143">
            <v>690</v>
          </cell>
          <cell r="L143" t="str">
            <v>AC</v>
          </cell>
          <cell r="M143" t="str">
            <v>F</v>
          </cell>
          <cell r="N143" t="str">
            <v>N</v>
          </cell>
          <cell r="O143">
            <v>0</v>
          </cell>
          <cell r="P143" t="str">
            <v>4850-MDB-203A</v>
          </cell>
          <cell r="Q143" t="str">
            <v>I</v>
          </cell>
          <cell r="S143">
            <v>8.4600000000000009</v>
          </cell>
          <cell r="T143">
            <v>11.28</v>
          </cell>
          <cell r="X143">
            <v>1</v>
          </cell>
          <cell r="Y143">
            <v>0.85</v>
          </cell>
        </row>
        <row r="144">
          <cell r="A144" t="str">
            <v>PEU-2</v>
          </cell>
          <cell r="B144" t="str">
            <v>41-HO-XXX6</v>
          </cell>
          <cell r="C144" t="str">
            <v>Electrical Hoist for Gear Pump</v>
          </cell>
          <cell r="D144">
            <v>4107</v>
          </cell>
          <cell r="E144" t="str">
            <v>ISBL</v>
          </cell>
          <cell r="J144" t="str">
            <v>3</v>
          </cell>
          <cell r="K144">
            <v>690</v>
          </cell>
          <cell r="L144" t="str">
            <v>AC</v>
          </cell>
          <cell r="M144" t="str">
            <v>F</v>
          </cell>
          <cell r="N144" t="str">
            <v>N</v>
          </cell>
          <cell r="O144">
            <v>0</v>
          </cell>
          <cell r="P144" t="str">
            <v>4850-MDB-203B</v>
          </cell>
          <cell r="Q144" t="str">
            <v>I</v>
          </cell>
          <cell r="S144">
            <v>3.77</v>
          </cell>
          <cell r="T144">
            <v>5.0199999999999996</v>
          </cell>
          <cell r="X144">
            <v>1</v>
          </cell>
          <cell r="Y144">
            <v>0.85</v>
          </cell>
        </row>
        <row r="145">
          <cell r="A145" t="str">
            <v>PEU-2</v>
          </cell>
          <cell r="B145" t="str">
            <v>41-HO-XXX7</v>
          </cell>
          <cell r="C145" t="str">
            <v>Electrical Hoist for Gear Pump Motor</v>
          </cell>
          <cell r="D145">
            <v>4107</v>
          </cell>
          <cell r="E145" t="str">
            <v>ISBL</v>
          </cell>
          <cell r="J145" t="str">
            <v>3</v>
          </cell>
          <cell r="K145">
            <v>690</v>
          </cell>
          <cell r="L145" t="str">
            <v>AC</v>
          </cell>
          <cell r="M145" t="str">
            <v>F</v>
          </cell>
          <cell r="N145" t="str">
            <v>N</v>
          </cell>
          <cell r="O145">
            <v>0</v>
          </cell>
          <cell r="P145" t="str">
            <v>4850-MDB-203A</v>
          </cell>
          <cell r="Q145" t="str">
            <v>I</v>
          </cell>
          <cell r="S145">
            <v>9.7100000000000009</v>
          </cell>
          <cell r="T145">
            <v>12.94</v>
          </cell>
          <cell r="X145">
            <v>1</v>
          </cell>
          <cell r="Y145">
            <v>0.85</v>
          </cell>
        </row>
        <row r="146">
          <cell r="A146" t="str">
            <v>PEU-2</v>
          </cell>
          <cell r="B146" t="str">
            <v>41-HO-XXX8</v>
          </cell>
          <cell r="C146" t="str">
            <v>Electrical Hoist for  FLT</v>
          </cell>
          <cell r="D146" t="str">
            <v>x</v>
          </cell>
          <cell r="E146" t="str">
            <v>ISBL</v>
          </cell>
          <cell r="J146" t="str">
            <v>3</v>
          </cell>
          <cell r="K146">
            <v>690</v>
          </cell>
          <cell r="L146" t="str">
            <v>AC</v>
          </cell>
          <cell r="M146" t="str">
            <v>F</v>
          </cell>
          <cell r="N146" t="str">
            <v>N</v>
          </cell>
          <cell r="O146">
            <v>0</v>
          </cell>
          <cell r="P146" t="str">
            <v>4850-MDB-203B</v>
          </cell>
          <cell r="Q146" t="str">
            <v>I</v>
          </cell>
          <cell r="S146">
            <v>4.54</v>
          </cell>
          <cell r="T146">
            <v>6.05</v>
          </cell>
          <cell r="X146">
            <v>1</v>
          </cell>
          <cell r="Y146">
            <v>0.85</v>
          </cell>
        </row>
        <row r="147">
          <cell r="A147" t="str">
            <v>PEU-2</v>
          </cell>
          <cell r="B147" t="str">
            <v>41-HO-XXX9</v>
          </cell>
          <cell r="C147" t="str">
            <v>Electrical Hoist for  41-SE-6042</v>
          </cell>
          <cell r="D147" t="str">
            <v>x</v>
          </cell>
          <cell r="E147" t="str">
            <v>ISBL</v>
          </cell>
          <cell r="J147" t="str">
            <v>3</v>
          </cell>
          <cell r="K147">
            <v>690</v>
          </cell>
          <cell r="L147" t="str">
            <v>AC</v>
          </cell>
          <cell r="M147" t="str">
            <v>F</v>
          </cell>
          <cell r="N147" t="str">
            <v>N</v>
          </cell>
          <cell r="O147">
            <v>0</v>
          </cell>
          <cell r="P147" t="str">
            <v>4850-MDB-203A</v>
          </cell>
          <cell r="Q147" t="str">
            <v>I</v>
          </cell>
          <cell r="S147">
            <v>4.54</v>
          </cell>
          <cell r="T147">
            <v>6.05</v>
          </cell>
          <cell r="X147">
            <v>1</v>
          </cell>
          <cell r="Y147">
            <v>0.85</v>
          </cell>
        </row>
        <row r="148">
          <cell r="A148" t="str">
            <v>PEU-2</v>
          </cell>
          <cell r="B148" t="str">
            <v>41-HO-XXX10</v>
          </cell>
          <cell r="C148" t="str">
            <v>Electrical Hoist for 41-MI-6041</v>
          </cell>
          <cell r="D148" t="str">
            <v>x</v>
          </cell>
          <cell r="E148" t="str">
            <v>ISBL</v>
          </cell>
          <cell r="J148" t="str">
            <v>3</v>
          </cell>
          <cell r="K148">
            <v>690</v>
          </cell>
          <cell r="L148" t="str">
            <v>AC</v>
          </cell>
          <cell r="M148" t="str">
            <v>F</v>
          </cell>
          <cell r="N148" t="str">
            <v>N</v>
          </cell>
          <cell r="O148">
            <v>0</v>
          </cell>
          <cell r="P148" t="str">
            <v>4850-MDB-203B</v>
          </cell>
          <cell r="Q148" t="str">
            <v>I</v>
          </cell>
          <cell r="S148">
            <v>4.54</v>
          </cell>
          <cell r="T148">
            <v>6.05</v>
          </cell>
          <cell r="X148">
            <v>1</v>
          </cell>
          <cell r="Y148">
            <v>0.85</v>
          </cell>
        </row>
        <row r="149">
          <cell r="A149" t="str">
            <v>LAO</v>
          </cell>
          <cell r="B149" t="str">
            <v>67-HO-XXX1A</v>
          </cell>
          <cell r="C149" t="str">
            <v>Pump around Cooler A/B/C/D Bundle Hoist</v>
          </cell>
          <cell r="D149">
            <v>0</v>
          </cell>
          <cell r="E149" t="str">
            <v>ISBL</v>
          </cell>
          <cell r="J149" t="str">
            <v>3</v>
          </cell>
          <cell r="K149">
            <v>690</v>
          </cell>
          <cell r="L149" t="str">
            <v>AC</v>
          </cell>
          <cell r="M149" t="str">
            <v>F</v>
          </cell>
          <cell r="N149" t="str">
            <v>N</v>
          </cell>
          <cell r="O149">
            <v>0</v>
          </cell>
          <cell r="P149" t="str">
            <v>4850-MDB-203A</v>
          </cell>
          <cell r="Q149" t="str">
            <v>I</v>
          </cell>
          <cell r="S149">
            <v>16.649999999999999</v>
          </cell>
          <cell r="T149">
            <v>18.5</v>
          </cell>
          <cell r="X149">
            <v>1</v>
          </cell>
          <cell r="Y149">
            <v>0.85</v>
          </cell>
        </row>
        <row r="150">
          <cell r="A150" t="str">
            <v>LAO</v>
          </cell>
          <cell r="B150" t="str">
            <v>67-HO-XXX1B</v>
          </cell>
          <cell r="C150" t="str">
            <v>Pump around Cooler A/B/C/D Bundle Hoist</v>
          </cell>
          <cell r="D150">
            <v>0</v>
          </cell>
          <cell r="E150" t="str">
            <v>ISBL</v>
          </cell>
          <cell r="J150" t="str">
            <v>3</v>
          </cell>
          <cell r="K150">
            <v>690</v>
          </cell>
          <cell r="L150" t="str">
            <v>AC</v>
          </cell>
          <cell r="M150" t="str">
            <v>F</v>
          </cell>
          <cell r="N150" t="str">
            <v>N</v>
          </cell>
          <cell r="O150">
            <v>0</v>
          </cell>
          <cell r="P150" t="str">
            <v>4850-MDB-203B</v>
          </cell>
          <cell r="Q150" t="str">
            <v>I</v>
          </cell>
          <cell r="S150">
            <v>16.649999999999999</v>
          </cell>
          <cell r="T150">
            <v>18.5</v>
          </cell>
          <cell r="X150">
            <v>1</v>
          </cell>
          <cell r="Y150">
            <v>0.85</v>
          </cell>
        </row>
        <row r="151">
          <cell r="A151" t="str">
            <v>LAO</v>
          </cell>
          <cell r="B151" t="str">
            <v>67-HO-XXX1C</v>
          </cell>
          <cell r="C151" t="str">
            <v>Pump around Cooler A/B/C/D Bundle Hoist</v>
          </cell>
          <cell r="D151">
            <v>0</v>
          </cell>
          <cell r="E151" t="str">
            <v>ISBL</v>
          </cell>
          <cell r="J151" t="str">
            <v>3</v>
          </cell>
          <cell r="K151">
            <v>690</v>
          </cell>
          <cell r="L151" t="str">
            <v>AC</v>
          </cell>
          <cell r="M151" t="str">
            <v>F</v>
          </cell>
          <cell r="N151" t="str">
            <v>N</v>
          </cell>
          <cell r="O151">
            <v>0</v>
          </cell>
          <cell r="P151" t="str">
            <v>4850-MDB-203A</v>
          </cell>
          <cell r="Q151" t="str">
            <v>I</v>
          </cell>
          <cell r="S151">
            <v>16.649999999999999</v>
          </cell>
          <cell r="T151">
            <v>18.5</v>
          </cell>
          <cell r="X151">
            <v>1</v>
          </cell>
          <cell r="Y151">
            <v>0.85</v>
          </cell>
        </row>
        <row r="152">
          <cell r="A152" t="str">
            <v>LAO</v>
          </cell>
          <cell r="B152" t="str">
            <v>67-HO-XXX1D</v>
          </cell>
          <cell r="C152" t="str">
            <v>Pump around Cooler A/B/C/D Bundle Hoist</v>
          </cell>
          <cell r="D152">
            <v>0</v>
          </cell>
          <cell r="E152" t="str">
            <v>ISBL</v>
          </cell>
          <cell r="J152" t="str">
            <v>3</v>
          </cell>
          <cell r="K152">
            <v>690</v>
          </cell>
          <cell r="L152" t="str">
            <v>AC</v>
          </cell>
          <cell r="M152" t="str">
            <v>F</v>
          </cell>
          <cell r="N152" t="str">
            <v>N</v>
          </cell>
          <cell r="O152">
            <v>0</v>
          </cell>
          <cell r="P152" t="str">
            <v>4850-MDB-203B</v>
          </cell>
          <cell r="Q152" t="str">
            <v>I</v>
          </cell>
          <cell r="S152">
            <v>16.649999999999999</v>
          </cell>
          <cell r="T152">
            <v>18.5</v>
          </cell>
          <cell r="X152">
            <v>1</v>
          </cell>
          <cell r="Y152">
            <v>0.85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 t="str">
            <v>ISBL</v>
          </cell>
          <cell r="J153" t="str">
            <v>3</v>
          </cell>
          <cell r="K153">
            <v>0</v>
          </cell>
          <cell r="L153" t="str">
            <v>AC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  <cell r="T153">
            <v>0</v>
          </cell>
          <cell r="X153">
            <v>0</v>
          </cell>
          <cell r="Y153">
            <v>0</v>
          </cell>
        </row>
        <row r="154">
          <cell r="A154">
            <v>0</v>
          </cell>
          <cell r="B154" t="str">
            <v>MR-021-1</v>
          </cell>
          <cell r="C154" t="str">
            <v>Control &amp; Electrical Elevator Traction Motor(for Elevator)</v>
          </cell>
          <cell r="D154" t="str">
            <v>x</v>
          </cell>
          <cell r="E154" t="str">
            <v>ISBL</v>
          </cell>
          <cell r="J154" t="str">
            <v>3</v>
          </cell>
          <cell r="K154">
            <v>690</v>
          </cell>
          <cell r="L154" t="str">
            <v>AC</v>
          </cell>
          <cell r="M154" t="str">
            <v>F</v>
          </cell>
          <cell r="N154" t="str">
            <v>N</v>
          </cell>
          <cell r="O154" t="str">
            <v/>
          </cell>
          <cell r="P154" t="str">
            <v>4850-MDB-203A</v>
          </cell>
          <cell r="Q154" t="str">
            <v>C</v>
          </cell>
          <cell r="S154">
            <v>11.700000000000001</v>
          </cell>
          <cell r="T154">
            <v>13</v>
          </cell>
          <cell r="X154">
            <v>1</v>
          </cell>
          <cell r="Y154">
            <v>0.85</v>
          </cell>
        </row>
        <row r="155">
          <cell r="A155">
            <v>0</v>
          </cell>
          <cell r="B155" t="str">
            <v>MR-021-2</v>
          </cell>
          <cell r="C155" t="str">
            <v>Control &amp; Electrical Elevator Traction Motor (for Elevator)</v>
          </cell>
          <cell r="D155" t="str">
            <v>x</v>
          </cell>
          <cell r="E155" t="str">
            <v>ISBL</v>
          </cell>
          <cell r="J155" t="str">
            <v>3</v>
          </cell>
          <cell r="K155">
            <v>690</v>
          </cell>
          <cell r="L155" t="str">
            <v>AC</v>
          </cell>
          <cell r="M155" t="str">
            <v>F</v>
          </cell>
          <cell r="N155" t="str">
            <v>N</v>
          </cell>
          <cell r="O155" t="str">
            <v/>
          </cell>
          <cell r="P155" t="str">
            <v>4850-MDB-203A</v>
          </cell>
          <cell r="Q155" t="str">
            <v>C</v>
          </cell>
          <cell r="S155">
            <v>11.700000000000001</v>
          </cell>
          <cell r="T155">
            <v>13</v>
          </cell>
          <cell r="X155">
            <v>1</v>
          </cell>
          <cell r="Y155">
            <v>0.85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 t="str">
            <v>ISBL</v>
          </cell>
          <cell r="J156" t="str">
            <v>3</v>
          </cell>
          <cell r="K156">
            <v>0</v>
          </cell>
          <cell r="L156" t="str">
            <v>AC</v>
          </cell>
          <cell r="M156">
            <v>0</v>
          </cell>
          <cell r="N156">
            <v>0</v>
          </cell>
          <cell r="O156" t="str">
            <v/>
          </cell>
          <cell r="P156">
            <v>0</v>
          </cell>
          <cell r="Q156">
            <v>0</v>
          </cell>
          <cell r="S156">
            <v>0</v>
          </cell>
          <cell r="T156">
            <v>0</v>
          </cell>
          <cell r="X156">
            <v>0</v>
          </cell>
          <cell r="Y156">
            <v>0</v>
          </cell>
        </row>
        <row r="157">
          <cell r="A157" t="str">
            <v>-</v>
          </cell>
          <cell r="B157" t="str">
            <v>MR-022-1</v>
          </cell>
          <cell r="C157" t="str">
            <v>HIGH PRESSURE WATER PUMP</v>
          </cell>
          <cell r="D157" t="str">
            <v>x</v>
          </cell>
          <cell r="E157" t="str">
            <v>ISBL</v>
          </cell>
          <cell r="J157" t="str">
            <v>3</v>
          </cell>
          <cell r="K157">
            <v>690</v>
          </cell>
          <cell r="L157" t="str">
            <v>AC</v>
          </cell>
          <cell r="M157" t="str">
            <v>M</v>
          </cell>
          <cell r="N157" t="str">
            <v>N</v>
          </cell>
          <cell r="O157" t="str">
            <v>Soft Starter</v>
          </cell>
          <cell r="P157" t="str">
            <v>4850-MDB-203A</v>
          </cell>
          <cell r="Q157" t="str">
            <v>C</v>
          </cell>
          <cell r="S157">
            <v>90</v>
          </cell>
          <cell r="T157">
            <v>100</v>
          </cell>
          <cell r="X157">
            <v>0.94699999999999995</v>
          </cell>
          <cell r="Y157">
            <v>0.85</v>
          </cell>
        </row>
        <row r="158">
          <cell r="A158" t="str">
            <v>-</v>
          </cell>
          <cell r="B158" t="str">
            <v>MR-022-2</v>
          </cell>
          <cell r="C158" t="str">
            <v>HYDROJETTING EQUIPMENT</v>
          </cell>
          <cell r="D158" t="str">
            <v>x</v>
          </cell>
          <cell r="E158" t="str">
            <v>ISBL</v>
          </cell>
          <cell r="J158" t="str">
            <v>3</v>
          </cell>
          <cell r="K158">
            <v>690</v>
          </cell>
          <cell r="L158" t="str">
            <v>AC</v>
          </cell>
          <cell r="M158" t="str">
            <v>M</v>
          </cell>
          <cell r="N158" t="str">
            <v>N</v>
          </cell>
          <cell r="O158" t="str">
            <v>Soft Starter</v>
          </cell>
          <cell r="P158" t="str">
            <v>4850-MDB-203B</v>
          </cell>
          <cell r="Q158" t="str">
            <v>C</v>
          </cell>
          <cell r="S158">
            <v>198</v>
          </cell>
          <cell r="T158">
            <v>220</v>
          </cell>
          <cell r="X158">
            <v>0.95899999999999996</v>
          </cell>
          <cell r="Y158">
            <v>0.85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 t="str">
            <v>ISBL</v>
          </cell>
          <cell r="J159" t="str">
            <v>3</v>
          </cell>
          <cell r="K159">
            <v>0</v>
          </cell>
          <cell r="L159" t="str">
            <v>AC</v>
          </cell>
          <cell r="M159">
            <v>0</v>
          </cell>
          <cell r="N159">
            <v>0</v>
          </cell>
          <cell r="O159" t="str">
            <v/>
          </cell>
          <cell r="P159">
            <v>0</v>
          </cell>
          <cell r="Q159">
            <v>0</v>
          </cell>
          <cell r="S159">
            <v>0</v>
          </cell>
          <cell r="T159">
            <v>0</v>
          </cell>
          <cell r="X159">
            <v>0</v>
          </cell>
          <cell r="Y159">
            <v>0</v>
          </cell>
        </row>
        <row r="160">
          <cell r="A160" t="str">
            <v>PEU-2</v>
          </cell>
          <cell r="B160" t="str">
            <v>41-P-5060B</v>
          </cell>
          <cell r="C160" t="str">
            <v>Deethanizer OVHD Accumulator Reflux Pump</v>
          </cell>
          <cell r="D160">
            <v>4104</v>
          </cell>
          <cell r="E160" t="str">
            <v>ISBL</v>
          </cell>
          <cell r="J160" t="str">
            <v>3</v>
          </cell>
          <cell r="K160">
            <v>690</v>
          </cell>
          <cell r="L160" t="str">
            <v>AC</v>
          </cell>
          <cell r="M160" t="str">
            <v>M</v>
          </cell>
          <cell r="N160" t="str">
            <v>N</v>
          </cell>
          <cell r="O160" t="str">
            <v/>
          </cell>
          <cell r="P160" t="str">
            <v>4850-MDB-203A</v>
          </cell>
          <cell r="Q160" t="str">
            <v>S</v>
          </cell>
          <cell r="S160">
            <v>18.7</v>
          </cell>
          <cell r="T160">
            <v>22</v>
          </cell>
          <cell r="X160">
            <v>0.91300000000000003</v>
          </cell>
          <cell r="Y160">
            <v>0.85</v>
          </cell>
        </row>
        <row r="161">
          <cell r="A161" t="str">
            <v>PEU-2</v>
          </cell>
          <cell r="B161" t="str">
            <v>46-P-8061B</v>
          </cell>
          <cell r="C161" t="str">
            <v>Demin. Water Booster Pump</v>
          </cell>
          <cell r="D161">
            <v>4101</v>
          </cell>
          <cell r="E161" t="str">
            <v>ISBL</v>
          </cell>
          <cell r="J161" t="str">
            <v>3</v>
          </cell>
          <cell r="K161">
            <v>690</v>
          </cell>
          <cell r="L161" t="str">
            <v>AC</v>
          </cell>
          <cell r="M161" t="str">
            <v>M</v>
          </cell>
          <cell r="N161" t="str">
            <v>N</v>
          </cell>
          <cell r="O161" t="str">
            <v/>
          </cell>
          <cell r="P161" t="str">
            <v>4850-MDB-203B</v>
          </cell>
          <cell r="Q161" t="str">
            <v>S</v>
          </cell>
          <cell r="S161">
            <v>9</v>
          </cell>
          <cell r="T161">
            <v>11</v>
          </cell>
          <cell r="X161">
            <v>0.89500000000000002</v>
          </cell>
          <cell r="Y161">
            <v>0.85</v>
          </cell>
        </row>
        <row r="162">
          <cell r="A162" t="str">
            <v>PEU-2</v>
          </cell>
          <cell r="B162" t="str">
            <v>46-P-8062A</v>
          </cell>
          <cell r="C162" t="str">
            <v>Condensate Knockout Pot Pump</v>
          </cell>
          <cell r="D162">
            <v>4101</v>
          </cell>
          <cell r="E162" t="str">
            <v>ISBL</v>
          </cell>
          <cell r="J162" t="str">
            <v>3</v>
          </cell>
          <cell r="K162">
            <v>690</v>
          </cell>
          <cell r="L162" t="str">
            <v>AC</v>
          </cell>
          <cell r="M162" t="str">
            <v>M</v>
          </cell>
          <cell r="N162" t="str">
            <v>N</v>
          </cell>
          <cell r="O162" t="str">
            <v/>
          </cell>
          <cell r="P162" t="str">
            <v>4850-MDB-203A</v>
          </cell>
          <cell r="Q162" t="str">
            <v>C</v>
          </cell>
          <cell r="S162">
            <v>25</v>
          </cell>
          <cell r="T162">
            <v>37</v>
          </cell>
          <cell r="X162">
            <v>0.93</v>
          </cell>
          <cell r="Y162">
            <v>0.85</v>
          </cell>
        </row>
        <row r="163">
          <cell r="A163" t="str">
            <v>PEU-2</v>
          </cell>
          <cell r="B163" t="str">
            <v>46-P-8062B</v>
          </cell>
          <cell r="C163" t="str">
            <v>Condensate Knockout Pot Pump</v>
          </cell>
          <cell r="D163">
            <v>4101</v>
          </cell>
          <cell r="E163" t="str">
            <v>ISBL</v>
          </cell>
          <cell r="J163" t="str">
            <v>3</v>
          </cell>
          <cell r="K163">
            <v>690</v>
          </cell>
          <cell r="L163" t="str">
            <v>AC</v>
          </cell>
          <cell r="M163" t="str">
            <v>M</v>
          </cell>
          <cell r="N163" t="str">
            <v>N</v>
          </cell>
          <cell r="O163" t="str">
            <v/>
          </cell>
          <cell r="P163" t="str">
            <v>4850-MDB-203B</v>
          </cell>
          <cell r="Q163" t="str">
            <v>S</v>
          </cell>
          <cell r="S163">
            <v>25</v>
          </cell>
          <cell r="T163">
            <v>37</v>
          </cell>
          <cell r="X163">
            <v>0.93</v>
          </cell>
          <cell r="Y163">
            <v>0.85</v>
          </cell>
        </row>
        <row r="164">
          <cell r="A164" t="str">
            <v>PEU-2</v>
          </cell>
          <cell r="B164" t="str">
            <v>41-PK-6040-21</v>
          </cell>
          <cell r="C164" t="str">
            <v>Hot Oil Heater for Die Plate Heating</v>
          </cell>
          <cell r="D164">
            <v>4107</v>
          </cell>
          <cell r="E164" t="str">
            <v>ISBL</v>
          </cell>
          <cell r="J164" t="str">
            <v>3</v>
          </cell>
          <cell r="K164">
            <v>690</v>
          </cell>
          <cell r="L164" t="str">
            <v>AC</v>
          </cell>
          <cell r="M164" t="str">
            <v>M</v>
          </cell>
          <cell r="N164" t="str">
            <v>N</v>
          </cell>
          <cell r="O164" t="str">
            <v>Soft Starter</v>
          </cell>
          <cell r="P164" t="str">
            <v>4850-MDB-203A</v>
          </cell>
          <cell r="Q164" t="str">
            <v>C</v>
          </cell>
          <cell r="S164">
            <v>504</v>
          </cell>
          <cell r="T164">
            <v>560</v>
          </cell>
          <cell r="X164">
            <v>0.95899999999999996</v>
          </cell>
          <cell r="Y164">
            <v>0.85</v>
          </cell>
        </row>
        <row r="165">
          <cell r="A165" t="str">
            <v>PEU-2</v>
          </cell>
          <cell r="B165" t="str">
            <v>41-PK-6040-22</v>
          </cell>
          <cell r="C165" t="str">
            <v>Lube Oil Heater for Mixer</v>
          </cell>
          <cell r="D165">
            <v>4107</v>
          </cell>
          <cell r="E165" t="str">
            <v>ISBL</v>
          </cell>
          <cell r="J165" t="str">
            <v>3</v>
          </cell>
          <cell r="K165">
            <v>690</v>
          </cell>
          <cell r="L165" t="str">
            <v>AC</v>
          </cell>
          <cell r="M165" t="str">
            <v>M</v>
          </cell>
          <cell r="N165" t="str">
            <v>N</v>
          </cell>
          <cell r="O165" t="str">
            <v>Soft Starter</v>
          </cell>
          <cell r="P165" t="str">
            <v>4850-MDB-203B</v>
          </cell>
          <cell r="Q165" t="str">
            <v>I</v>
          </cell>
          <cell r="S165">
            <v>58.5</v>
          </cell>
          <cell r="T165">
            <v>65</v>
          </cell>
          <cell r="X165">
            <v>0.93899999999999995</v>
          </cell>
          <cell r="Y165">
            <v>0.85</v>
          </cell>
        </row>
        <row r="166">
          <cell r="A166" t="str">
            <v>PEU-2</v>
          </cell>
          <cell r="B166" t="str">
            <v>41-PK-6040-23</v>
          </cell>
          <cell r="C166" t="str">
            <v>Lube Oil Heater for Mixer Motor</v>
          </cell>
          <cell r="D166">
            <v>4107</v>
          </cell>
          <cell r="E166" t="str">
            <v>ISBL</v>
          </cell>
          <cell r="J166" t="str">
            <v>3</v>
          </cell>
          <cell r="K166">
            <v>690</v>
          </cell>
          <cell r="L166" t="str">
            <v>AC</v>
          </cell>
          <cell r="M166" t="str">
            <v>M</v>
          </cell>
          <cell r="N166" t="str">
            <v>N</v>
          </cell>
          <cell r="O166" t="str">
            <v/>
          </cell>
          <cell r="P166" t="str">
            <v>4850-MDB-203B</v>
          </cell>
          <cell r="Q166" t="str">
            <v>I</v>
          </cell>
          <cell r="S166">
            <v>4.5</v>
          </cell>
          <cell r="T166">
            <v>5</v>
          </cell>
          <cell r="X166">
            <v>0.85</v>
          </cell>
          <cell r="Y166">
            <v>0.85</v>
          </cell>
        </row>
        <row r="167">
          <cell r="A167" t="str">
            <v>PEU-2</v>
          </cell>
          <cell r="B167" t="str">
            <v>46-P-8061</v>
          </cell>
          <cell r="C167" t="str">
            <v>High Pressure Nitrogen Compressor</v>
          </cell>
          <cell r="D167">
            <v>4101</v>
          </cell>
          <cell r="E167" t="str">
            <v>ISBL</v>
          </cell>
          <cell r="J167" t="str">
            <v>3</v>
          </cell>
          <cell r="K167">
            <v>690</v>
          </cell>
          <cell r="L167" t="str">
            <v>AC</v>
          </cell>
          <cell r="M167" t="str">
            <v>M</v>
          </cell>
          <cell r="N167" t="str">
            <v>N</v>
          </cell>
          <cell r="O167" t="str">
            <v/>
          </cell>
          <cell r="P167" t="str">
            <v>4850-MDB-203B</v>
          </cell>
          <cell r="Q167" t="str">
            <v>C</v>
          </cell>
          <cell r="S167">
            <v>33.300000000000004</v>
          </cell>
          <cell r="T167">
            <v>37</v>
          </cell>
          <cell r="X167">
            <v>0.93</v>
          </cell>
          <cell r="Y167">
            <v>0.85</v>
          </cell>
        </row>
        <row r="168">
          <cell r="A168" t="str">
            <v>PEU-2</v>
          </cell>
          <cell r="B168" t="str">
            <v>41-PK-2401-4A</v>
          </cell>
          <cell r="C168" t="str">
            <v>Main/Aux. Lube Oil Pump Motor</v>
          </cell>
          <cell r="D168">
            <v>4103</v>
          </cell>
          <cell r="E168" t="str">
            <v>ISBL</v>
          </cell>
          <cell r="J168" t="str">
            <v>3</v>
          </cell>
          <cell r="K168">
            <v>690</v>
          </cell>
          <cell r="L168" t="str">
            <v>AC</v>
          </cell>
          <cell r="M168" t="str">
            <v>M</v>
          </cell>
          <cell r="N168" t="str">
            <v>N</v>
          </cell>
          <cell r="O168" t="str">
            <v/>
          </cell>
          <cell r="P168" t="str">
            <v>4850-MDB-203A</v>
          </cell>
          <cell r="Q168" t="str">
            <v>C</v>
          </cell>
          <cell r="S168">
            <v>12</v>
          </cell>
          <cell r="T168">
            <v>15</v>
          </cell>
          <cell r="X168">
            <v>0.9</v>
          </cell>
          <cell r="Y168">
            <v>0.85</v>
          </cell>
        </row>
        <row r="169">
          <cell r="A169" t="str">
            <v>PEU-2</v>
          </cell>
          <cell r="B169" t="str">
            <v>41-PK-2401-4B</v>
          </cell>
          <cell r="C169" t="str">
            <v>Main/Aux. Lube Oil Pump Motor</v>
          </cell>
          <cell r="D169">
            <v>4103</v>
          </cell>
          <cell r="E169" t="str">
            <v>ISBL</v>
          </cell>
          <cell r="J169" t="str">
            <v>3</v>
          </cell>
          <cell r="K169">
            <v>690</v>
          </cell>
          <cell r="L169" t="str">
            <v>AC</v>
          </cell>
          <cell r="M169" t="str">
            <v>M</v>
          </cell>
          <cell r="N169" t="str">
            <v>N</v>
          </cell>
          <cell r="O169" t="str">
            <v/>
          </cell>
          <cell r="P169" t="str">
            <v>4850-MDB-203A</v>
          </cell>
          <cell r="Q169" t="str">
            <v>C</v>
          </cell>
          <cell r="S169">
            <v>12</v>
          </cell>
          <cell r="T169">
            <v>15</v>
          </cell>
          <cell r="X169">
            <v>0.9</v>
          </cell>
          <cell r="Y169">
            <v>0.85</v>
          </cell>
        </row>
        <row r="170">
          <cell r="A170" t="str">
            <v>PEU-2</v>
          </cell>
          <cell r="B170" t="str">
            <v>41-PK-2401-4C</v>
          </cell>
          <cell r="C170" t="str">
            <v>Main/Aux. Lube Oil Pump Motor</v>
          </cell>
          <cell r="D170">
            <v>4103</v>
          </cell>
          <cell r="E170" t="str">
            <v>ISBL</v>
          </cell>
          <cell r="J170" t="str">
            <v>3</v>
          </cell>
          <cell r="K170">
            <v>690</v>
          </cell>
          <cell r="L170" t="str">
            <v>AC</v>
          </cell>
          <cell r="M170" t="str">
            <v>M</v>
          </cell>
          <cell r="N170" t="str">
            <v>N</v>
          </cell>
          <cell r="O170" t="str">
            <v/>
          </cell>
          <cell r="P170" t="str">
            <v>4850-MDB-203A</v>
          </cell>
          <cell r="Q170" t="str">
            <v>S</v>
          </cell>
          <cell r="S170">
            <v>12</v>
          </cell>
          <cell r="T170">
            <v>15</v>
          </cell>
          <cell r="X170">
            <v>0.9</v>
          </cell>
          <cell r="Y170">
            <v>0.85</v>
          </cell>
        </row>
        <row r="171">
          <cell r="A171" t="str">
            <v>PEU-2</v>
          </cell>
          <cell r="B171" t="str">
            <v>41-PK-2401-4D</v>
          </cell>
          <cell r="C171" t="str">
            <v>Main/Aux. Lube Oil Pump Motor</v>
          </cell>
          <cell r="D171">
            <v>4103</v>
          </cell>
          <cell r="E171" t="str">
            <v>ISBL</v>
          </cell>
          <cell r="J171" t="str">
            <v>3</v>
          </cell>
          <cell r="K171">
            <v>690</v>
          </cell>
          <cell r="L171" t="str">
            <v>AC</v>
          </cell>
          <cell r="M171" t="str">
            <v>M</v>
          </cell>
          <cell r="N171" t="str">
            <v>N</v>
          </cell>
          <cell r="O171" t="str">
            <v/>
          </cell>
          <cell r="P171" t="str">
            <v>4850-MDB-203A</v>
          </cell>
          <cell r="Q171" t="str">
            <v>S</v>
          </cell>
          <cell r="S171">
            <v>12</v>
          </cell>
          <cell r="T171">
            <v>15</v>
          </cell>
          <cell r="X171">
            <v>0.9</v>
          </cell>
          <cell r="Y171">
            <v>0.85</v>
          </cell>
        </row>
        <row r="172">
          <cell r="A172" t="str">
            <v>PEU-2</v>
          </cell>
          <cell r="B172" t="str">
            <v>41-PK-6040-19</v>
          </cell>
          <cell r="C172" t="str">
            <v>Hot Oil Heater for Gear Pump Rotor Cooling</v>
          </cell>
          <cell r="D172">
            <v>4107</v>
          </cell>
          <cell r="E172" t="str">
            <v>ISBL</v>
          </cell>
          <cell r="J172" t="str">
            <v>3</v>
          </cell>
          <cell r="K172">
            <v>690</v>
          </cell>
          <cell r="L172" t="str">
            <v>AC</v>
          </cell>
          <cell r="M172" t="str">
            <v>M</v>
          </cell>
          <cell r="N172" t="str">
            <v>N</v>
          </cell>
          <cell r="O172" t="str">
            <v/>
          </cell>
          <cell r="P172" t="str">
            <v>4850-MDB-203A</v>
          </cell>
          <cell r="Q172" t="str">
            <v>C</v>
          </cell>
          <cell r="S172">
            <v>36</v>
          </cell>
          <cell r="T172">
            <v>40</v>
          </cell>
          <cell r="X172">
            <v>0.93</v>
          </cell>
          <cell r="Y172">
            <v>0.85</v>
          </cell>
        </row>
        <row r="173">
          <cell r="A173" t="str">
            <v>PEU-2</v>
          </cell>
          <cell r="B173" t="str">
            <v>41-PK-6040-20</v>
          </cell>
          <cell r="C173" t="str">
            <v>Hot Oil Heater for Gear Pump Bearing Cooling</v>
          </cell>
          <cell r="D173">
            <v>4107</v>
          </cell>
          <cell r="E173" t="str">
            <v>ISBL</v>
          </cell>
          <cell r="J173" t="str">
            <v>3</v>
          </cell>
          <cell r="K173">
            <v>690</v>
          </cell>
          <cell r="L173" t="str">
            <v>AC</v>
          </cell>
          <cell r="M173" t="str">
            <v>M</v>
          </cell>
          <cell r="N173" t="str">
            <v>N</v>
          </cell>
          <cell r="O173" t="str">
            <v/>
          </cell>
          <cell r="P173" t="str">
            <v>4850-MDB-203B</v>
          </cell>
          <cell r="Q173" t="str">
            <v>C</v>
          </cell>
          <cell r="S173">
            <v>36</v>
          </cell>
          <cell r="T173">
            <v>40</v>
          </cell>
          <cell r="X173">
            <v>0.93</v>
          </cell>
          <cell r="Y173">
            <v>0.85</v>
          </cell>
        </row>
        <row r="174">
          <cell r="A174" t="str">
            <v>PEU-2</v>
          </cell>
          <cell r="B174" t="str">
            <v>46-P-8064A</v>
          </cell>
          <cell r="C174" t="str">
            <v>Potable Water Booster Pump</v>
          </cell>
          <cell r="D174">
            <v>4102</v>
          </cell>
          <cell r="E174" t="str">
            <v>ISBL</v>
          </cell>
          <cell r="J174" t="str">
            <v>3</v>
          </cell>
          <cell r="K174">
            <v>690</v>
          </cell>
          <cell r="L174" t="str">
            <v>AC</v>
          </cell>
          <cell r="M174" t="str">
            <v>M</v>
          </cell>
          <cell r="N174" t="str">
            <v>N</v>
          </cell>
          <cell r="O174" t="str">
            <v/>
          </cell>
          <cell r="P174" t="str">
            <v>4850-MDB-203A</v>
          </cell>
          <cell r="Q174" t="str">
            <v>I</v>
          </cell>
          <cell r="S174">
            <v>10</v>
          </cell>
          <cell r="T174">
            <v>15</v>
          </cell>
          <cell r="X174">
            <v>0.9</v>
          </cell>
          <cell r="Y174">
            <v>0.85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 t="str">
            <v>ISBL</v>
          </cell>
          <cell r="J175" t="str">
            <v>3</v>
          </cell>
          <cell r="K175">
            <v>0</v>
          </cell>
          <cell r="L175" t="str">
            <v>AC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S175">
            <v>0</v>
          </cell>
          <cell r="T175">
            <v>0</v>
          </cell>
          <cell r="X175">
            <v>0</v>
          </cell>
          <cell r="Y175">
            <v>0</v>
          </cell>
        </row>
        <row r="176">
          <cell r="A176" t="str">
            <v>PEU-2</v>
          </cell>
          <cell r="B176" t="str">
            <v>46-P-8069B</v>
          </cell>
          <cell r="C176" t="str">
            <v>Pellet Hydrosieve Pump</v>
          </cell>
          <cell r="D176">
            <v>4107</v>
          </cell>
          <cell r="E176" t="str">
            <v>ISBL</v>
          </cell>
          <cell r="J176" t="str">
            <v>3</v>
          </cell>
          <cell r="K176">
            <v>690</v>
          </cell>
          <cell r="L176" t="str">
            <v>AC</v>
          </cell>
          <cell r="M176" t="str">
            <v>M</v>
          </cell>
          <cell r="N176" t="str">
            <v>N</v>
          </cell>
          <cell r="O176" t="str">
            <v/>
          </cell>
          <cell r="P176" t="str">
            <v>4850-MDB-203A</v>
          </cell>
          <cell r="Q176" t="str">
            <v>S</v>
          </cell>
          <cell r="S176">
            <v>3.8</v>
          </cell>
          <cell r="T176">
            <v>5.5</v>
          </cell>
          <cell r="X176">
            <v>0.87</v>
          </cell>
          <cell r="Y176">
            <v>0.85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 t="str">
            <v>ISBL</v>
          </cell>
          <cell r="J177" t="str">
            <v>3</v>
          </cell>
          <cell r="K177">
            <v>0</v>
          </cell>
          <cell r="L177" t="str">
            <v>AC</v>
          </cell>
          <cell r="M177">
            <v>0</v>
          </cell>
          <cell r="N177">
            <v>0</v>
          </cell>
          <cell r="O177" t="str">
            <v/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X177">
            <v>0</v>
          </cell>
          <cell r="Y177">
            <v>0</v>
          </cell>
        </row>
        <row r="178">
          <cell r="A178" t="str">
            <v>PEU-2</v>
          </cell>
          <cell r="B178" t="str">
            <v>46-P-8064B</v>
          </cell>
          <cell r="C178" t="str">
            <v>Potable Water Booster Pump</v>
          </cell>
          <cell r="D178">
            <v>4102</v>
          </cell>
          <cell r="E178" t="str">
            <v>ISBL</v>
          </cell>
          <cell r="J178" t="str">
            <v>3</v>
          </cell>
          <cell r="K178">
            <v>690</v>
          </cell>
          <cell r="L178" t="str">
            <v>AC</v>
          </cell>
          <cell r="M178" t="str">
            <v>M</v>
          </cell>
          <cell r="N178" t="str">
            <v>N</v>
          </cell>
          <cell r="O178" t="str">
            <v/>
          </cell>
          <cell r="P178" t="str">
            <v>4850-MDB-203B</v>
          </cell>
          <cell r="Q178" t="str">
            <v>S</v>
          </cell>
          <cell r="S178">
            <v>10</v>
          </cell>
          <cell r="T178">
            <v>15</v>
          </cell>
          <cell r="X178">
            <v>0.9</v>
          </cell>
          <cell r="Y178">
            <v>0.85</v>
          </cell>
        </row>
        <row r="179">
          <cell r="A179" t="str">
            <v>PEU-2</v>
          </cell>
          <cell r="B179" t="str">
            <v>46-P-8069A</v>
          </cell>
          <cell r="C179" t="str">
            <v>Pellet Hydrosieve Pump</v>
          </cell>
          <cell r="D179">
            <v>4107</v>
          </cell>
          <cell r="E179" t="str">
            <v>ISBL</v>
          </cell>
          <cell r="J179" t="str">
            <v>3</v>
          </cell>
          <cell r="K179">
            <v>690</v>
          </cell>
          <cell r="L179" t="str">
            <v>AC</v>
          </cell>
          <cell r="M179" t="str">
            <v>M</v>
          </cell>
          <cell r="N179" t="str">
            <v>N</v>
          </cell>
          <cell r="O179" t="str">
            <v/>
          </cell>
          <cell r="P179" t="str">
            <v>4850-MDB-203B</v>
          </cell>
          <cell r="Q179" t="str">
            <v>I</v>
          </cell>
          <cell r="S179">
            <v>3.8</v>
          </cell>
          <cell r="T179">
            <v>5.5</v>
          </cell>
          <cell r="X179">
            <v>0.87</v>
          </cell>
          <cell r="Y179">
            <v>0.85</v>
          </cell>
        </row>
        <row r="180">
          <cell r="A180" t="str">
            <v>PEU-2</v>
          </cell>
          <cell r="B180" t="str">
            <v>46-P-8070</v>
          </cell>
          <cell r="C180" t="str">
            <v>Pellet Sump Pump</v>
          </cell>
          <cell r="D180">
            <v>4107</v>
          </cell>
          <cell r="E180" t="str">
            <v>ISBL</v>
          </cell>
          <cell r="J180" t="str">
            <v>3</v>
          </cell>
          <cell r="K180">
            <v>690</v>
          </cell>
          <cell r="L180" t="str">
            <v>AC</v>
          </cell>
          <cell r="M180" t="str">
            <v>M</v>
          </cell>
          <cell r="N180" t="str">
            <v>N</v>
          </cell>
          <cell r="O180" t="str">
            <v/>
          </cell>
          <cell r="P180" t="str">
            <v>4850-MDB-203B</v>
          </cell>
          <cell r="Q180" t="str">
            <v>I</v>
          </cell>
          <cell r="S180">
            <v>18</v>
          </cell>
          <cell r="T180">
            <v>22</v>
          </cell>
          <cell r="X180">
            <v>0.91300000000000003</v>
          </cell>
          <cell r="Y180">
            <v>0.85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 t="str">
            <v>ISBL</v>
          </cell>
          <cell r="J181" t="str">
            <v>3</v>
          </cell>
          <cell r="K181">
            <v>0</v>
          </cell>
          <cell r="L181" t="str">
            <v>AC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S181">
            <v>0</v>
          </cell>
          <cell r="T181">
            <v>0</v>
          </cell>
          <cell r="X181">
            <v>0</v>
          </cell>
          <cell r="Y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 t="str">
            <v>ISBL</v>
          </cell>
          <cell r="J182" t="str">
            <v>3</v>
          </cell>
          <cell r="K182">
            <v>0</v>
          </cell>
          <cell r="L182" t="str">
            <v>AC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S182">
            <v>0</v>
          </cell>
          <cell r="T182">
            <v>0</v>
          </cell>
          <cell r="X182">
            <v>0</v>
          </cell>
          <cell r="Y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 t="str">
            <v>ISBL</v>
          </cell>
          <cell r="J183" t="str">
            <v>3</v>
          </cell>
          <cell r="K183">
            <v>0</v>
          </cell>
          <cell r="L183" t="str">
            <v>AC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S183">
            <v>0</v>
          </cell>
          <cell r="T183">
            <v>0</v>
          </cell>
          <cell r="X183">
            <v>0</v>
          </cell>
          <cell r="Y183">
            <v>0</v>
          </cell>
        </row>
        <row r="184">
          <cell r="A184" t="str">
            <v>PEU-2</v>
          </cell>
          <cell r="B184" t="str">
            <v>41-P-2032A</v>
          </cell>
          <cell r="C184" t="str">
            <v>Hexene Feed Pump</v>
          </cell>
          <cell r="D184">
            <v>4104</v>
          </cell>
          <cell r="E184" t="str">
            <v>ISBL</v>
          </cell>
          <cell r="J184" t="str">
            <v>3</v>
          </cell>
          <cell r="K184">
            <v>690</v>
          </cell>
          <cell r="L184" t="str">
            <v>AC</v>
          </cell>
          <cell r="M184" t="str">
            <v>M</v>
          </cell>
          <cell r="N184" t="str">
            <v>N</v>
          </cell>
          <cell r="O184" t="str">
            <v>Soft Starter</v>
          </cell>
          <cell r="P184" t="str">
            <v>4850-MDB-204A</v>
          </cell>
          <cell r="Q184" t="str">
            <v>C</v>
          </cell>
          <cell r="S184">
            <v>93.9</v>
          </cell>
          <cell r="T184">
            <v>110</v>
          </cell>
          <cell r="X184">
            <v>0.95199999999999996</v>
          </cell>
          <cell r="Y184">
            <v>0.85</v>
          </cell>
        </row>
        <row r="185">
          <cell r="A185" t="str">
            <v>PEU-2</v>
          </cell>
          <cell r="B185" t="str">
            <v>41-P-2032B</v>
          </cell>
          <cell r="C185" t="str">
            <v>Hexene Feed Pump</v>
          </cell>
          <cell r="D185">
            <v>4104</v>
          </cell>
          <cell r="E185" t="str">
            <v>ISBL</v>
          </cell>
          <cell r="J185" t="str">
            <v>3</v>
          </cell>
          <cell r="K185">
            <v>690</v>
          </cell>
          <cell r="L185" t="str">
            <v>AC</v>
          </cell>
          <cell r="M185" t="str">
            <v>M</v>
          </cell>
          <cell r="N185" t="str">
            <v>N</v>
          </cell>
          <cell r="O185" t="str">
            <v>Soft Starter</v>
          </cell>
          <cell r="P185" t="str">
            <v>4850-MDB-204B</v>
          </cell>
          <cell r="Q185" t="str">
            <v>S</v>
          </cell>
          <cell r="S185">
            <v>93.9</v>
          </cell>
          <cell r="T185">
            <v>110</v>
          </cell>
          <cell r="X185">
            <v>0.95199999999999996</v>
          </cell>
          <cell r="Y185">
            <v>0.85</v>
          </cell>
        </row>
        <row r="186">
          <cell r="A186" t="str">
            <v>PEU-2</v>
          </cell>
          <cell r="B186" t="str">
            <v>41-P-4142A</v>
          </cell>
          <cell r="C186" t="str">
            <v>Olefin Free Isobutane Pump</v>
          </cell>
          <cell r="D186">
            <v>4103</v>
          </cell>
          <cell r="E186" t="str">
            <v>ISBL</v>
          </cell>
          <cell r="J186" t="str">
            <v>3</v>
          </cell>
          <cell r="K186">
            <v>690</v>
          </cell>
          <cell r="L186" t="str">
            <v>AC</v>
          </cell>
          <cell r="M186" t="str">
            <v>M</v>
          </cell>
          <cell r="N186" t="str">
            <v>N</v>
          </cell>
          <cell r="O186" t="str">
            <v>Soft Starter</v>
          </cell>
          <cell r="P186" t="str">
            <v>4850-MDB-204A</v>
          </cell>
          <cell r="Q186" t="str">
            <v>C</v>
          </cell>
          <cell r="S186">
            <v>162</v>
          </cell>
          <cell r="T186">
            <v>180</v>
          </cell>
          <cell r="X186">
            <v>0.95699999999999996</v>
          </cell>
          <cell r="Y186">
            <v>0.85</v>
          </cell>
        </row>
        <row r="187">
          <cell r="A187" t="str">
            <v>PEU-2</v>
          </cell>
          <cell r="B187" t="str">
            <v>41-P-4242A</v>
          </cell>
          <cell r="C187" t="str">
            <v>Recycle Isobutane Pump</v>
          </cell>
          <cell r="D187">
            <v>4103</v>
          </cell>
          <cell r="E187" t="str">
            <v>ISBL</v>
          </cell>
          <cell r="J187" t="str">
            <v>3</v>
          </cell>
          <cell r="K187">
            <v>690</v>
          </cell>
          <cell r="L187" t="str">
            <v>AC</v>
          </cell>
          <cell r="M187" t="str">
            <v>M</v>
          </cell>
          <cell r="N187" t="str">
            <v>N</v>
          </cell>
          <cell r="O187" t="str">
            <v>Soft Starter</v>
          </cell>
          <cell r="P187" t="str">
            <v>4850-MDB-204A</v>
          </cell>
          <cell r="Q187" t="str">
            <v>C</v>
          </cell>
          <cell r="S187">
            <v>180</v>
          </cell>
          <cell r="T187">
            <v>200</v>
          </cell>
          <cell r="X187">
            <v>0.95899999999999996</v>
          </cell>
          <cell r="Y187">
            <v>0.85</v>
          </cell>
        </row>
        <row r="188">
          <cell r="A188" t="str">
            <v>PEU-2</v>
          </cell>
          <cell r="B188" t="str">
            <v>41-P-5041A</v>
          </cell>
          <cell r="C188" t="str">
            <v>Dehexanizer Column OVHD Accumulator Reflux Pump</v>
          </cell>
          <cell r="D188">
            <v>4104</v>
          </cell>
          <cell r="E188" t="str">
            <v>ISBL</v>
          </cell>
          <cell r="J188" t="str">
            <v>3</v>
          </cell>
          <cell r="K188">
            <v>690</v>
          </cell>
          <cell r="L188" t="str">
            <v>AC</v>
          </cell>
          <cell r="M188" t="str">
            <v>M</v>
          </cell>
          <cell r="N188" t="str">
            <v>N</v>
          </cell>
          <cell r="O188" t="str">
            <v>Soft Starter</v>
          </cell>
          <cell r="P188" t="str">
            <v>4850-MDB-204B</v>
          </cell>
          <cell r="Q188" t="str">
            <v>C</v>
          </cell>
          <cell r="S188">
            <v>180</v>
          </cell>
          <cell r="T188">
            <v>200</v>
          </cell>
          <cell r="X188">
            <v>0.95899999999999996</v>
          </cell>
          <cell r="Y188">
            <v>0.85</v>
          </cell>
        </row>
        <row r="189">
          <cell r="A189" t="str">
            <v>PEU-2</v>
          </cell>
          <cell r="B189" t="str">
            <v>41-P-4142B</v>
          </cell>
          <cell r="C189" t="str">
            <v>Olefin Free Isobutane Pump</v>
          </cell>
          <cell r="D189">
            <v>4103</v>
          </cell>
          <cell r="E189" t="str">
            <v>ISBL</v>
          </cell>
          <cell r="J189" t="str">
            <v>3</v>
          </cell>
          <cell r="K189">
            <v>690</v>
          </cell>
          <cell r="L189" t="str">
            <v>AC</v>
          </cell>
          <cell r="M189" t="str">
            <v>M</v>
          </cell>
          <cell r="N189" t="str">
            <v>N</v>
          </cell>
          <cell r="O189" t="str">
            <v>Soft Starter</v>
          </cell>
          <cell r="P189" t="str">
            <v>4850-MDB-204B</v>
          </cell>
          <cell r="Q189" t="str">
            <v>S</v>
          </cell>
          <cell r="S189">
            <v>162</v>
          </cell>
          <cell r="T189">
            <v>180</v>
          </cell>
          <cell r="X189">
            <v>0.95699999999999996</v>
          </cell>
          <cell r="Y189">
            <v>0.85</v>
          </cell>
        </row>
        <row r="190">
          <cell r="A190" t="str">
            <v>PEU-2</v>
          </cell>
          <cell r="B190" t="str">
            <v>41-P-5041B</v>
          </cell>
          <cell r="C190" t="str">
            <v>Dehexanizer Column OVHD Accumulator Reflux Pump</v>
          </cell>
          <cell r="D190">
            <v>4104</v>
          </cell>
          <cell r="E190" t="str">
            <v>ISBL</v>
          </cell>
          <cell r="J190" t="str">
            <v>3</v>
          </cell>
          <cell r="K190">
            <v>690</v>
          </cell>
          <cell r="L190" t="str">
            <v>AC</v>
          </cell>
          <cell r="M190" t="str">
            <v>M</v>
          </cell>
          <cell r="N190" t="str">
            <v>N</v>
          </cell>
          <cell r="O190" t="str">
            <v>Soft Starter</v>
          </cell>
          <cell r="P190" t="str">
            <v>4850-MDB-204B</v>
          </cell>
          <cell r="Q190" t="str">
            <v>S</v>
          </cell>
          <cell r="S190">
            <v>180</v>
          </cell>
          <cell r="T190">
            <v>200</v>
          </cell>
          <cell r="X190">
            <v>0.95899999999999996</v>
          </cell>
          <cell r="Y190">
            <v>0.85</v>
          </cell>
        </row>
        <row r="191">
          <cell r="A191" t="str">
            <v>PEU-2</v>
          </cell>
          <cell r="B191" t="str">
            <v>41-P-4242B</v>
          </cell>
          <cell r="C191" t="str">
            <v>Recycle Isobutane Pump</v>
          </cell>
          <cell r="D191">
            <v>4103</v>
          </cell>
          <cell r="E191" t="str">
            <v>ISBL</v>
          </cell>
          <cell r="J191" t="str">
            <v>3</v>
          </cell>
          <cell r="K191">
            <v>690</v>
          </cell>
          <cell r="L191" t="str">
            <v>AC</v>
          </cell>
          <cell r="M191" t="str">
            <v>M</v>
          </cell>
          <cell r="N191" t="str">
            <v>N</v>
          </cell>
          <cell r="O191" t="str">
            <v>Soft Starter</v>
          </cell>
          <cell r="P191" t="str">
            <v>4850-MDB-204B</v>
          </cell>
          <cell r="Q191" t="str">
            <v>S</v>
          </cell>
          <cell r="S191">
            <v>180</v>
          </cell>
          <cell r="T191">
            <v>200</v>
          </cell>
          <cell r="X191">
            <v>0.95899999999999996</v>
          </cell>
          <cell r="Y191">
            <v>0.85</v>
          </cell>
        </row>
        <row r="192">
          <cell r="A192" t="str">
            <v>PEU-2</v>
          </cell>
          <cell r="B192" t="str">
            <v>41-P-2031A</v>
          </cell>
          <cell r="C192" t="str">
            <v>Hexene Make-up Pump</v>
          </cell>
          <cell r="D192">
            <v>4104</v>
          </cell>
          <cell r="E192" t="str">
            <v>ISBL</v>
          </cell>
          <cell r="J192" t="str">
            <v>3</v>
          </cell>
          <cell r="K192">
            <v>690</v>
          </cell>
          <cell r="L192" t="str">
            <v>AC</v>
          </cell>
          <cell r="M192" t="str">
            <v>M</v>
          </cell>
          <cell r="N192" t="str">
            <v>N</v>
          </cell>
          <cell r="O192" t="str">
            <v/>
          </cell>
          <cell r="P192" t="str">
            <v>4850-MDB-204A</v>
          </cell>
          <cell r="Q192" t="str">
            <v>C</v>
          </cell>
          <cell r="S192">
            <v>11.25</v>
          </cell>
          <cell r="T192">
            <v>15</v>
          </cell>
          <cell r="X192">
            <v>0.9</v>
          </cell>
          <cell r="Y192">
            <v>0.85</v>
          </cell>
        </row>
        <row r="193">
          <cell r="A193" t="str">
            <v>PEU-2</v>
          </cell>
          <cell r="B193" t="str">
            <v>41-P-2031B</v>
          </cell>
          <cell r="C193" t="str">
            <v>Hexene Make-up Pump</v>
          </cell>
          <cell r="D193">
            <v>4104</v>
          </cell>
          <cell r="E193" t="str">
            <v>ISBL</v>
          </cell>
          <cell r="J193" t="str">
            <v>3</v>
          </cell>
          <cell r="K193">
            <v>690</v>
          </cell>
          <cell r="L193" t="str">
            <v>AC</v>
          </cell>
          <cell r="M193" t="str">
            <v>M</v>
          </cell>
          <cell r="N193" t="str">
            <v>N</v>
          </cell>
          <cell r="O193" t="str">
            <v/>
          </cell>
          <cell r="P193" t="str">
            <v>4850-MDB-204B</v>
          </cell>
          <cell r="Q193" t="str">
            <v>S</v>
          </cell>
          <cell r="S193">
            <v>11.25</v>
          </cell>
          <cell r="T193">
            <v>15</v>
          </cell>
          <cell r="X193">
            <v>0.9</v>
          </cell>
          <cell r="Y193">
            <v>0.85</v>
          </cell>
        </row>
        <row r="194">
          <cell r="A194" t="str">
            <v>PEU-2</v>
          </cell>
          <cell r="B194" t="str">
            <v>41-P-4020A</v>
          </cell>
          <cell r="C194" t="str">
            <v>Flush Pump</v>
          </cell>
          <cell r="D194">
            <v>4103</v>
          </cell>
          <cell r="E194" t="str">
            <v>ISBL</v>
          </cell>
          <cell r="J194" t="str">
            <v>3</v>
          </cell>
          <cell r="K194">
            <v>690</v>
          </cell>
          <cell r="L194" t="str">
            <v>AC</v>
          </cell>
          <cell r="M194" t="str">
            <v>M</v>
          </cell>
          <cell r="N194" t="str">
            <v>N</v>
          </cell>
          <cell r="O194" t="str">
            <v/>
          </cell>
          <cell r="P194" t="str">
            <v>4850-MDB-204A</v>
          </cell>
          <cell r="Q194" t="str">
            <v>C</v>
          </cell>
          <cell r="S194">
            <v>5.625</v>
          </cell>
          <cell r="T194">
            <v>7.5</v>
          </cell>
          <cell r="X194">
            <v>0.88200000000000001</v>
          </cell>
          <cell r="Y194">
            <v>0.85</v>
          </cell>
        </row>
        <row r="195">
          <cell r="A195" t="str">
            <v>PEU-2</v>
          </cell>
          <cell r="B195" t="str">
            <v>41-P-4103A</v>
          </cell>
          <cell r="C195" t="str">
            <v>Reactor A Thrust Bearing L.O. Pump</v>
          </cell>
          <cell r="D195">
            <v>4102</v>
          </cell>
          <cell r="E195" t="str">
            <v>ISBL</v>
          </cell>
          <cell r="J195" t="str">
            <v>3</v>
          </cell>
          <cell r="K195">
            <v>690</v>
          </cell>
          <cell r="L195" t="str">
            <v>AC</v>
          </cell>
          <cell r="M195" t="str">
            <v>M</v>
          </cell>
          <cell r="N195" t="str">
            <v>N</v>
          </cell>
          <cell r="O195" t="str">
            <v/>
          </cell>
          <cell r="P195" t="str">
            <v>4850-MDB-204A</v>
          </cell>
          <cell r="Q195" t="str">
            <v>C</v>
          </cell>
          <cell r="S195">
            <v>4.5</v>
          </cell>
          <cell r="T195">
            <v>5.5</v>
          </cell>
          <cell r="X195">
            <v>0.87</v>
          </cell>
          <cell r="Y195">
            <v>0.85</v>
          </cell>
        </row>
        <row r="196">
          <cell r="A196" t="str">
            <v>PEU-2</v>
          </cell>
          <cell r="B196" t="str">
            <v>41-P-4203A</v>
          </cell>
          <cell r="C196" t="str">
            <v>Reactor B Thrust Bearing L.O. Pump</v>
          </cell>
          <cell r="D196">
            <v>4102</v>
          </cell>
          <cell r="E196" t="str">
            <v>ISBL</v>
          </cell>
          <cell r="J196" t="str">
            <v>3</v>
          </cell>
          <cell r="K196">
            <v>690</v>
          </cell>
          <cell r="L196" t="str">
            <v>AC</v>
          </cell>
          <cell r="M196" t="str">
            <v>M</v>
          </cell>
          <cell r="N196" t="str">
            <v>N</v>
          </cell>
          <cell r="O196" t="str">
            <v/>
          </cell>
          <cell r="P196" t="str">
            <v>4850-MDB-204A</v>
          </cell>
          <cell r="Q196" t="str">
            <v>C</v>
          </cell>
          <cell r="S196">
            <v>4.5</v>
          </cell>
          <cell r="T196">
            <v>5.5</v>
          </cell>
          <cell r="X196">
            <v>0.87</v>
          </cell>
          <cell r="Y196">
            <v>0.85</v>
          </cell>
        </row>
        <row r="197">
          <cell r="A197" t="str">
            <v>PEU-2</v>
          </cell>
          <cell r="B197" t="str">
            <v>41-P-4224A</v>
          </cell>
          <cell r="C197" t="str">
            <v>Flashline Condensate Pump</v>
          </cell>
          <cell r="D197">
            <v>4102</v>
          </cell>
          <cell r="E197" t="str">
            <v>ISBL</v>
          </cell>
          <cell r="J197" t="str">
            <v>3</v>
          </cell>
          <cell r="K197">
            <v>690</v>
          </cell>
          <cell r="L197" t="str">
            <v>AC</v>
          </cell>
          <cell r="M197" t="str">
            <v>M</v>
          </cell>
          <cell r="N197" t="str">
            <v>N</v>
          </cell>
          <cell r="O197" t="str">
            <v/>
          </cell>
          <cell r="P197" t="str">
            <v>4850-MDB-204A</v>
          </cell>
          <cell r="Q197" t="str">
            <v>C</v>
          </cell>
          <cell r="S197">
            <v>2.7750000000000004</v>
          </cell>
          <cell r="T197">
            <v>3.7</v>
          </cell>
          <cell r="X197">
            <v>0.83799999999999997</v>
          </cell>
          <cell r="Y197">
            <v>0.85</v>
          </cell>
        </row>
        <row r="198">
          <cell r="A198" t="str">
            <v>PEU-2</v>
          </cell>
          <cell r="B198" t="str">
            <v>41-P-4020B</v>
          </cell>
          <cell r="C198" t="str">
            <v>Flush Pump</v>
          </cell>
          <cell r="D198">
            <v>4103</v>
          </cell>
          <cell r="E198" t="str">
            <v>ISBL</v>
          </cell>
          <cell r="J198" t="str">
            <v>3</v>
          </cell>
          <cell r="K198">
            <v>690</v>
          </cell>
          <cell r="L198" t="str">
            <v>AC</v>
          </cell>
          <cell r="M198" t="str">
            <v>M</v>
          </cell>
          <cell r="N198" t="str">
            <v>N</v>
          </cell>
          <cell r="O198" t="str">
            <v/>
          </cell>
          <cell r="P198" t="str">
            <v>4850-MDB-204B</v>
          </cell>
          <cell r="Q198" t="str">
            <v>S</v>
          </cell>
          <cell r="S198">
            <v>5.625</v>
          </cell>
          <cell r="T198">
            <v>7.5</v>
          </cell>
          <cell r="X198">
            <v>0.88200000000000001</v>
          </cell>
          <cell r="Y198">
            <v>0.85</v>
          </cell>
        </row>
        <row r="199">
          <cell r="A199" t="str">
            <v>PEU-2</v>
          </cell>
          <cell r="B199" t="str">
            <v>41-P-4103B</v>
          </cell>
          <cell r="C199" t="str">
            <v>Reactor A Thrust Bearing L.O. Pump</v>
          </cell>
          <cell r="D199">
            <v>4102</v>
          </cell>
          <cell r="E199" t="str">
            <v>ISBL</v>
          </cell>
          <cell r="J199" t="str">
            <v>3</v>
          </cell>
          <cell r="K199">
            <v>690</v>
          </cell>
          <cell r="L199" t="str">
            <v>AC</v>
          </cell>
          <cell r="M199" t="str">
            <v>M</v>
          </cell>
          <cell r="N199" t="str">
            <v>N</v>
          </cell>
          <cell r="O199" t="str">
            <v/>
          </cell>
          <cell r="P199" t="str">
            <v>4850-MDB-204B</v>
          </cell>
          <cell r="Q199" t="str">
            <v>S</v>
          </cell>
          <cell r="S199">
            <v>4.5</v>
          </cell>
          <cell r="T199">
            <v>5.5</v>
          </cell>
          <cell r="X199">
            <v>0.87</v>
          </cell>
          <cell r="Y199">
            <v>0.85</v>
          </cell>
        </row>
        <row r="200">
          <cell r="A200" t="str">
            <v>PEU-2</v>
          </cell>
          <cell r="B200" t="str">
            <v>41-P-4203B</v>
          </cell>
          <cell r="C200" t="str">
            <v>Reactor B Thrust Bearing L.O. Pump</v>
          </cell>
          <cell r="D200">
            <v>4102</v>
          </cell>
          <cell r="E200" t="str">
            <v>ISBL</v>
          </cell>
          <cell r="J200" t="str">
            <v>3</v>
          </cell>
          <cell r="K200">
            <v>690</v>
          </cell>
          <cell r="L200" t="str">
            <v>AC</v>
          </cell>
          <cell r="M200" t="str">
            <v>M</v>
          </cell>
          <cell r="N200" t="str">
            <v>N</v>
          </cell>
          <cell r="O200" t="str">
            <v/>
          </cell>
          <cell r="P200" t="str">
            <v>4850-MDB-204B</v>
          </cell>
          <cell r="Q200" t="str">
            <v>S</v>
          </cell>
          <cell r="S200">
            <v>4.5</v>
          </cell>
          <cell r="T200">
            <v>5.5</v>
          </cell>
          <cell r="X200">
            <v>0.87</v>
          </cell>
          <cell r="Y200">
            <v>0.85</v>
          </cell>
        </row>
        <row r="201">
          <cell r="A201" t="str">
            <v>PEU-2</v>
          </cell>
          <cell r="B201" t="str">
            <v>41-P-4224B</v>
          </cell>
          <cell r="C201" t="str">
            <v>Flashline Condensate Pump</v>
          </cell>
          <cell r="D201">
            <v>4102</v>
          </cell>
          <cell r="E201" t="str">
            <v>ISBL</v>
          </cell>
          <cell r="J201" t="str">
            <v>3</v>
          </cell>
          <cell r="K201">
            <v>690</v>
          </cell>
          <cell r="L201" t="str">
            <v>AC</v>
          </cell>
          <cell r="M201" t="str">
            <v>M</v>
          </cell>
          <cell r="N201" t="str">
            <v>N</v>
          </cell>
          <cell r="O201" t="str">
            <v/>
          </cell>
          <cell r="P201" t="str">
            <v>4850-MDB-204B</v>
          </cell>
          <cell r="Q201" t="str">
            <v>S</v>
          </cell>
          <cell r="S201">
            <v>2.7750000000000004</v>
          </cell>
          <cell r="T201">
            <v>3.7</v>
          </cell>
          <cell r="X201">
            <v>0.83799999999999997</v>
          </cell>
          <cell r="Y201">
            <v>0.85</v>
          </cell>
        </row>
        <row r="202">
          <cell r="A202">
            <v>0</v>
          </cell>
          <cell r="B202" t="str">
            <v>E-6042</v>
          </cell>
          <cell r="C202" t="str">
            <v>Die Plate Hot Oil Heater</v>
          </cell>
          <cell r="D202" t="str">
            <v>x</v>
          </cell>
          <cell r="E202" t="str">
            <v>ISBL</v>
          </cell>
          <cell r="J202" t="str">
            <v>3</v>
          </cell>
          <cell r="K202">
            <v>690</v>
          </cell>
          <cell r="L202" t="str">
            <v>AC</v>
          </cell>
          <cell r="M202" t="str">
            <v>F</v>
          </cell>
          <cell r="N202" t="str">
            <v>N</v>
          </cell>
          <cell r="O202" t="str">
            <v/>
          </cell>
          <cell r="P202" t="str">
            <v>4850-MDB-204B</v>
          </cell>
          <cell r="Q202" t="str">
            <v>C</v>
          </cell>
          <cell r="S202">
            <v>448</v>
          </cell>
          <cell r="T202">
            <v>560</v>
          </cell>
          <cell r="X202">
            <v>1</v>
          </cell>
          <cell r="Y202">
            <v>0.85</v>
          </cell>
        </row>
        <row r="203">
          <cell r="A203">
            <v>0</v>
          </cell>
          <cell r="B203" t="str">
            <v>MR-025-1A</v>
          </cell>
          <cell r="C203" t="str">
            <v>Lube Oil Pump</v>
          </cell>
          <cell r="D203" t="str">
            <v>x</v>
          </cell>
          <cell r="E203" t="str">
            <v>ISBL</v>
          </cell>
          <cell r="J203" t="str">
            <v>3</v>
          </cell>
          <cell r="K203">
            <v>690</v>
          </cell>
          <cell r="L203" t="str">
            <v>AC</v>
          </cell>
          <cell r="M203" t="str">
            <v>M</v>
          </cell>
          <cell r="N203" t="str">
            <v>N</v>
          </cell>
          <cell r="O203" t="str">
            <v/>
          </cell>
          <cell r="P203" t="str">
            <v>4850-MDB-204B</v>
          </cell>
          <cell r="Q203" t="str">
            <v>S</v>
          </cell>
          <cell r="S203">
            <v>9.9</v>
          </cell>
          <cell r="T203">
            <v>11</v>
          </cell>
          <cell r="X203">
            <v>0.89500000000000002</v>
          </cell>
          <cell r="Y203">
            <v>0.85</v>
          </cell>
        </row>
        <row r="204">
          <cell r="A204">
            <v>0</v>
          </cell>
          <cell r="B204" t="str">
            <v>MR-025-1B</v>
          </cell>
          <cell r="C204" t="str">
            <v>Lube Oil Pump</v>
          </cell>
          <cell r="D204" t="str">
            <v>x</v>
          </cell>
          <cell r="E204" t="str">
            <v>ISBL</v>
          </cell>
          <cell r="J204" t="str">
            <v>3</v>
          </cell>
          <cell r="K204">
            <v>690</v>
          </cell>
          <cell r="L204" t="str">
            <v>AC</v>
          </cell>
          <cell r="M204" t="str">
            <v>M</v>
          </cell>
          <cell r="N204" t="str">
            <v>N</v>
          </cell>
          <cell r="O204" t="str">
            <v/>
          </cell>
          <cell r="P204" t="str">
            <v>4850-MDB-204B</v>
          </cell>
          <cell r="Q204" t="str">
            <v>S</v>
          </cell>
          <cell r="S204">
            <v>9.9</v>
          </cell>
          <cell r="T204">
            <v>11</v>
          </cell>
          <cell r="X204">
            <v>0.89500000000000002</v>
          </cell>
          <cell r="Y204">
            <v>0.85</v>
          </cell>
        </row>
        <row r="205">
          <cell r="A205">
            <v>0</v>
          </cell>
          <cell r="B205" t="str">
            <v>MR-025-2A</v>
          </cell>
          <cell r="C205" t="str">
            <v>Lube Oil Heater</v>
          </cell>
          <cell r="D205" t="str">
            <v>x</v>
          </cell>
          <cell r="E205" t="str">
            <v>ISBL</v>
          </cell>
          <cell r="J205" t="str">
            <v>3</v>
          </cell>
          <cell r="K205">
            <v>690</v>
          </cell>
          <cell r="L205" t="str">
            <v>AC</v>
          </cell>
          <cell r="M205" t="str">
            <v>M</v>
          </cell>
          <cell r="N205" t="str">
            <v>N</v>
          </cell>
          <cell r="O205" t="str">
            <v/>
          </cell>
          <cell r="P205" t="str">
            <v>4850-MDB-204B</v>
          </cell>
          <cell r="Q205" t="str">
            <v>I</v>
          </cell>
          <cell r="S205">
            <v>4.5</v>
          </cell>
          <cell r="T205">
            <v>5</v>
          </cell>
          <cell r="X205">
            <v>0.85</v>
          </cell>
          <cell r="Y205">
            <v>0.85</v>
          </cell>
        </row>
        <row r="206">
          <cell r="A206">
            <v>0</v>
          </cell>
          <cell r="B206" t="str">
            <v>MR-025-2B</v>
          </cell>
          <cell r="C206" t="str">
            <v>Lube Oil Heater</v>
          </cell>
          <cell r="D206" t="str">
            <v>x</v>
          </cell>
          <cell r="E206" t="str">
            <v>ISBL</v>
          </cell>
          <cell r="J206" t="str">
            <v>3</v>
          </cell>
          <cell r="K206">
            <v>690</v>
          </cell>
          <cell r="L206" t="str">
            <v>AC</v>
          </cell>
          <cell r="M206" t="str">
            <v>F</v>
          </cell>
          <cell r="N206" t="str">
            <v>N</v>
          </cell>
          <cell r="O206" t="str">
            <v/>
          </cell>
          <cell r="P206" t="str">
            <v>4850-MDB-204A</v>
          </cell>
          <cell r="Q206" t="str">
            <v>I</v>
          </cell>
          <cell r="S206">
            <v>4.5</v>
          </cell>
          <cell r="T206">
            <v>5</v>
          </cell>
          <cell r="X206">
            <v>1</v>
          </cell>
          <cell r="Y206">
            <v>0.85</v>
          </cell>
        </row>
        <row r="207">
          <cell r="A207">
            <v>0</v>
          </cell>
          <cell r="B207" t="str">
            <v>MR-025-3A</v>
          </cell>
          <cell r="C207" t="str">
            <v>Lube Oil Pump</v>
          </cell>
          <cell r="D207" t="str">
            <v>x</v>
          </cell>
          <cell r="E207" t="str">
            <v>ISBL</v>
          </cell>
          <cell r="J207" t="str">
            <v>3</v>
          </cell>
          <cell r="K207">
            <v>690</v>
          </cell>
          <cell r="L207" t="str">
            <v>AC</v>
          </cell>
          <cell r="M207" t="str">
            <v>M</v>
          </cell>
          <cell r="N207" t="str">
            <v>N</v>
          </cell>
          <cell r="O207" t="str">
            <v/>
          </cell>
          <cell r="P207" t="str">
            <v>4850-MDB-204A</v>
          </cell>
          <cell r="Q207" t="str">
            <v>S</v>
          </cell>
          <cell r="S207">
            <v>9.9</v>
          </cell>
          <cell r="T207">
            <v>11</v>
          </cell>
          <cell r="X207">
            <v>0.89500000000000002</v>
          </cell>
          <cell r="Y207">
            <v>0.85</v>
          </cell>
        </row>
        <row r="208">
          <cell r="A208">
            <v>0</v>
          </cell>
          <cell r="B208" t="str">
            <v>MR-025-3B</v>
          </cell>
          <cell r="C208" t="str">
            <v>Lube Oil Pump</v>
          </cell>
          <cell r="D208" t="str">
            <v>x</v>
          </cell>
          <cell r="E208" t="str">
            <v>ISBL</v>
          </cell>
          <cell r="J208" t="str">
            <v>3</v>
          </cell>
          <cell r="K208">
            <v>690</v>
          </cell>
          <cell r="L208" t="str">
            <v>AC</v>
          </cell>
          <cell r="M208" t="str">
            <v>M</v>
          </cell>
          <cell r="N208" t="str">
            <v>N</v>
          </cell>
          <cell r="O208" t="str">
            <v/>
          </cell>
          <cell r="P208" t="str">
            <v>4850-MDB-204B</v>
          </cell>
          <cell r="Q208" t="str">
            <v>S</v>
          </cell>
          <cell r="S208">
            <v>9.9</v>
          </cell>
          <cell r="T208">
            <v>11</v>
          </cell>
          <cell r="X208">
            <v>0.89500000000000002</v>
          </cell>
          <cell r="Y208">
            <v>0.85</v>
          </cell>
        </row>
        <row r="209">
          <cell r="A209">
            <v>0</v>
          </cell>
          <cell r="B209" t="str">
            <v>MR-025-3C</v>
          </cell>
          <cell r="C209" t="str">
            <v>Lube Oil Pump</v>
          </cell>
          <cell r="D209" t="str">
            <v>x</v>
          </cell>
          <cell r="E209" t="str">
            <v>ISBL</v>
          </cell>
          <cell r="J209" t="str">
            <v>3</v>
          </cell>
          <cell r="K209">
            <v>690</v>
          </cell>
          <cell r="L209" t="str">
            <v>AC</v>
          </cell>
          <cell r="M209" t="str">
            <v>M</v>
          </cell>
          <cell r="N209" t="str">
            <v>N</v>
          </cell>
          <cell r="O209" t="str">
            <v/>
          </cell>
          <cell r="P209" t="str">
            <v>4850-MDB-204A</v>
          </cell>
          <cell r="Q209" t="str">
            <v>S</v>
          </cell>
          <cell r="S209">
            <v>9.9</v>
          </cell>
          <cell r="T209">
            <v>11</v>
          </cell>
          <cell r="X209">
            <v>0.89500000000000002</v>
          </cell>
          <cell r="Y209">
            <v>0.85</v>
          </cell>
        </row>
        <row r="210">
          <cell r="A210">
            <v>0</v>
          </cell>
          <cell r="B210" t="str">
            <v>MR-025-4A</v>
          </cell>
          <cell r="C210" t="str">
            <v>Lube Oil Heater</v>
          </cell>
          <cell r="D210" t="str">
            <v>x</v>
          </cell>
          <cell r="E210" t="str">
            <v>ISBL</v>
          </cell>
          <cell r="J210" t="str">
            <v>3</v>
          </cell>
          <cell r="K210">
            <v>690</v>
          </cell>
          <cell r="L210" t="str">
            <v>AC</v>
          </cell>
          <cell r="M210" t="str">
            <v>F</v>
          </cell>
          <cell r="N210" t="str">
            <v>N</v>
          </cell>
          <cell r="O210" t="str">
            <v/>
          </cell>
          <cell r="P210" t="str">
            <v>4850-MDB-204B</v>
          </cell>
          <cell r="Q210" t="str">
            <v>I</v>
          </cell>
          <cell r="S210">
            <v>4.5</v>
          </cell>
          <cell r="T210">
            <v>5</v>
          </cell>
          <cell r="X210">
            <v>1</v>
          </cell>
          <cell r="Y210">
            <v>0.85</v>
          </cell>
        </row>
        <row r="211">
          <cell r="A211">
            <v>0</v>
          </cell>
          <cell r="B211" t="str">
            <v>MR-025-4B</v>
          </cell>
          <cell r="C211" t="str">
            <v>Lube Oil Heater</v>
          </cell>
          <cell r="D211" t="str">
            <v>x</v>
          </cell>
          <cell r="E211" t="str">
            <v>ISBL</v>
          </cell>
          <cell r="J211" t="str">
            <v>3</v>
          </cell>
          <cell r="K211">
            <v>690</v>
          </cell>
          <cell r="L211" t="str">
            <v>AC</v>
          </cell>
          <cell r="M211" t="str">
            <v>F</v>
          </cell>
          <cell r="N211" t="str">
            <v>N</v>
          </cell>
          <cell r="O211" t="str">
            <v/>
          </cell>
          <cell r="P211" t="str">
            <v>4850-MDB-204A</v>
          </cell>
          <cell r="Q211" t="str">
            <v>I</v>
          </cell>
          <cell r="S211">
            <v>4.5</v>
          </cell>
          <cell r="T211">
            <v>5</v>
          </cell>
          <cell r="X211">
            <v>1</v>
          </cell>
          <cell r="Y211">
            <v>0.85</v>
          </cell>
        </row>
        <row r="212">
          <cell r="A212">
            <v>0</v>
          </cell>
          <cell r="B212" t="str">
            <v>MR-025-4C</v>
          </cell>
          <cell r="C212" t="str">
            <v>Lube Oil Heater</v>
          </cell>
          <cell r="D212" t="str">
            <v>x</v>
          </cell>
          <cell r="E212" t="str">
            <v>ISBL</v>
          </cell>
          <cell r="J212" t="str">
            <v>3</v>
          </cell>
          <cell r="K212">
            <v>690</v>
          </cell>
          <cell r="L212" t="str">
            <v>AC</v>
          </cell>
          <cell r="M212" t="str">
            <v>F</v>
          </cell>
          <cell r="N212" t="str">
            <v>N</v>
          </cell>
          <cell r="O212" t="str">
            <v/>
          </cell>
          <cell r="P212" t="str">
            <v>4850-MDB-204B</v>
          </cell>
          <cell r="Q212" t="str">
            <v>S</v>
          </cell>
          <cell r="S212">
            <v>4.5</v>
          </cell>
          <cell r="T212">
            <v>5</v>
          </cell>
          <cell r="X212">
            <v>1</v>
          </cell>
          <cell r="Y212">
            <v>0.85</v>
          </cell>
        </row>
        <row r="213">
          <cell r="A213" t="str">
            <v>LAO</v>
          </cell>
          <cell r="B213" t="str">
            <v xml:space="preserve">51-E-1004 </v>
          </cell>
          <cell r="C213" t="str">
            <v>Nitrogen Heater</v>
          </cell>
          <cell r="D213">
            <v>5102</v>
          </cell>
          <cell r="E213" t="str">
            <v>ISBL</v>
          </cell>
          <cell r="J213" t="str">
            <v>3</v>
          </cell>
          <cell r="K213">
            <v>690</v>
          </cell>
          <cell r="L213" t="str">
            <v>AC</v>
          </cell>
          <cell r="M213" t="str">
            <v>F</v>
          </cell>
          <cell r="N213" t="str">
            <v>N</v>
          </cell>
          <cell r="O213" t="str">
            <v/>
          </cell>
          <cell r="P213" t="str">
            <v>4850-MDB-204A</v>
          </cell>
          <cell r="Q213" t="str">
            <v>C</v>
          </cell>
          <cell r="S213">
            <v>157.5</v>
          </cell>
          <cell r="T213">
            <v>175</v>
          </cell>
          <cell r="X213">
            <v>1</v>
          </cell>
          <cell r="Y213">
            <v>1</v>
          </cell>
        </row>
        <row r="214">
          <cell r="A214" t="str">
            <v>LAO</v>
          </cell>
          <cell r="B214" t="str">
            <v xml:space="preserve">51-E-1008 </v>
          </cell>
          <cell r="C214" t="str">
            <v>Gear Motor of TFE for Thin Film Evaporator</v>
          </cell>
          <cell r="D214" t="str">
            <v>x</v>
          </cell>
          <cell r="E214" t="str">
            <v>ISBL</v>
          </cell>
          <cell r="J214" t="str">
            <v>3</v>
          </cell>
          <cell r="K214">
            <v>690</v>
          </cell>
          <cell r="L214" t="str">
            <v>AC</v>
          </cell>
          <cell r="M214" t="str">
            <v>F</v>
          </cell>
          <cell r="N214" t="str">
            <v>N</v>
          </cell>
          <cell r="O214" t="str">
            <v/>
          </cell>
          <cell r="P214" t="str">
            <v>4850-MDB-204B</v>
          </cell>
          <cell r="Q214" t="str">
            <v>C</v>
          </cell>
          <cell r="S214">
            <v>19.8</v>
          </cell>
          <cell r="T214">
            <v>22</v>
          </cell>
          <cell r="X214">
            <v>1</v>
          </cell>
          <cell r="Y214">
            <v>1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 t="str">
            <v>ISBL</v>
          </cell>
          <cell r="J215" t="str">
            <v>3</v>
          </cell>
          <cell r="K215">
            <v>0</v>
          </cell>
          <cell r="L215" t="str">
            <v>AC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S215">
            <v>0</v>
          </cell>
          <cell r="T215">
            <v>0</v>
          </cell>
          <cell r="X215">
            <v>0</v>
          </cell>
          <cell r="Y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 t="str">
            <v>ISBL</v>
          </cell>
          <cell r="J216" t="str">
            <v>3</v>
          </cell>
          <cell r="K216">
            <v>0</v>
          </cell>
          <cell r="L216" t="str">
            <v>AC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S216">
            <v>0</v>
          </cell>
          <cell r="T216">
            <v>0</v>
          </cell>
          <cell r="X216">
            <v>0</v>
          </cell>
          <cell r="Y216">
            <v>0</v>
          </cell>
        </row>
        <row r="217">
          <cell r="A217">
            <v>0</v>
          </cell>
          <cell r="B217" t="str">
            <v>51-P-1004</v>
          </cell>
          <cell r="C217" t="str">
            <v>Passivation Pump</v>
          </cell>
          <cell r="D217">
            <v>5101</v>
          </cell>
          <cell r="E217" t="str">
            <v>ISBL</v>
          </cell>
          <cell r="J217" t="str">
            <v>3</v>
          </cell>
          <cell r="K217">
            <v>690</v>
          </cell>
          <cell r="L217" t="str">
            <v>AC</v>
          </cell>
          <cell r="M217" t="str">
            <v>M</v>
          </cell>
          <cell r="N217" t="str">
            <v>N</v>
          </cell>
          <cell r="O217" t="str">
            <v/>
          </cell>
          <cell r="P217" t="str">
            <v>4850-MDB-205A</v>
          </cell>
          <cell r="Q217" t="str">
            <v>C</v>
          </cell>
          <cell r="S217">
            <v>4.95</v>
          </cell>
          <cell r="T217">
            <v>5.5</v>
          </cell>
          <cell r="X217">
            <v>0.87</v>
          </cell>
          <cell r="Y217">
            <v>0.85</v>
          </cell>
        </row>
        <row r="218">
          <cell r="A218">
            <v>0</v>
          </cell>
          <cell r="B218" t="str">
            <v>51-P-1006A</v>
          </cell>
          <cell r="C218" t="str">
            <v>Reactor Effluent Pumps</v>
          </cell>
          <cell r="D218">
            <v>5102</v>
          </cell>
          <cell r="E218" t="str">
            <v>ISBL</v>
          </cell>
          <cell r="J218" t="str">
            <v>3</v>
          </cell>
          <cell r="K218">
            <v>690</v>
          </cell>
          <cell r="L218" t="str">
            <v>AC</v>
          </cell>
          <cell r="M218" t="str">
            <v>M</v>
          </cell>
          <cell r="N218" t="str">
            <v>N</v>
          </cell>
          <cell r="O218" t="str">
            <v/>
          </cell>
          <cell r="P218" t="str">
            <v>4850-MDB-205B</v>
          </cell>
          <cell r="Q218" t="str">
            <v>C</v>
          </cell>
          <cell r="S218">
            <v>8.25</v>
          </cell>
          <cell r="T218">
            <v>11</v>
          </cell>
          <cell r="X218">
            <v>0.89500000000000002</v>
          </cell>
          <cell r="Y218">
            <v>0.85</v>
          </cell>
        </row>
        <row r="219">
          <cell r="A219">
            <v>0</v>
          </cell>
          <cell r="B219" t="str">
            <v>51-P-1006B</v>
          </cell>
          <cell r="C219" t="str">
            <v>Reactor Effluent Pumps</v>
          </cell>
          <cell r="D219">
            <v>5102</v>
          </cell>
          <cell r="E219" t="str">
            <v>ISBL</v>
          </cell>
          <cell r="J219" t="str">
            <v>3</v>
          </cell>
          <cell r="K219">
            <v>690</v>
          </cell>
          <cell r="L219" t="str">
            <v>AC</v>
          </cell>
          <cell r="M219" t="str">
            <v>M</v>
          </cell>
          <cell r="N219" t="str">
            <v>N</v>
          </cell>
          <cell r="O219" t="str">
            <v/>
          </cell>
          <cell r="P219" t="str">
            <v>4850-MDB-205A</v>
          </cell>
          <cell r="Q219" t="str">
            <v>S</v>
          </cell>
          <cell r="S219">
            <v>8.25</v>
          </cell>
          <cell r="T219">
            <v>11</v>
          </cell>
          <cell r="X219">
            <v>0.89500000000000002</v>
          </cell>
          <cell r="Y219">
            <v>0.85</v>
          </cell>
        </row>
        <row r="220">
          <cell r="A220">
            <v>0</v>
          </cell>
          <cell r="B220" t="str">
            <v>51-P-2002A</v>
          </cell>
          <cell r="C220" t="str">
            <v>Recycle Column Reflux Pumps</v>
          </cell>
          <cell r="D220">
            <v>5102</v>
          </cell>
          <cell r="E220" t="str">
            <v>ISBL</v>
          </cell>
          <cell r="J220" t="str">
            <v>3</v>
          </cell>
          <cell r="K220">
            <v>690</v>
          </cell>
          <cell r="L220" t="str">
            <v>AC</v>
          </cell>
          <cell r="M220" t="str">
            <v>M</v>
          </cell>
          <cell r="N220" t="str">
            <v>N</v>
          </cell>
          <cell r="O220" t="str">
            <v/>
          </cell>
          <cell r="P220" t="str">
            <v>4850-MDB-205B</v>
          </cell>
          <cell r="Q220" t="str">
            <v>C</v>
          </cell>
          <cell r="S220">
            <v>3</v>
          </cell>
          <cell r="T220">
            <v>4</v>
          </cell>
          <cell r="X220">
            <v>0.85</v>
          </cell>
          <cell r="Y220">
            <v>0.85</v>
          </cell>
        </row>
        <row r="221">
          <cell r="A221">
            <v>0</v>
          </cell>
          <cell r="B221" t="str">
            <v>51-P-2002B</v>
          </cell>
          <cell r="C221" t="str">
            <v>Recycle Column Reflux Pumps</v>
          </cell>
          <cell r="D221">
            <v>5102</v>
          </cell>
          <cell r="E221" t="str">
            <v>ISBL</v>
          </cell>
          <cell r="J221" t="str">
            <v>3</v>
          </cell>
          <cell r="K221">
            <v>690</v>
          </cell>
          <cell r="L221" t="str">
            <v>AC</v>
          </cell>
          <cell r="M221" t="str">
            <v>M</v>
          </cell>
          <cell r="N221" t="str">
            <v>N</v>
          </cell>
          <cell r="O221" t="str">
            <v/>
          </cell>
          <cell r="P221" t="str">
            <v>4850-MDB-205A</v>
          </cell>
          <cell r="Q221" t="str">
            <v>S</v>
          </cell>
          <cell r="S221">
            <v>3</v>
          </cell>
          <cell r="T221">
            <v>4</v>
          </cell>
          <cell r="X221">
            <v>0.85</v>
          </cell>
          <cell r="Y221">
            <v>0.85</v>
          </cell>
        </row>
        <row r="222">
          <cell r="A222">
            <v>0</v>
          </cell>
          <cell r="B222" t="str">
            <v>51-P-2004A</v>
          </cell>
          <cell r="C222" t="str">
            <v>Butene-1 Column Reflux Pumps</v>
          </cell>
          <cell r="D222">
            <v>5102</v>
          </cell>
          <cell r="E222" t="str">
            <v>ISBL</v>
          </cell>
          <cell r="J222" t="str">
            <v>3</v>
          </cell>
          <cell r="K222">
            <v>690</v>
          </cell>
          <cell r="L222" t="str">
            <v>AC</v>
          </cell>
          <cell r="M222" t="str">
            <v>M</v>
          </cell>
          <cell r="N222" t="str">
            <v>N</v>
          </cell>
          <cell r="O222" t="str">
            <v/>
          </cell>
          <cell r="P222" t="str">
            <v>4850-MDB-205B</v>
          </cell>
          <cell r="Q222" t="str">
            <v>C</v>
          </cell>
          <cell r="S222">
            <v>5.625</v>
          </cell>
          <cell r="T222">
            <v>7.5</v>
          </cell>
          <cell r="X222">
            <v>0.88200000000000001</v>
          </cell>
          <cell r="Y222">
            <v>0.85</v>
          </cell>
        </row>
        <row r="223">
          <cell r="A223">
            <v>0</v>
          </cell>
          <cell r="B223" t="str">
            <v>51-P-2004B</v>
          </cell>
          <cell r="C223" t="str">
            <v>Butene-1 Column Reflux Pumps</v>
          </cell>
          <cell r="D223">
            <v>5102</v>
          </cell>
          <cell r="E223" t="str">
            <v>ISBL</v>
          </cell>
          <cell r="J223" t="str">
            <v>3</v>
          </cell>
          <cell r="K223">
            <v>690</v>
          </cell>
          <cell r="L223" t="str">
            <v>AC</v>
          </cell>
          <cell r="M223" t="str">
            <v>M</v>
          </cell>
          <cell r="N223" t="str">
            <v>N</v>
          </cell>
          <cell r="O223" t="str">
            <v/>
          </cell>
          <cell r="P223" t="str">
            <v>4850-MDB-205A</v>
          </cell>
          <cell r="Q223" t="str">
            <v>S</v>
          </cell>
          <cell r="S223">
            <v>5.625</v>
          </cell>
          <cell r="T223">
            <v>7.5</v>
          </cell>
          <cell r="X223">
            <v>0.88200000000000001</v>
          </cell>
          <cell r="Y223">
            <v>0.85</v>
          </cell>
        </row>
        <row r="224">
          <cell r="A224">
            <v>0</v>
          </cell>
          <cell r="B224" t="str">
            <v>51-P-2007A</v>
          </cell>
          <cell r="C224" t="str">
            <v>Butene-1 Product Pumps</v>
          </cell>
          <cell r="D224">
            <v>5102</v>
          </cell>
          <cell r="E224" t="str">
            <v>ISBL</v>
          </cell>
          <cell r="J224" t="str">
            <v>3</v>
          </cell>
          <cell r="K224">
            <v>690</v>
          </cell>
          <cell r="L224" t="str">
            <v>AC</v>
          </cell>
          <cell r="M224" t="str">
            <v>M</v>
          </cell>
          <cell r="N224" t="str">
            <v>N</v>
          </cell>
          <cell r="O224" t="str">
            <v/>
          </cell>
          <cell r="P224" t="str">
            <v>4850-MDB-205B</v>
          </cell>
          <cell r="Q224" t="str">
            <v>C</v>
          </cell>
          <cell r="S224">
            <v>13.875</v>
          </cell>
          <cell r="T224">
            <v>18.5</v>
          </cell>
          <cell r="X224">
            <v>0.90700000000000003</v>
          </cell>
          <cell r="Y224">
            <v>0.85</v>
          </cell>
        </row>
        <row r="225">
          <cell r="A225">
            <v>0</v>
          </cell>
          <cell r="B225" t="str">
            <v>51-P-2007B</v>
          </cell>
          <cell r="C225" t="str">
            <v>Butene-1 Product Pumps</v>
          </cell>
          <cell r="D225">
            <v>5101</v>
          </cell>
          <cell r="E225" t="str">
            <v>ISBL</v>
          </cell>
          <cell r="J225" t="str">
            <v>3</v>
          </cell>
          <cell r="K225">
            <v>690</v>
          </cell>
          <cell r="L225" t="str">
            <v>AC</v>
          </cell>
          <cell r="M225" t="str">
            <v>M</v>
          </cell>
          <cell r="N225" t="str">
            <v>N</v>
          </cell>
          <cell r="O225" t="str">
            <v/>
          </cell>
          <cell r="P225" t="str">
            <v>4850-MDB-205A</v>
          </cell>
          <cell r="Q225" t="str">
            <v>C</v>
          </cell>
          <cell r="S225">
            <v>13.875</v>
          </cell>
          <cell r="T225">
            <v>18.5</v>
          </cell>
          <cell r="X225">
            <v>0.90700000000000003</v>
          </cell>
          <cell r="Y225">
            <v>0.85</v>
          </cell>
        </row>
        <row r="226">
          <cell r="A226">
            <v>0</v>
          </cell>
          <cell r="B226" t="str">
            <v>51-P-2007C</v>
          </cell>
          <cell r="C226" t="str">
            <v>Butene-1 Product Pumps</v>
          </cell>
          <cell r="D226">
            <v>5101</v>
          </cell>
          <cell r="E226" t="str">
            <v>ISBL</v>
          </cell>
          <cell r="J226" t="str">
            <v>3</v>
          </cell>
          <cell r="K226">
            <v>690</v>
          </cell>
          <cell r="L226" t="str">
            <v>AC</v>
          </cell>
          <cell r="M226" t="str">
            <v>M</v>
          </cell>
          <cell r="N226" t="str">
            <v>N</v>
          </cell>
          <cell r="O226" t="str">
            <v/>
          </cell>
          <cell r="P226" t="str">
            <v>4850-MDB-205B</v>
          </cell>
          <cell r="Q226" t="str">
            <v>S</v>
          </cell>
          <cell r="S226">
            <v>13.875</v>
          </cell>
          <cell r="T226">
            <v>18.5</v>
          </cell>
          <cell r="X226">
            <v>0.90700000000000003</v>
          </cell>
          <cell r="Y226">
            <v>0.85</v>
          </cell>
        </row>
        <row r="227">
          <cell r="A227">
            <v>0</v>
          </cell>
          <cell r="B227" t="str">
            <v>51-P-2006A</v>
          </cell>
          <cell r="C227" t="str">
            <v>C5+ Product Pumps</v>
          </cell>
          <cell r="D227">
            <v>5101</v>
          </cell>
          <cell r="E227" t="str">
            <v>ISBL</v>
          </cell>
          <cell r="J227" t="str">
            <v>3</v>
          </cell>
          <cell r="K227">
            <v>690</v>
          </cell>
          <cell r="L227" t="str">
            <v>AC</v>
          </cell>
          <cell r="M227" t="str">
            <v>M</v>
          </cell>
          <cell r="N227" t="str">
            <v>N</v>
          </cell>
          <cell r="O227" t="str">
            <v/>
          </cell>
          <cell r="P227" t="str">
            <v>4850-MDB-205A</v>
          </cell>
          <cell r="Q227" t="str">
            <v>C</v>
          </cell>
          <cell r="S227">
            <v>5.6</v>
          </cell>
          <cell r="T227">
            <v>7.5</v>
          </cell>
          <cell r="X227">
            <v>0.88200000000000001</v>
          </cell>
          <cell r="Y227">
            <v>0.85</v>
          </cell>
        </row>
        <row r="228">
          <cell r="A228">
            <v>0</v>
          </cell>
          <cell r="B228" t="str">
            <v>51-P-2006B</v>
          </cell>
          <cell r="C228" t="str">
            <v>C5+ Product Pumps</v>
          </cell>
          <cell r="D228">
            <v>5101</v>
          </cell>
          <cell r="E228" t="str">
            <v>ISBL</v>
          </cell>
          <cell r="J228" t="str">
            <v>3</v>
          </cell>
          <cell r="K228">
            <v>690</v>
          </cell>
          <cell r="L228" t="str">
            <v>AC</v>
          </cell>
          <cell r="M228" t="str">
            <v>M</v>
          </cell>
          <cell r="N228" t="str">
            <v>N</v>
          </cell>
          <cell r="O228" t="str">
            <v/>
          </cell>
          <cell r="P228" t="str">
            <v>4850-MDB-205B</v>
          </cell>
          <cell r="Q228" t="str">
            <v>S</v>
          </cell>
          <cell r="S228">
            <v>5.6</v>
          </cell>
          <cell r="T228">
            <v>7.5</v>
          </cell>
          <cell r="X228">
            <v>0.88200000000000001</v>
          </cell>
          <cell r="Y228">
            <v>0.85</v>
          </cell>
        </row>
        <row r="229">
          <cell r="A229">
            <v>0</v>
          </cell>
          <cell r="B229" t="str">
            <v>51-P-2001A</v>
          </cell>
          <cell r="C229" t="str">
            <v>Recycle Column Feed Pumps</v>
          </cell>
          <cell r="D229">
            <v>5102</v>
          </cell>
          <cell r="E229" t="str">
            <v>ISBL</v>
          </cell>
          <cell r="J229" t="str">
            <v>3</v>
          </cell>
          <cell r="K229">
            <v>690</v>
          </cell>
          <cell r="L229" t="str">
            <v>AC</v>
          </cell>
          <cell r="M229" t="str">
            <v>M</v>
          </cell>
          <cell r="N229" t="str">
            <v>N</v>
          </cell>
          <cell r="O229" t="str">
            <v/>
          </cell>
          <cell r="P229" t="str">
            <v>4850-MDB-205A</v>
          </cell>
          <cell r="Q229" t="str">
            <v>C</v>
          </cell>
          <cell r="S229">
            <v>23.3</v>
          </cell>
          <cell r="T229">
            <v>30</v>
          </cell>
          <cell r="X229">
            <v>0.92</v>
          </cell>
          <cell r="Y229">
            <v>0.85</v>
          </cell>
        </row>
        <row r="230">
          <cell r="A230">
            <v>0</v>
          </cell>
          <cell r="B230" t="str">
            <v>51-P-2001B</v>
          </cell>
          <cell r="C230" t="str">
            <v>Recycle Column Feed Pumps</v>
          </cell>
          <cell r="D230">
            <v>5102</v>
          </cell>
          <cell r="E230" t="str">
            <v>ISBL</v>
          </cell>
          <cell r="J230" t="str">
            <v>3</v>
          </cell>
          <cell r="K230">
            <v>690</v>
          </cell>
          <cell r="L230" t="str">
            <v>AC</v>
          </cell>
          <cell r="M230" t="str">
            <v>M</v>
          </cell>
          <cell r="N230" t="str">
            <v>N</v>
          </cell>
          <cell r="O230" t="str">
            <v/>
          </cell>
          <cell r="P230" t="str">
            <v>4850-MDB-205B</v>
          </cell>
          <cell r="Q230" t="str">
            <v>S</v>
          </cell>
          <cell r="S230">
            <v>23.3</v>
          </cell>
          <cell r="T230">
            <v>30</v>
          </cell>
          <cell r="X230">
            <v>0.92</v>
          </cell>
          <cell r="Y230">
            <v>0.85</v>
          </cell>
        </row>
        <row r="231">
          <cell r="A231">
            <v>0</v>
          </cell>
          <cell r="B231" t="str">
            <v>56-P-1001A</v>
          </cell>
          <cell r="C231" t="str">
            <v>Condensate Knockout Pot Pump</v>
          </cell>
          <cell r="D231">
            <v>5101</v>
          </cell>
          <cell r="E231" t="str">
            <v>ISBL</v>
          </cell>
          <cell r="J231" t="str">
            <v>3</v>
          </cell>
          <cell r="K231">
            <v>690</v>
          </cell>
          <cell r="L231" t="str">
            <v>AC</v>
          </cell>
          <cell r="M231" t="str">
            <v>M</v>
          </cell>
          <cell r="N231" t="str">
            <v>N</v>
          </cell>
          <cell r="O231">
            <v>0</v>
          </cell>
          <cell r="P231" t="str">
            <v>4850-MDB-205A</v>
          </cell>
          <cell r="Q231" t="str">
            <v>C</v>
          </cell>
          <cell r="S231">
            <v>18</v>
          </cell>
          <cell r="T231">
            <v>20</v>
          </cell>
          <cell r="X231">
            <v>0.90700000000000003</v>
          </cell>
          <cell r="Y231">
            <v>0.85</v>
          </cell>
        </row>
        <row r="232">
          <cell r="A232">
            <v>0</v>
          </cell>
          <cell r="B232" t="str">
            <v>56-P-1001B</v>
          </cell>
          <cell r="C232" t="str">
            <v>Condensate Knockout Pot Pump</v>
          </cell>
          <cell r="D232">
            <v>5101</v>
          </cell>
          <cell r="E232" t="str">
            <v>ISBL</v>
          </cell>
          <cell r="J232" t="str">
            <v>3</v>
          </cell>
          <cell r="K232">
            <v>690</v>
          </cell>
          <cell r="L232" t="str">
            <v>AC</v>
          </cell>
          <cell r="M232" t="str">
            <v>M</v>
          </cell>
          <cell r="N232" t="str">
            <v>N</v>
          </cell>
          <cell r="O232">
            <v>0</v>
          </cell>
          <cell r="P232" t="str">
            <v>4850-MDB-205B</v>
          </cell>
          <cell r="Q232" t="str">
            <v>S</v>
          </cell>
          <cell r="S232">
            <v>18</v>
          </cell>
          <cell r="T232">
            <v>20</v>
          </cell>
          <cell r="X232">
            <v>0.90700000000000003</v>
          </cell>
          <cell r="Y232">
            <v>0.85</v>
          </cell>
        </row>
        <row r="233">
          <cell r="A233">
            <v>0</v>
          </cell>
          <cell r="B233" t="str">
            <v>56-P-8001A</v>
          </cell>
          <cell r="C233" t="str">
            <v>Waste Storm Water Pump</v>
          </cell>
          <cell r="D233" t="str">
            <v>x</v>
          </cell>
          <cell r="E233" t="str">
            <v>ISBL</v>
          </cell>
          <cell r="J233" t="str">
            <v>3</v>
          </cell>
          <cell r="K233">
            <v>690</v>
          </cell>
          <cell r="L233" t="str">
            <v>AC</v>
          </cell>
          <cell r="M233" t="str">
            <v>M</v>
          </cell>
          <cell r="N233" t="str">
            <v>N</v>
          </cell>
          <cell r="O233">
            <v>0</v>
          </cell>
          <cell r="P233" t="str">
            <v>4850-MDB-205A</v>
          </cell>
          <cell r="Q233" t="str">
            <v>I</v>
          </cell>
          <cell r="S233">
            <v>27</v>
          </cell>
          <cell r="T233">
            <v>30</v>
          </cell>
          <cell r="X233">
            <v>0.92</v>
          </cell>
          <cell r="Y233">
            <v>0.85</v>
          </cell>
        </row>
        <row r="234">
          <cell r="A234">
            <v>0</v>
          </cell>
          <cell r="B234" t="str">
            <v>56-P-8001B</v>
          </cell>
          <cell r="C234" t="str">
            <v>Waste Storm Water Pump</v>
          </cell>
          <cell r="D234" t="str">
            <v>x</v>
          </cell>
          <cell r="E234" t="str">
            <v>ISBL</v>
          </cell>
          <cell r="J234" t="str">
            <v>3</v>
          </cell>
          <cell r="K234">
            <v>690</v>
          </cell>
          <cell r="L234" t="str">
            <v>AC</v>
          </cell>
          <cell r="M234" t="str">
            <v>M</v>
          </cell>
          <cell r="N234" t="str">
            <v>N</v>
          </cell>
          <cell r="O234">
            <v>0</v>
          </cell>
          <cell r="P234" t="str">
            <v>4850-MDB-205B</v>
          </cell>
          <cell r="Q234" t="str">
            <v>S</v>
          </cell>
          <cell r="S234">
            <v>27</v>
          </cell>
          <cell r="T234">
            <v>30</v>
          </cell>
          <cell r="X234">
            <v>0.92</v>
          </cell>
          <cell r="Y234">
            <v>0.85</v>
          </cell>
        </row>
        <row r="235">
          <cell r="A235">
            <v>0</v>
          </cell>
          <cell r="B235" t="str">
            <v>51-P-1005A</v>
          </cell>
          <cell r="C235" t="str">
            <v>Pumpout Pumps</v>
          </cell>
          <cell r="D235">
            <v>5101</v>
          </cell>
          <cell r="E235" t="str">
            <v>ISBL</v>
          </cell>
          <cell r="J235" t="str">
            <v>3</v>
          </cell>
          <cell r="K235">
            <v>690</v>
          </cell>
          <cell r="L235" t="str">
            <v>AC</v>
          </cell>
          <cell r="M235" t="str">
            <v>M</v>
          </cell>
          <cell r="N235" t="str">
            <v>N</v>
          </cell>
          <cell r="O235" t="str">
            <v/>
          </cell>
          <cell r="P235" t="str">
            <v>4850-MDB-205B</v>
          </cell>
          <cell r="Q235" t="str">
            <v>I</v>
          </cell>
          <cell r="S235">
            <v>2.1</v>
          </cell>
          <cell r="T235">
            <v>3</v>
          </cell>
          <cell r="X235">
            <v>0.82099999999999995</v>
          </cell>
          <cell r="Y235">
            <v>0.85</v>
          </cell>
        </row>
        <row r="236">
          <cell r="A236">
            <v>0</v>
          </cell>
          <cell r="B236" t="str">
            <v>51-P-1005B</v>
          </cell>
          <cell r="C236" t="str">
            <v>Pumpout Pumps</v>
          </cell>
          <cell r="D236">
            <v>5101</v>
          </cell>
          <cell r="E236" t="str">
            <v>ISBL</v>
          </cell>
          <cell r="J236" t="str">
            <v>3</v>
          </cell>
          <cell r="K236">
            <v>690</v>
          </cell>
          <cell r="L236" t="str">
            <v>AC</v>
          </cell>
          <cell r="M236" t="str">
            <v>M</v>
          </cell>
          <cell r="N236" t="str">
            <v>N</v>
          </cell>
          <cell r="O236">
            <v>0</v>
          </cell>
          <cell r="P236" t="str">
            <v>4850-MDB-205A</v>
          </cell>
          <cell r="Q236" t="str">
            <v>S</v>
          </cell>
          <cell r="S236">
            <v>2.1</v>
          </cell>
          <cell r="T236">
            <v>3</v>
          </cell>
          <cell r="X236">
            <v>0.82099999999999995</v>
          </cell>
          <cell r="Y236">
            <v>0.85</v>
          </cell>
        </row>
        <row r="237">
          <cell r="A237">
            <v>0</v>
          </cell>
          <cell r="B237" t="str">
            <v>51-PK-1001-1A</v>
          </cell>
          <cell r="C237" t="str">
            <v>TEA Blending Pumps</v>
          </cell>
          <cell r="D237">
            <v>5101</v>
          </cell>
          <cell r="E237" t="str">
            <v>ISBL</v>
          </cell>
          <cell r="J237" t="str">
            <v>3</v>
          </cell>
          <cell r="K237">
            <v>690</v>
          </cell>
          <cell r="L237" t="str">
            <v>AC</v>
          </cell>
          <cell r="M237" t="str">
            <v>M</v>
          </cell>
          <cell r="N237" t="str">
            <v>N</v>
          </cell>
          <cell r="O237">
            <v>0</v>
          </cell>
          <cell r="P237" t="str">
            <v>4850-MDB-205A</v>
          </cell>
          <cell r="Q237" t="str">
            <v>C</v>
          </cell>
          <cell r="S237">
            <v>8.25</v>
          </cell>
          <cell r="T237">
            <v>11</v>
          </cell>
          <cell r="X237">
            <v>0.89500000000000002</v>
          </cell>
          <cell r="Y237">
            <v>0.85</v>
          </cell>
        </row>
        <row r="238">
          <cell r="A238">
            <v>0</v>
          </cell>
          <cell r="B238" t="str">
            <v>51-PK-1001-1B</v>
          </cell>
          <cell r="C238" t="str">
            <v>TEA Blending Pumps</v>
          </cell>
          <cell r="D238">
            <v>5101</v>
          </cell>
          <cell r="E238" t="str">
            <v>ISBL</v>
          </cell>
          <cell r="J238" t="str">
            <v>3</v>
          </cell>
          <cell r="K238">
            <v>690</v>
          </cell>
          <cell r="L238" t="str">
            <v>AC</v>
          </cell>
          <cell r="M238" t="str">
            <v>M</v>
          </cell>
          <cell r="N238" t="str">
            <v>N</v>
          </cell>
          <cell r="O238">
            <v>0</v>
          </cell>
          <cell r="P238" t="str">
            <v>4850-MDB-205B</v>
          </cell>
          <cell r="Q238" t="str">
            <v>S</v>
          </cell>
          <cell r="S238">
            <v>8.25</v>
          </cell>
          <cell r="T238">
            <v>11</v>
          </cell>
          <cell r="X238">
            <v>0.89500000000000002</v>
          </cell>
          <cell r="Y238">
            <v>0.85</v>
          </cell>
        </row>
        <row r="239">
          <cell r="A239" t="str">
            <v>PEU-2</v>
          </cell>
          <cell r="B239" t="str">
            <v>41-E-2000</v>
          </cell>
          <cell r="C239" t="str">
            <v>Ethylene Feed Vaporizer</v>
          </cell>
          <cell r="D239">
            <v>4103</v>
          </cell>
          <cell r="E239" t="str">
            <v>ISBL</v>
          </cell>
          <cell r="J239" t="str">
            <v>3</v>
          </cell>
          <cell r="K239">
            <v>690</v>
          </cell>
          <cell r="L239" t="str">
            <v>AC</v>
          </cell>
          <cell r="M239" t="str">
            <v>F</v>
          </cell>
          <cell r="N239" t="str">
            <v>N</v>
          </cell>
          <cell r="O239" t="str">
            <v/>
          </cell>
          <cell r="P239" t="str">
            <v>4850-MDB-205B</v>
          </cell>
          <cell r="Q239" t="str">
            <v>C</v>
          </cell>
          <cell r="S239">
            <v>160</v>
          </cell>
          <cell r="T239">
            <v>200</v>
          </cell>
          <cell r="X239">
            <v>1</v>
          </cell>
          <cell r="Y239">
            <v>0.85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 t="str">
            <v>ISBL</v>
          </cell>
          <cell r="J240" t="str">
            <v>3</v>
          </cell>
          <cell r="K240">
            <v>0</v>
          </cell>
          <cell r="L240" t="str">
            <v>AC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S240">
            <v>0</v>
          </cell>
          <cell r="T240">
            <v>0</v>
          </cell>
          <cell r="X240">
            <v>0</v>
          </cell>
          <cell r="Y240">
            <v>0</v>
          </cell>
        </row>
        <row r="241">
          <cell r="A241">
            <v>0</v>
          </cell>
          <cell r="B241" t="str">
            <v>4850-XDB-301</v>
          </cell>
          <cell r="C241" t="str">
            <v>Maintenance Receptacle PDP</v>
          </cell>
          <cell r="D241">
            <v>4850</v>
          </cell>
          <cell r="E241" t="str">
            <v>ISBL</v>
          </cell>
          <cell r="J241" t="str">
            <v>3</v>
          </cell>
          <cell r="K241">
            <v>690</v>
          </cell>
          <cell r="L241" t="str">
            <v>AC</v>
          </cell>
          <cell r="M241" t="str">
            <v>F</v>
          </cell>
          <cell r="N241" t="str">
            <v>N</v>
          </cell>
          <cell r="O241">
            <v>0</v>
          </cell>
          <cell r="P241" t="str">
            <v>4850-MDB-205A</v>
          </cell>
          <cell r="Q241" t="str">
            <v>C</v>
          </cell>
          <cell r="S241">
            <v>160</v>
          </cell>
          <cell r="T241">
            <v>200</v>
          </cell>
          <cell r="X241">
            <v>1</v>
          </cell>
          <cell r="Y241">
            <v>0.85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 t="str">
            <v>ISBL</v>
          </cell>
          <cell r="J242" t="str">
            <v>3</v>
          </cell>
          <cell r="K242">
            <v>0</v>
          </cell>
          <cell r="L242" t="str">
            <v>AC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S242">
            <v>0</v>
          </cell>
          <cell r="T242">
            <v>0</v>
          </cell>
          <cell r="X242">
            <v>0</v>
          </cell>
          <cell r="Y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 t="str">
            <v>ISBL</v>
          </cell>
          <cell r="J243" t="str">
            <v>3</v>
          </cell>
          <cell r="K243">
            <v>0</v>
          </cell>
          <cell r="L243" t="str">
            <v>AC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S243">
            <v>0</v>
          </cell>
          <cell r="T243">
            <v>0</v>
          </cell>
          <cell r="X243">
            <v>0</v>
          </cell>
          <cell r="Y243">
            <v>0</v>
          </cell>
        </row>
        <row r="244">
          <cell r="A244" t="str">
            <v>PEU-2</v>
          </cell>
          <cell r="B244" t="str">
            <v>MRR-001</v>
          </cell>
          <cell r="C244" t="str">
            <v>Maintenance Receptacle-Process Area-01</v>
          </cell>
          <cell r="D244">
            <v>0</v>
          </cell>
          <cell r="E244" t="str">
            <v>ISBL</v>
          </cell>
          <cell r="J244" t="str">
            <v>3</v>
          </cell>
          <cell r="K244">
            <v>690</v>
          </cell>
          <cell r="L244" t="str">
            <v>AC</v>
          </cell>
          <cell r="M244" t="str">
            <v>F</v>
          </cell>
          <cell r="N244" t="str">
            <v>N</v>
          </cell>
          <cell r="O244">
            <v>0</v>
          </cell>
          <cell r="P244" t="str">
            <v>4850-XDB-301A</v>
          </cell>
          <cell r="Q244" t="str">
            <v>I</v>
          </cell>
          <cell r="S244">
            <v>100</v>
          </cell>
          <cell r="T244">
            <v>125</v>
          </cell>
          <cell r="X244">
            <v>1</v>
          </cell>
          <cell r="Y244">
            <v>0.85</v>
          </cell>
        </row>
        <row r="245">
          <cell r="A245" t="str">
            <v>PEU-2</v>
          </cell>
          <cell r="B245" t="str">
            <v>MRR-002</v>
          </cell>
          <cell r="C245" t="str">
            <v>Maintenance Receptacle-Process Area-02</v>
          </cell>
          <cell r="D245">
            <v>0</v>
          </cell>
          <cell r="E245" t="str">
            <v>ISBL</v>
          </cell>
          <cell r="J245" t="str">
            <v>3</v>
          </cell>
          <cell r="K245">
            <v>690</v>
          </cell>
          <cell r="L245" t="str">
            <v>AC</v>
          </cell>
          <cell r="M245" t="str">
            <v>F</v>
          </cell>
          <cell r="N245" t="str">
            <v>N</v>
          </cell>
          <cell r="O245">
            <v>0</v>
          </cell>
          <cell r="P245" t="str">
            <v>4850-XDB-301A</v>
          </cell>
          <cell r="Q245" t="str">
            <v>I</v>
          </cell>
          <cell r="S245">
            <v>100</v>
          </cell>
          <cell r="T245">
            <v>125</v>
          </cell>
          <cell r="X245">
            <v>1</v>
          </cell>
          <cell r="Y245">
            <v>0.85</v>
          </cell>
        </row>
        <row r="246">
          <cell r="A246" t="str">
            <v>PEU-2</v>
          </cell>
          <cell r="B246" t="str">
            <v>MRR-003</v>
          </cell>
          <cell r="C246" t="str">
            <v>Maintenance Receptacle-Process Area-03</v>
          </cell>
          <cell r="D246">
            <v>0</v>
          </cell>
          <cell r="E246" t="str">
            <v>ISBL</v>
          </cell>
          <cell r="J246" t="str">
            <v>3</v>
          </cell>
          <cell r="K246">
            <v>690</v>
          </cell>
          <cell r="L246" t="str">
            <v>AC</v>
          </cell>
          <cell r="M246" t="str">
            <v>F</v>
          </cell>
          <cell r="N246" t="str">
            <v>N</v>
          </cell>
          <cell r="O246">
            <v>0</v>
          </cell>
          <cell r="P246" t="str">
            <v>4850-XDB-301A</v>
          </cell>
          <cell r="Q246" t="str">
            <v>I</v>
          </cell>
          <cell r="S246">
            <v>100</v>
          </cell>
          <cell r="T246">
            <v>125</v>
          </cell>
          <cell r="X246">
            <v>1</v>
          </cell>
          <cell r="Y246">
            <v>0.85</v>
          </cell>
        </row>
        <row r="247">
          <cell r="A247" t="str">
            <v>PEU-2</v>
          </cell>
          <cell r="B247" t="str">
            <v>MRR-004</v>
          </cell>
          <cell r="C247" t="str">
            <v>Maintenance Receptacle-Process Area-04</v>
          </cell>
          <cell r="D247">
            <v>0</v>
          </cell>
          <cell r="E247" t="str">
            <v>ISBL</v>
          </cell>
          <cell r="J247" t="str">
            <v>3</v>
          </cell>
          <cell r="K247">
            <v>690</v>
          </cell>
          <cell r="L247" t="str">
            <v>AC</v>
          </cell>
          <cell r="M247" t="str">
            <v>F</v>
          </cell>
          <cell r="N247" t="str">
            <v>N</v>
          </cell>
          <cell r="O247">
            <v>0</v>
          </cell>
          <cell r="P247" t="str">
            <v>4850-XDB-301A</v>
          </cell>
          <cell r="Q247" t="str">
            <v>I</v>
          </cell>
          <cell r="S247">
            <v>100</v>
          </cell>
          <cell r="T247">
            <v>125</v>
          </cell>
          <cell r="X247">
            <v>1</v>
          </cell>
          <cell r="Y247">
            <v>0.85</v>
          </cell>
        </row>
        <row r="248">
          <cell r="A248" t="str">
            <v>PEU-2</v>
          </cell>
          <cell r="B248" t="str">
            <v>MRR-005</v>
          </cell>
          <cell r="C248" t="str">
            <v>Maintenance Receptacle-Process Area-05</v>
          </cell>
          <cell r="D248">
            <v>0</v>
          </cell>
          <cell r="E248" t="str">
            <v>ISBL</v>
          </cell>
          <cell r="J248" t="str">
            <v>3</v>
          </cell>
          <cell r="K248">
            <v>690</v>
          </cell>
          <cell r="L248" t="str">
            <v>AC</v>
          </cell>
          <cell r="M248" t="str">
            <v>F</v>
          </cell>
          <cell r="N248" t="str">
            <v>N</v>
          </cell>
          <cell r="O248">
            <v>0</v>
          </cell>
          <cell r="P248" t="str">
            <v>4850-XDB-301A</v>
          </cell>
          <cell r="Q248" t="str">
            <v>I</v>
          </cell>
          <cell r="S248">
            <v>100</v>
          </cell>
          <cell r="T248">
            <v>125</v>
          </cell>
          <cell r="X248">
            <v>1</v>
          </cell>
          <cell r="Y248">
            <v>0.85</v>
          </cell>
        </row>
        <row r="249">
          <cell r="A249" t="str">
            <v>PEU-2</v>
          </cell>
          <cell r="B249" t="str">
            <v>MRR-006</v>
          </cell>
          <cell r="C249" t="str">
            <v>Maintenance Receptacle-Process Area-06</v>
          </cell>
          <cell r="D249">
            <v>0</v>
          </cell>
          <cell r="E249" t="str">
            <v>ISBL</v>
          </cell>
          <cell r="J249" t="str">
            <v>3</v>
          </cell>
          <cell r="K249">
            <v>690</v>
          </cell>
          <cell r="L249" t="str">
            <v>AC</v>
          </cell>
          <cell r="M249" t="str">
            <v>F</v>
          </cell>
          <cell r="N249" t="str">
            <v>N</v>
          </cell>
          <cell r="O249">
            <v>0</v>
          </cell>
          <cell r="P249" t="str">
            <v>4850-XDB-301A</v>
          </cell>
          <cell r="Q249" t="str">
            <v>I</v>
          </cell>
          <cell r="S249">
            <v>100</v>
          </cell>
          <cell r="T249">
            <v>125</v>
          </cell>
          <cell r="X249">
            <v>1</v>
          </cell>
          <cell r="Y249">
            <v>0.85</v>
          </cell>
        </row>
        <row r="250">
          <cell r="A250" t="str">
            <v>PEU-2</v>
          </cell>
          <cell r="B250" t="str">
            <v>MRR-007</v>
          </cell>
          <cell r="C250" t="str">
            <v>Maintenance Receptacle-Process Area-07</v>
          </cell>
          <cell r="D250">
            <v>0</v>
          </cell>
          <cell r="E250" t="str">
            <v>ISBL</v>
          </cell>
          <cell r="J250" t="str">
            <v>3</v>
          </cell>
          <cell r="K250">
            <v>690</v>
          </cell>
          <cell r="L250" t="str">
            <v>AC</v>
          </cell>
          <cell r="M250" t="str">
            <v>F</v>
          </cell>
          <cell r="N250" t="str">
            <v>N</v>
          </cell>
          <cell r="O250">
            <v>0</v>
          </cell>
          <cell r="P250" t="str">
            <v>4850-XDB-301A</v>
          </cell>
          <cell r="Q250" t="str">
            <v>I</v>
          </cell>
          <cell r="S250">
            <v>100</v>
          </cell>
          <cell r="T250">
            <v>125</v>
          </cell>
          <cell r="X250">
            <v>1</v>
          </cell>
          <cell r="Y250">
            <v>0.85</v>
          </cell>
        </row>
        <row r="251">
          <cell r="A251" t="str">
            <v>PEU-2</v>
          </cell>
          <cell r="B251" t="str">
            <v>MRR-008</v>
          </cell>
          <cell r="C251" t="str">
            <v>Maintenance Receptacle-Process Area-08</v>
          </cell>
          <cell r="D251">
            <v>0</v>
          </cell>
          <cell r="E251" t="str">
            <v>ISBL</v>
          </cell>
          <cell r="J251" t="str">
            <v>3</v>
          </cell>
          <cell r="K251">
            <v>690</v>
          </cell>
          <cell r="L251" t="str">
            <v>AC</v>
          </cell>
          <cell r="M251" t="str">
            <v>F</v>
          </cell>
          <cell r="N251" t="str">
            <v>N</v>
          </cell>
          <cell r="O251">
            <v>0</v>
          </cell>
          <cell r="P251" t="str">
            <v>4850-XDB-301A</v>
          </cell>
          <cell r="Q251" t="str">
            <v>I</v>
          </cell>
          <cell r="S251">
            <v>100</v>
          </cell>
          <cell r="T251">
            <v>125</v>
          </cell>
          <cell r="X251">
            <v>1</v>
          </cell>
          <cell r="Y251">
            <v>0.85</v>
          </cell>
        </row>
        <row r="252">
          <cell r="A252" t="str">
            <v>PEU-2</v>
          </cell>
          <cell r="B252" t="str">
            <v>MRR-009</v>
          </cell>
          <cell r="C252" t="str">
            <v>Maintenance Receptacle-Process Area-09</v>
          </cell>
          <cell r="D252">
            <v>0</v>
          </cell>
          <cell r="E252" t="str">
            <v>ISBL</v>
          </cell>
          <cell r="J252" t="str">
            <v>3</v>
          </cell>
          <cell r="K252">
            <v>690</v>
          </cell>
          <cell r="L252" t="str">
            <v>AC</v>
          </cell>
          <cell r="M252" t="str">
            <v>F</v>
          </cell>
          <cell r="N252" t="str">
            <v>N</v>
          </cell>
          <cell r="O252">
            <v>0</v>
          </cell>
          <cell r="P252" t="str">
            <v>4850-XDB-301A</v>
          </cell>
          <cell r="Q252" t="str">
            <v>I</v>
          </cell>
          <cell r="S252">
            <v>100</v>
          </cell>
          <cell r="T252">
            <v>125</v>
          </cell>
          <cell r="X252">
            <v>1</v>
          </cell>
          <cell r="Y252">
            <v>0.85</v>
          </cell>
        </row>
        <row r="253">
          <cell r="A253" t="str">
            <v>PEU-2</v>
          </cell>
          <cell r="B253" t="str">
            <v>MRR-010</v>
          </cell>
          <cell r="C253" t="str">
            <v>Maintenance Receptacle-Process Area-10</v>
          </cell>
          <cell r="D253">
            <v>0</v>
          </cell>
          <cell r="E253" t="str">
            <v>ISBL</v>
          </cell>
          <cell r="J253" t="str">
            <v>3</v>
          </cell>
          <cell r="K253">
            <v>690</v>
          </cell>
          <cell r="L253" t="str">
            <v>AC</v>
          </cell>
          <cell r="M253" t="str">
            <v>F</v>
          </cell>
          <cell r="N253" t="str">
            <v>N</v>
          </cell>
          <cell r="O253">
            <v>0</v>
          </cell>
          <cell r="P253" t="str">
            <v>4850-XDB-301A</v>
          </cell>
          <cell r="Q253" t="str">
            <v>I</v>
          </cell>
          <cell r="S253">
            <v>100</v>
          </cell>
          <cell r="T253">
            <v>125</v>
          </cell>
          <cell r="X253">
            <v>1</v>
          </cell>
          <cell r="Y253">
            <v>0.85</v>
          </cell>
        </row>
        <row r="254">
          <cell r="A254" t="str">
            <v>PEU-2</v>
          </cell>
          <cell r="B254" t="str">
            <v>MRR-011</v>
          </cell>
          <cell r="C254" t="str">
            <v>Maintenance Receptacle-Process Area-11</v>
          </cell>
          <cell r="D254">
            <v>0</v>
          </cell>
          <cell r="E254" t="str">
            <v>ISBL</v>
          </cell>
          <cell r="J254" t="str">
            <v>3</v>
          </cell>
          <cell r="K254">
            <v>690</v>
          </cell>
          <cell r="L254" t="str">
            <v>AC</v>
          </cell>
          <cell r="M254" t="str">
            <v>F</v>
          </cell>
          <cell r="N254" t="str">
            <v>N</v>
          </cell>
          <cell r="O254">
            <v>0</v>
          </cell>
          <cell r="P254" t="str">
            <v>4850-XDB-301A</v>
          </cell>
          <cell r="Q254" t="str">
            <v>I</v>
          </cell>
          <cell r="S254">
            <v>100</v>
          </cell>
          <cell r="T254">
            <v>125</v>
          </cell>
          <cell r="X254">
            <v>1</v>
          </cell>
          <cell r="Y254">
            <v>0.85</v>
          </cell>
        </row>
        <row r="255">
          <cell r="A255" t="str">
            <v>C/T</v>
          </cell>
          <cell r="B255" t="str">
            <v>MRR-012</v>
          </cell>
          <cell r="C255" t="str">
            <v>Maintenance Receptacle-C/T Area-12</v>
          </cell>
          <cell r="D255">
            <v>0</v>
          </cell>
          <cell r="E255" t="str">
            <v>ISBL</v>
          </cell>
          <cell r="J255" t="str">
            <v>3</v>
          </cell>
          <cell r="K255">
            <v>690</v>
          </cell>
          <cell r="L255" t="str">
            <v>AC</v>
          </cell>
          <cell r="M255" t="str">
            <v>F</v>
          </cell>
          <cell r="N255" t="str">
            <v>N</v>
          </cell>
          <cell r="O255">
            <v>0</v>
          </cell>
          <cell r="P255" t="str">
            <v>4850-XDB-301A</v>
          </cell>
          <cell r="Q255" t="str">
            <v>I</v>
          </cell>
          <cell r="S255">
            <v>100</v>
          </cell>
          <cell r="T255">
            <v>125</v>
          </cell>
          <cell r="X255">
            <v>1</v>
          </cell>
          <cell r="Y255">
            <v>0.85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 t="str">
            <v>ISBL</v>
          </cell>
          <cell r="J256" t="str">
            <v>3</v>
          </cell>
          <cell r="K256">
            <v>0</v>
          </cell>
          <cell r="L256" t="str">
            <v>AC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S256">
            <v>0</v>
          </cell>
          <cell r="T256">
            <v>0</v>
          </cell>
          <cell r="X256">
            <v>0</v>
          </cell>
          <cell r="Y256">
            <v>0</v>
          </cell>
        </row>
        <row r="257">
          <cell r="A257">
            <v>0</v>
          </cell>
          <cell r="B257" t="str">
            <v>MRR-B01</v>
          </cell>
          <cell r="C257" t="str">
            <v>Maintenance Receptacle-ButeneArea-01</v>
          </cell>
          <cell r="D257">
            <v>0</v>
          </cell>
          <cell r="E257" t="str">
            <v>ISBL</v>
          </cell>
          <cell r="J257" t="str">
            <v>3</v>
          </cell>
          <cell r="K257">
            <v>690</v>
          </cell>
          <cell r="L257" t="str">
            <v>AC</v>
          </cell>
          <cell r="M257" t="str">
            <v>F</v>
          </cell>
          <cell r="N257" t="str">
            <v>N</v>
          </cell>
          <cell r="O257">
            <v>0</v>
          </cell>
          <cell r="P257" t="str">
            <v>4850-XDB-301A</v>
          </cell>
          <cell r="Q257" t="str">
            <v>I</v>
          </cell>
          <cell r="S257">
            <v>100</v>
          </cell>
          <cell r="T257">
            <v>125</v>
          </cell>
          <cell r="X257">
            <v>1</v>
          </cell>
          <cell r="Y257">
            <v>0.85</v>
          </cell>
        </row>
        <row r="258">
          <cell r="A258">
            <v>0</v>
          </cell>
          <cell r="B258" t="str">
            <v>MRR-B02</v>
          </cell>
          <cell r="C258" t="str">
            <v>Maintenance Receptacle-ButeneArea-02</v>
          </cell>
          <cell r="D258">
            <v>0</v>
          </cell>
          <cell r="E258" t="str">
            <v>ISBL</v>
          </cell>
          <cell r="J258" t="str">
            <v>3</v>
          </cell>
          <cell r="K258">
            <v>690</v>
          </cell>
          <cell r="L258" t="str">
            <v>AC</v>
          </cell>
          <cell r="M258" t="str">
            <v>F</v>
          </cell>
          <cell r="N258" t="str">
            <v>N</v>
          </cell>
          <cell r="O258">
            <v>0</v>
          </cell>
          <cell r="P258" t="str">
            <v>4850-XDB-301A</v>
          </cell>
          <cell r="Q258" t="str">
            <v>I</v>
          </cell>
          <cell r="S258">
            <v>100</v>
          </cell>
          <cell r="T258">
            <v>125</v>
          </cell>
          <cell r="X258">
            <v>1</v>
          </cell>
          <cell r="Y258">
            <v>0.85</v>
          </cell>
        </row>
        <row r="259">
          <cell r="A259">
            <v>0</v>
          </cell>
          <cell r="B259" t="str">
            <v>MRR-B03</v>
          </cell>
          <cell r="C259" t="str">
            <v>Maintenance Receptacle-ButeneArea-03</v>
          </cell>
          <cell r="D259">
            <v>0</v>
          </cell>
          <cell r="E259" t="str">
            <v>ISBL</v>
          </cell>
          <cell r="J259" t="str">
            <v>3</v>
          </cell>
          <cell r="K259">
            <v>690</v>
          </cell>
          <cell r="L259" t="str">
            <v>AC</v>
          </cell>
          <cell r="M259" t="str">
            <v>F</v>
          </cell>
          <cell r="N259" t="str">
            <v>N</v>
          </cell>
          <cell r="O259">
            <v>0</v>
          </cell>
          <cell r="P259" t="str">
            <v>4850-XDB-301A</v>
          </cell>
          <cell r="Q259" t="str">
            <v>I</v>
          </cell>
          <cell r="S259">
            <v>100</v>
          </cell>
          <cell r="T259">
            <v>125</v>
          </cell>
          <cell r="X259">
            <v>1</v>
          </cell>
          <cell r="Y259">
            <v>0.85</v>
          </cell>
        </row>
        <row r="260">
          <cell r="A260">
            <v>0</v>
          </cell>
          <cell r="B260" t="str">
            <v>MRR-B04</v>
          </cell>
          <cell r="C260" t="str">
            <v>Maintenance Receptacle-ButeneArea-04</v>
          </cell>
          <cell r="D260">
            <v>0</v>
          </cell>
          <cell r="E260" t="str">
            <v>ISBL</v>
          </cell>
          <cell r="J260" t="str">
            <v>3</v>
          </cell>
          <cell r="K260">
            <v>690</v>
          </cell>
          <cell r="L260" t="str">
            <v>AC</v>
          </cell>
          <cell r="M260" t="str">
            <v>F</v>
          </cell>
          <cell r="N260" t="str">
            <v>N</v>
          </cell>
          <cell r="O260">
            <v>0</v>
          </cell>
          <cell r="P260" t="str">
            <v>4850-XDB-301A</v>
          </cell>
          <cell r="Q260" t="str">
            <v>I</v>
          </cell>
          <cell r="S260">
            <v>100</v>
          </cell>
          <cell r="T260">
            <v>125</v>
          </cell>
          <cell r="X260">
            <v>1</v>
          </cell>
          <cell r="Y260">
            <v>0.85</v>
          </cell>
        </row>
        <row r="261">
          <cell r="A261">
            <v>0</v>
          </cell>
          <cell r="B261" t="str">
            <v>MRR-B05</v>
          </cell>
          <cell r="C261" t="str">
            <v>Maintenance Receptacle-ButeneArea-05</v>
          </cell>
          <cell r="D261">
            <v>0</v>
          </cell>
          <cell r="E261" t="str">
            <v>ISBL</v>
          </cell>
          <cell r="J261" t="str">
            <v>3</v>
          </cell>
          <cell r="K261">
            <v>690</v>
          </cell>
          <cell r="L261" t="str">
            <v>AC</v>
          </cell>
          <cell r="M261" t="str">
            <v>F</v>
          </cell>
          <cell r="N261" t="str">
            <v>N</v>
          </cell>
          <cell r="O261">
            <v>0</v>
          </cell>
          <cell r="P261" t="str">
            <v>4850-XDB-301A</v>
          </cell>
          <cell r="Q261" t="str">
            <v>I</v>
          </cell>
          <cell r="S261">
            <v>100</v>
          </cell>
          <cell r="T261">
            <v>125</v>
          </cell>
          <cell r="X261">
            <v>1</v>
          </cell>
          <cell r="Y261">
            <v>0.85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 t="str">
            <v>ISBL</v>
          </cell>
          <cell r="J262" t="str">
            <v>3</v>
          </cell>
          <cell r="K262">
            <v>0</v>
          </cell>
          <cell r="L262" t="str">
            <v>AC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S262">
            <v>0</v>
          </cell>
          <cell r="T262">
            <v>0</v>
          </cell>
          <cell r="X262">
            <v>0</v>
          </cell>
          <cell r="Y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 t="str">
            <v>ISBL</v>
          </cell>
          <cell r="J263" t="str">
            <v>3</v>
          </cell>
          <cell r="K263">
            <v>0</v>
          </cell>
          <cell r="L263" t="str">
            <v>AC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S263">
            <v>0</v>
          </cell>
          <cell r="T263">
            <v>0</v>
          </cell>
          <cell r="X263">
            <v>0</v>
          </cell>
          <cell r="Y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 t="str">
            <v>ISBL</v>
          </cell>
          <cell r="J264" t="str">
            <v>3</v>
          </cell>
          <cell r="K264">
            <v>0</v>
          </cell>
          <cell r="L264" t="str">
            <v>AC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S264">
            <v>0</v>
          </cell>
          <cell r="T264">
            <v>0</v>
          </cell>
          <cell r="X264">
            <v>0</v>
          </cell>
          <cell r="Y264">
            <v>0</v>
          </cell>
        </row>
        <row r="265">
          <cell r="A265" t="str">
            <v>C/T</v>
          </cell>
          <cell r="B265" t="str">
            <v>63-CT-0001A</v>
          </cell>
          <cell r="C265" t="str">
            <v>Cooling Tower Fan Motor</v>
          </cell>
          <cell r="D265">
            <v>6300</v>
          </cell>
          <cell r="E265" t="str">
            <v>ISBL</v>
          </cell>
          <cell r="J265" t="str">
            <v>3</v>
          </cell>
          <cell r="K265">
            <v>690</v>
          </cell>
          <cell r="L265" t="str">
            <v>AC</v>
          </cell>
          <cell r="M265" t="str">
            <v>M</v>
          </cell>
          <cell r="N265" t="str">
            <v>N</v>
          </cell>
          <cell r="O265" t="str">
            <v>POLE CHANGE</v>
          </cell>
          <cell r="P265" t="str">
            <v>4850-MDB-206A</v>
          </cell>
          <cell r="Q265" t="str">
            <v>C</v>
          </cell>
          <cell r="S265">
            <v>135</v>
          </cell>
          <cell r="T265">
            <v>150</v>
          </cell>
          <cell r="X265">
            <v>0.95499999999999996</v>
          </cell>
          <cell r="Y265">
            <v>0.85</v>
          </cell>
        </row>
        <row r="266">
          <cell r="A266" t="str">
            <v>C/T</v>
          </cell>
          <cell r="B266" t="str">
            <v>63-CT-0001B</v>
          </cell>
          <cell r="C266" t="str">
            <v>Cooling Tower Fan Motor</v>
          </cell>
          <cell r="D266">
            <v>6300</v>
          </cell>
          <cell r="E266" t="str">
            <v>ISBL</v>
          </cell>
          <cell r="J266" t="str">
            <v>3</v>
          </cell>
          <cell r="K266">
            <v>690</v>
          </cell>
          <cell r="L266" t="str">
            <v>AC</v>
          </cell>
          <cell r="M266" t="str">
            <v>M</v>
          </cell>
          <cell r="N266" t="str">
            <v>N</v>
          </cell>
          <cell r="O266" t="str">
            <v>POLE CHANGE</v>
          </cell>
          <cell r="P266" t="str">
            <v>4850-MDB-206B</v>
          </cell>
          <cell r="Q266" t="str">
            <v>C</v>
          </cell>
          <cell r="S266">
            <v>135</v>
          </cell>
          <cell r="T266">
            <v>150</v>
          </cell>
          <cell r="X266">
            <v>0.95499999999999996</v>
          </cell>
          <cell r="Y266">
            <v>0.85</v>
          </cell>
        </row>
        <row r="267">
          <cell r="A267" t="str">
            <v>C/T</v>
          </cell>
          <cell r="B267" t="str">
            <v>63-CT-0001C</v>
          </cell>
          <cell r="C267" t="str">
            <v>Cooling Tower Fan Motor</v>
          </cell>
          <cell r="D267">
            <v>6300</v>
          </cell>
          <cell r="E267" t="str">
            <v>ISBL</v>
          </cell>
          <cell r="J267" t="str">
            <v>3</v>
          </cell>
          <cell r="K267">
            <v>690</v>
          </cell>
          <cell r="L267" t="str">
            <v>AC</v>
          </cell>
          <cell r="M267" t="str">
            <v>M</v>
          </cell>
          <cell r="N267" t="str">
            <v>N</v>
          </cell>
          <cell r="O267" t="str">
            <v>POLE CHANGE</v>
          </cell>
          <cell r="P267" t="str">
            <v>4850-MDB-206A</v>
          </cell>
          <cell r="Q267" t="str">
            <v>C</v>
          </cell>
          <cell r="S267">
            <v>135</v>
          </cell>
          <cell r="T267">
            <v>150</v>
          </cell>
          <cell r="X267">
            <v>0.95499999999999996</v>
          </cell>
          <cell r="Y267">
            <v>0.85</v>
          </cell>
        </row>
        <row r="268">
          <cell r="A268" t="str">
            <v>C/T</v>
          </cell>
          <cell r="B268" t="str">
            <v>63-CT-0001D</v>
          </cell>
          <cell r="C268" t="str">
            <v>Cooling Tower Fan Motor</v>
          </cell>
          <cell r="D268">
            <v>6300</v>
          </cell>
          <cell r="E268" t="str">
            <v>ISBL</v>
          </cell>
          <cell r="J268" t="str">
            <v>3</v>
          </cell>
          <cell r="K268">
            <v>690</v>
          </cell>
          <cell r="L268" t="str">
            <v>AC</v>
          </cell>
          <cell r="M268" t="str">
            <v>M</v>
          </cell>
          <cell r="N268" t="str">
            <v>N</v>
          </cell>
          <cell r="O268" t="str">
            <v>POLE CHANGE</v>
          </cell>
          <cell r="P268" t="str">
            <v>4850-MDB-206B</v>
          </cell>
          <cell r="Q268" t="str">
            <v>C</v>
          </cell>
          <cell r="S268">
            <v>135</v>
          </cell>
          <cell r="T268">
            <v>150</v>
          </cell>
          <cell r="X268">
            <v>0.95499999999999996</v>
          </cell>
          <cell r="Y268">
            <v>0.85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 t="str">
            <v>ISBL</v>
          </cell>
          <cell r="J269" t="str">
            <v>3</v>
          </cell>
          <cell r="K269">
            <v>0</v>
          </cell>
          <cell r="L269" t="str">
            <v>AC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S269">
            <v>0</v>
          </cell>
          <cell r="T269">
            <v>0</v>
          </cell>
          <cell r="X269">
            <v>0</v>
          </cell>
          <cell r="Y269">
            <v>0</v>
          </cell>
        </row>
        <row r="270">
          <cell r="A270" t="str">
            <v>C/T</v>
          </cell>
          <cell r="B270" t="str">
            <v>63-CT-0001E</v>
          </cell>
          <cell r="C270" t="str">
            <v>Cooling Tower Fan Motor</v>
          </cell>
          <cell r="D270">
            <v>6300</v>
          </cell>
          <cell r="E270" t="str">
            <v>ISBL</v>
          </cell>
          <cell r="J270" t="str">
            <v>3</v>
          </cell>
          <cell r="K270">
            <v>690</v>
          </cell>
          <cell r="L270" t="str">
            <v>AC</v>
          </cell>
          <cell r="M270" t="str">
            <v>M</v>
          </cell>
          <cell r="N270" t="str">
            <v>N</v>
          </cell>
          <cell r="O270" t="str">
            <v>POLE CHANGE</v>
          </cell>
          <cell r="P270" t="str">
            <v>4850-MDB-206A</v>
          </cell>
          <cell r="Q270" t="str">
            <v>C</v>
          </cell>
          <cell r="S270">
            <v>135</v>
          </cell>
          <cell r="T270">
            <v>150</v>
          </cell>
          <cell r="X270">
            <v>0.95499999999999996</v>
          </cell>
          <cell r="Y270">
            <v>0.85</v>
          </cell>
        </row>
        <row r="271">
          <cell r="A271" t="str">
            <v>C/T</v>
          </cell>
          <cell r="B271" t="str">
            <v>63-CT-0001F</v>
          </cell>
          <cell r="C271" t="str">
            <v>Cooling Tower Fan Motor</v>
          </cell>
          <cell r="D271">
            <v>6300</v>
          </cell>
          <cell r="E271" t="str">
            <v>ISBL</v>
          </cell>
          <cell r="J271" t="str">
            <v>3</v>
          </cell>
          <cell r="K271">
            <v>690</v>
          </cell>
          <cell r="L271" t="str">
            <v>AC</v>
          </cell>
          <cell r="M271" t="str">
            <v>M</v>
          </cell>
          <cell r="N271" t="str">
            <v>N</v>
          </cell>
          <cell r="O271" t="str">
            <v>POLE CHANGE</v>
          </cell>
          <cell r="P271" t="str">
            <v>4850-MDB-206B</v>
          </cell>
          <cell r="Q271" t="str">
            <v>C</v>
          </cell>
          <cell r="S271">
            <v>135</v>
          </cell>
          <cell r="T271">
            <v>150</v>
          </cell>
          <cell r="X271">
            <v>0.95499999999999996</v>
          </cell>
          <cell r="Y271">
            <v>0.85</v>
          </cell>
        </row>
        <row r="272">
          <cell r="A272" t="str">
            <v>C/T</v>
          </cell>
          <cell r="B272" t="str">
            <v>63-CT-0001G</v>
          </cell>
          <cell r="C272" t="str">
            <v>Cooling Tower Fan Motor</v>
          </cell>
          <cell r="D272">
            <v>6300</v>
          </cell>
          <cell r="E272" t="str">
            <v>ISBL</v>
          </cell>
          <cell r="J272" t="str">
            <v>3</v>
          </cell>
          <cell r="K272">
            <v>690</v>
          </cell>
          <cell r="L272" t="str">
            <v>AC</v>
          </cell>
          <cell r="M272" t="str">
            <v>M</v>
          </cell>
          <cell r="N272" t="str">
            <v>N</v>
          </cell>
          <cell r="O272" t="str">
            <v>POLE CHANGE</v>
          </cell>
          <cell r="P272" t="str">
            <v>4850-MDB-206A</v>
          </cell>
          <cell r="Q272" t="str">
            <v>C</v>
          </cell>
          <cell r="S272">
            <v>135</v>
          </cell>
          <cell r="T272">
            <v>150</v>
          </cell>
          <cell r="X272">
            <v>0.95499999999999996</v>
          </cell>
          <cell r="Y272">
            <v>0.85</v>
          </cell>
        </row>
        <row r="273">
          <cell r="A273" t="str">
            <v>C/T</v>
          </cell>
          <cell r="B273" t="str">
            <v>63-CT-0001H</v>
          </cell>
          <cell r="C273" t="str">
            <v>Cooling Tower Fan Motor</v>
          </cell>
          <cell r="D273">
            <v>6300</v>
          </cell>
          <cell r="E273" t="str">
            <v>ISBL</v>
          </cell>
          <cell r="J273" t="str">
            <v>3</v>
          </cell>
          <cell r="K273">
            <v>690</v>
          </cell>
          <cell r="L273" t="str">
            <v>AC</v>
          </cell>
          <cell r="M273" t="str">
            <v>M</v>
          </cell>
          <cell r="N273" t="str">
            <v>N</v>
          </cell>
          <cell r="O273" t="str">
            <v>POLE CHANGE</v>
          </cell>
          <cell r="P273" t="str">
            <v>4850-MDB-206B</v>
          </cell>
          <cell r="Q273" t="str">
            <v>C</v>
          </cell>
          <cell r="S273">
            <v>135</v>
          </cell>
          <cell r="T273">
            <v>150</v>
          </cell>
          <cell r="X273">
            <v>0.95499999999999996</v>
          </cell>
          <cell r="Y273">
            <v>0.85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 t="str">
            <v>ISBL</v>
          </cell>
          <cell r="J274" t="str">
            <v>3</v>
          </cell>
          <cell r="K274">
            <v>0</v>
          </cell>
          <cell r="L274" t="str">
            <v>AC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S274">
            <v>0</v>
          </cell>
          <cell r="T274">
            <v>0</v>
          </cell>
          <cell r="X274">
            <v>0</v>
          </cell>
          <cell r="Y274">
            <v>0</v>
          </cell>
        </row>
        <row r="275">
          <cell r="A275" t="str">
            <v>C/T</v>
          </cell>
          <cell r="B275" t="str">
            <v>63-CT-0001I</v>
          </cell>
          <cell r="C275" t="str">
            <v>Cooling Tower Fan Motor</v>
          </cell>
          <cell r="D275">
            <v>6300</v>
          </cell>
          <cell r="E275" t="str">
            <v>ISBL</v>
          </cell>
          <cell r="J275" t="str">
            <v>3</v>
          </cell>
          <cell r="K275">
            <v>690</v>
          </cell>
          <cell r="L275" t="str">
            <v>AC</v>
          </cell>
          <cell r="M275" t="str">
            <v>M</v>
          </cell>
          <cell r="N275" t="str">
            <v>N</v>
          </cell>
          <cell r="O275" t="str">
            <v>POLE CHANGE</v>
          </cell>
          <cell r="P275" t="str">
            <v>4850-MDB-206A</v>
          </cell>
          <cell r="Q275" t="str">
            <v>C</v>
          </cell>
          <cell r="S275">
            <v>135</v>
          </cell>
          <cell r="T275">
            <v>150</v>
          </cell>
          <cell r="X275">
            <v>0.95499999999999996</v>
          </cell>
          <cell r="Y275">
            <v>0.85</v>
          </cell>
        </row>
        <row r="276">
          <cell r="A276" t="str">
            <v>C/T</v>
          </cell>
          <cell r="B276" t="str">
            <v>63-CT-0001J</v>
          </cell>
          <cell r="C276" t="str">
            <v>Cooling Tower Fan Motor</v>
          </cell>
          <cell r="D276">
            <v>6300</v>
          </cell>
          <cell r="E276" t="str">
            <v>ISBL</v>
          </cell>
          <cell r="J276" t="str">
            <v>3</v>
          </cell>
          <cell r="K276">
            <v>690</v>
          </cell>
          <cell r="L276" t="str">
            <v>AC</v>
          </cell>
          <cell r="M276" t="str">
            <v>M</v>
          </cell>
          <cell r="N276" t="str">
            <v>N</v>
          </cell>
          <cell r="O276" t="str">
            <v>POLE CHANGE</v>
          </cell>
          <cell r="P276" t="str">
            <v>4850-MDB-206B</v>
          </cell>
          <cell r="Q276" t="str">
            <v>C</v>
          </cell>
          <cell r="S276">
            <v>135</v>
          </cell>
          <cell r="T276">
            <v>150</v>
          </cell>
          <cell r="X276">
            <v>0.95499999999999996</v>
          </cell>
          <cell r="Y276">
            <v>0.85</v>
          </cell>
        </row>
        <row r="277">
          <cell r="A277" t="str">
            <v>C/T</v>
          </cell>
          <cell r="B277" t="str">
            <v>63-CT-0001K</v>
          </cell>
          <cell r="C277" t="str">
            <v>Cooling Tower Fan Motor</v>
          </cell>
          <cell r="D277">
            <v>6300</v>
          </cell>
          <cell r="E277" t="str">
            <v>ISBL</v>
          </cell>
          <cell r="J277" t="str">
            <v>3</v>
          </cell>
          <cell r="K277">
            <v>690</v>
          </cell>
          <cell r="L277" t="str">
            <v>AC</v>
          </cell>
          <cell r="M277" t="str">
            <v>M</v>
          </cell>
          <cell r="N277" t="str">
            <v>N</v>
          </cell>
          <cell r="O277" t="str">
            <v>POLE CHANGE</v>
          </cell>
          <cell r="P277" t="str">
            <v>4850-MDB-206A</v>
          </cell>
          <cell r="Q277" t="str">
            <v>C</v>
          </cell>
          <cell r="S277">
            <v>135</v>
          </cell>
          <cell r="T277">
            <v>150</v>
          </cell>
          <cell r="X277">
            <v>0.95499999999999996</v>
          </cell>
          <cell r="Y277">
            <v>0.85</v>
          </cell>
        </row>
        <row r="278">
          <cell r="A278" t="str">
            <v>C/T</v>
          </cell>
          <cell r="B278" t="str">
            <v>63-CT-0001L</v>
          </cell>
          <cell r="C278" t="str">
            <v>Cooling Tower Fan Motor</v>
          </cell>
          <cell r="D278">
            <v>6300</v>
          </cell>
          <cell r="E278" t="str">
            <v>ISBL</v>
          </cell>
          <cell r="J278" t="str">
            <v>3</v>
          </cell>
          <cell r="K278">
            <v>690</v>
          </cell>
          <cell r="L278" t="str">
            <v>AC</v>
          </cell>
          <cell r="M278" t="str">
            <v>M</v>
          </cell>
          <cell r="N278" t="str">
            <v>N</v>
          </cell>
          <cell r="O278" t="str">
            <v>POLE CHANGE</v>
          </cell>
          <cell r="P278" t="str">
            <v>4850-MDB-206B</v>
          </cell>
          <cell r="Q278" t="str">
            <v>C</v>
          </cell>
          <cell r="S278">
            <v>135</v>
          </cell>
          <cell r="T278">
            <v>150</v>
          </cell>
          <cell r="X278">
            <v>0.95499999999999996</v>
          </cell>
          <cell r="Y278">
            <v>0.85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 t="str">
            <v>ISBL</v>
          </cell>
          <cell r="J279" t="str">
            <v>3</v>
          </cell>
          <cell r="K279">
            <v>0</v>
          </cell>
          <cell r="L279" t="str">
            <v>AC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S279">
            <v>0</v>
          </cell>
          <cell r="T279">
            <v>0</v>
          </cell>
          <cell r="X279">
            <v>0</v>
          </cell>
          <cell r="Y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 t="str">
            <v>ISBL</v>
          </cell>
          <cell r="J280" t="str">
            <v>3</v>
          </cell>
          <cell r="K280">
            <v>0</v>
          </cell>
          <cell r="L280" t="str">
            <v>AC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S280">
            <v>0</v>
          </cell>
          <cell r="T280">
            <v>0</v>
          </cell>
          <cell r="X280">
            <v>0</v>
          </cell>
          <cell r="Y280">
            <v>0</v>
          </cell>
        </row>
        <row r="281">
          <cell r="A281" t="str">
            <v>PEU-2</v>
          </cell>
          <cell r="B281" t="str">
            <v>41-PK-6040-6A</v>
          </cell>
          <cell r="C281" t="str">
            <v>Lube Oil Pump Motor for Mixer Motor</v>
          </cell>
          <cell r="D281" t="str">
            <v>x</v>
          </cell>
          <cell r="E281" t="str">
            <v>ISBL</v>
          </cell>
          <cell r="J281" t="str">
            <v>3</v>
          </cell>
          <cell r="K281">
            <v>400</v>
          </cell>
          <cell r="L281" t="str">
            <v>AC</v>
          </cell>
          <cell r="M281" t="str">
            <v>M</v>
          </cell>
          <cell r="N281" t="str">
            <v>N</v>
          </cell>
          <cell r="O281">
            <v>0</v>
          </cell>
          <cell r="P281" t="str">
            <v>4850-NDB-301A</v>
          </cell>
          <cell r="Q281" t="str">
            <v>C</v>
          </cell>
          <cell r="S281">
            <v>1.9800000000000002</v>
          </cell>
          <cell r="T281">
            <v>2.2000000000000002</v>
          </cell>
          <cell r="X281">
            <v>0.90200000000000002</v>
          </cell>
          <cell r="Y281">
            <v>0.85</v>
          </cell>
        </row>
        <row r="282">
          <cell r="A282" t="str">
            <v>PEU-2</v>
          </cell>
          <cell r="B282" t="str">
            <v>41-PK-6040-6B</v>
          </cell>
          <cell r="C282" t="str">
            <v>Lube Oil Pump Motor for Mixer Motor</v>
          </cell>
          <cell r="D282" t="str">
            <v>x</v>
          </cell>
          <cell r="E282" t="str">
            <v>ISBL</v>
          </cell>
          <cell r="J282" t="str">
            <v>3</v>
          </cell>
          <cell r="K282">
            <v>400</v>
          </cell>
          <cell r="L282" t="str">
            <v>AC</v>
          </cell>
          <cell r="M282" t="str">
            <v>M</v>
          </cell>
          <cell r="N282" t="str">
            <v>N</v>
          </cell>
          <cell r="O282">
            <v>0</v>
          </cell>
          <cell r="P282" t="str">
            <v>4850-NDB-301B</v>
          </cell>
          <cell r="Q282" t="str">
            <v>S</v>
          </cell>
          <cell r="S282">
            <v>1.9800000000000002</v>
          </cell>
          <cell r="T282">
            <v>2.2000000000000002</v>
          </cell>
          <cell r="X282">
            <v>0.90200000000000002</v>
          </cell>
          <cell r="Y282">
            <v>0.85</v>
          </cell>
        </row>
        <row r="283">
          <cell r="A283" t="str">
            <v>PEU-2</v>
          </cell>
          <cell r="B283" t="str">
            <v>41-PK-6040-7A</v>
          </cell>
          <cell r="C283" t="str">
            <v>Motor Lube Oil Jack Up Pump Motor</v>
          </cell>
          <cell r="D283" t="str">
            <v>x</v>
          </cell>
          <cell r="E283" t="str">
            <v>ISBL</v>
          </cell>
          <cell r="J283" t="str">
            <v>3</v>
          </cell>
          <cell r="K283">
            <v>400</v>
          </cell>
          <cell r="L283" t="str">
            <v>AC</v>
          </cell>
          <cell r="M283" t="str">
            <v>M</v>
          </cell>
          <cell r="N283" t="str">
            <v>N</v>
          </cell>
          <cell r="O283">
            <v>0</v>
          </cell>
          <cell r="P283" t="str">
            <v>4850-NDB-301B</v>
          </cell>
          <cell r="Q283" t="str">
            <v>C</v>
          </cell>
          <cell r="S283">
            <v>0.99</v>
          </cell>
          <cell r="T283">
            <v>1.1000000000000001</v>
          </cell>
          <cell r="X283">
            <v>0.90200000000000002</v>
          </cell>
          <cell r="Y283">
            <v>0.85</v>
          </cell>
        </row>
        <row r="284">
          <cell r="A284" t="str">
            <v>PEU-2</v>
          </cell>
          <cell r="B284" t="str">
            <v>41-PK-6040-7B</v>
          </cell>
          <cell r="C284" t="str">
            <v>Motor Lube Oil Jack Up Pump Motor</v>
          </cell>
          <cell r="D284" t="str">
            <v>x</v>
          </cell>
          <cell r="E284" t="str">
            <v>ISBL</v>
          </cell>
          <cell r="J284" t="str">
            <v>3</v>
          </cell>
          <cell r="K284">
            <v>400</v>
          </cell>
          <cell r="L284" t="str">
            <v>AC</v>
          </cell>
          <cell r="M284" t="str">
            <v>M</v>
          </cell>
          <cell r="N284" t="str">
            <v>N</v>
          </cell>
          <cell r="O284">
            <v>0</v>
          </cell>
          <cell r="P284" t="str">
            <v>4850-NDB-301A</v>
          </cell>
          <cell r="Q284" t="str">
            <v>S</v>
          </cell>
          <cell r="S284">
            <v>0.99</v>
          </cell>
          <cell r="T284">
            <v>1.1000000000000001</v>
          </cell>
          <cell r="X284">
            <v>0.90200000000000002</v>
          </cell>
          <cell r="Y284">
            <v>0.85</v>
          </cell>
        </row>
        <row r="285">
          <cell r="A285" t="str">
            <v>PEU-2</v>
          </cell>
          <cell r="B285" t="str">
            <v>41-PK-6001-1A</v>
          </cell>
          <cell r="C285" t="str">
            <v xml:space="preserve"> Oil Demister Motor</v>
          </cell>
          <cell r="D285">
            <v>4102</v>
          </cell>
          <cell r="E285" t="str">
            <v>ISBL</v>
          </cell>
          <cell r="J285" t="str">
            <v>3</v>
          </cell>
          <cell r="K285">
            <v>400</v>
          </cell>
          <cell r="L285" t="str">
            <v>AC</v>
          </cell>
          <cell r="M285" t="str">
            <v>M</v>
          </cell>
          <cell r="N285" t="str">
            <v>N</v>
          </cell>
          <cell r="O285">
            <v>0</v>
          </cell>
          <cell r="P285" t="str">
            <v>4850-NDB-301A</v>
          </cell>
          <cell r="Q285" t="str">
            <v>C</v>
          </cell>
          <cell r="S285">
            <v>0.5</v>
          </cell>
          <cell r="T285">
            <v>0.55000000000000004</v>
          </cell>
          <cell r="X285">
            <v>0.90200000000000002</v>
          </cell>
          <cell r="Y285">
            <v>0.85</v>
          </cell>
        </row>
        <row r="286">
          <cell r="A286" t="str">
            <v>PEU-2</v>
          </cell>
          <cell r="B286" t="str">
            <v>41-PK-6001-1B</v>
          </cell>
          <cell r="C286" t="str">
            <v xml:space="preserve"> Oil Demister Motor</v>
          </cell>
          <cell r="D286">
            <v>4102</v>
          </cell>
          <cell r="E286" t="str">
            <v>ISBL</v>
          </cell>
          <cell r="J286" t="str">
            <v>3</v>
          </cell>
          <cell r="K286">
            <v>400</v>
          </cell>
          <cell r="L286" t="str">
            <v>AC</v>
          </cell>
          <cell r="M286" t="str">
            <v>M</v>
          </cell>
          <cell r="N286" t="str">
            <v>N</v>
          </cell>
          <cell r="O286">
            <v>0</v>
          </cell>
          <cell r="P286" t="str">
            <v>4850-NDB-301B</v>
          </cell>
          <cell r="Q286" t="str">
            <v>S</v>
          </cell>
          <cell r="S286">
            <v>0.5</v>
          </cell>
          <cell r="T286">
            <v>0.55000000000000004</v>
          </cell>
          <cell r="X286">
            <v>0.90200000000000002</v>
          </cell>
          <cell r="Y286">
            <v>0.85</v>
          </cell>
        </row>
        <row r="287">
          <cell r="A287" t="str">
            <v>PEU-2</v>
          </cell>
          <cell r="B287" t="str">
            <v>41-MI-6011A</v>
          </cell>
          <cell r="C287" t="str">
            <v>Vent Blower Motor for 41-MI-6011 A/B/C/D</v>
          </cell>
          <cell r="D287" t="str">
            <v>x</v>
          </cell>
          <cell r="E287" t="str">
            <v>ISBL</v>
          </cell>
          <cell r="J287" t="str">
            <v>3</v>
          </cell>
          <cell r="K287">
            <v>400</v>
          </cell>
          <cell r="L287" t="str">
            <v>AC</v>
          </cell>
          <cell r="M287" t="str">
            <v>M</v>
          </cell>
          <cell r="N287" t="str">
            <v>N</v>
          </cell>
          <cell r="O287">
            <v>0</v>
          </cell>
          <cell r="P287" t="str">
            <v>4850-NDB-301A</v>
          </cell>
          <cell r="Q287" t="str">
            <v>I</v>
          </cell>
          <cell r="S287">
            <v>1.7600000000000002</v>
          </cell>
          <cell r="T287">
            <v>2.2000000000000002</v>
          </cell>
          <cell r="X287">
            <v>0.90200000000000002</v>
          </cell>
          <cell r="Y287">
            <v>0.85</v>
          </cell>
        </row>
        <row r="288">
          <cell r="A288" t="str">
            <v>PEU-2</v>
          </cell>
          <cell r="B288" t="str">
            <v>41-MI-6011B</v>
          </cell>
          <cell r="C288" t="str">
            <v>Vent Blower Motor for 41-MI-6011 A/B/C/D</v>
          </cell>
          <cell r="D288" t="str">
            <v>x</v>
          </cell>
          <cell r="E288" t="str">
            <v>ISBL</v>
          </cell>
          <cell r="J288" t="str">
            <v>3</v>
          </cell>
          <cell r="K288">
            <v>400</v>
          </cell>
          <cell r="L288" t="str">
            <v>AC</v>
          </cell>
          <cell r="M288" t="str">
            <v>M</v>
          </cell>
          <cell r="N288" t="str">
            <v>N</v>
          </cell>
          <cell r="O288">
            <v>0</v>
          </cell>
          <cell r="P288" t="str">
            <v>4850-NDB-301B</v>
          </cell>
          <cell r="Q288" t="str">
            <v>I</v>
          </cell>
          <cell r="S288">
            <v>1.7600000000000002</v>
          </cell>
          <cell r="T288">
            <v>2.2000000000000002</v>
          </cell>
          <cell r="X288">
            <v>0.90200000000000002</v>
          </cell>
          <cell r="Y288">
            <v>0.85</v>
          </cell>
        </row>
        <row r="289">
          <cell r="A289" t="str">
            <v>PEU-2</v>
          </cell>
          <cell r="B289" t="str">
            <v>41-MI-6011C</v>
          </cell>
          <cell r="C289" t="str">
            <v>Vent Blower Motor for 41-MI-6011 A/B/C/D</v>
          </cell>
          <cell r="D289" t="str">
            <v>x</v>
          </cell>
          <cell r="E289" t="str">
            <v>ISBL</v>
          </cell>
          <cell r="J289" t="str">
            <v>3</v>
          </cell>
          <cell r="K289">
            <v>400</v>
          </cell>
          <cell r="L289" t="str">
            <v>AC</v>
          </cell>
          <cell r="M289" t="str">
            <v>M</v>
          </cell>
          <cell r="N289" t="str">
            <v>N</v>
          </cell>
          <cell r="O289">
            <v>0</v>
          </cell>
          <cell r="P289" t="str">
            <v>4850-NDB-301A</v>
          </cell>
          <cell r="Q289" t="str">
            <v>I</v>
          </cell>
          <cell r="S289">
            <v>1.7600000000000002</v>
          </cell>
          <cell r="T289">
            <v>2.2000000000000002</v>
          </cell>
          <cell r="X289">
            <v>0.90200000000000002</v>
          </cell>
          <cell r="Y289">
            <v>0.85</v>
          </cell>
        </row>
        <row r="290">
          <cell r="A290" t="str">
            <v>PEU-2</v>
          </cell>
          <cell r="B290" t="str">
            <v>41-MI-6011D</v>
          </cell>
          <cell r="C290" t="str">
            <v>Vent Blower Motor for 41-MI-6011 A/B/C/D</v>
          </cell>
          <cell r="D290" t="str">
            <v>x</v>
          </cell>
          <cell r="E290" t="str">
            <v>ISBL</v>
          </cell>
          <cell r="J290" t="str">
            <v>3</v>
          </cell>
          <cell r="K290">
            <v>400</v>
          </cell>
          <cell r="L290" t="str">
            <v>AC</v>
          </cell>
          <cell r="M290" t="str">
            <v>M</v>
          </cell>
          <cell r="N290" t="str">
            <v>N</v>
          </cell>
          <cell r="O290">
            <v>0</v>
          </cell>
          <cell r="P290" t="str">
            <v>4850-NDB-301B</v>
          </cell>
          <cell r="Q290" t="str">
            <v>I</v>
          </cell>
          <cell r="S290">
            <v>1.7600000000000002</v>
          </cell>
          <cell r="T290">
            <v>2.2000000000000002</v>
          </cell>
          <cell r="X290">
            <v>0.90200000000000002</v>
          </cell>
          <cell r="Y290">
            <v>0.85</v>
          </cell>
        </row>
        <row r="291">
          <cell r="A291" t="str">
            <v>PEU-2</v>
          </cell>
          <cell r="B291" t="str">
            <v>41-PK-7001-1A</v>
          </cell>
          <cell r="C291" t="str">
            <v xml:space="preserve"> Oil Demister Motor</v>
          </cell>
          <cell r="D291">
            <v>4107</v>
          </cell>
          <cell r="E291" t="str">
            <v>ISBL</v>
          </cell>
          <cell r="J291" t="str">
            <v>3</v>
          </cell>
          <cell r="K291">
            <v>400</v>
          </cell>
          <cell r="L291" t="str">
            <v>AC</v>
          </cell>
          <cell r="M291" t="str">
            <v>M</v>
          </cell>
          <cell r="N291" t="str">
            <v>N</v>
          </cell>
          <cell r="O291">
            <v>0</v>
          </cell>
          <cell r="P291" t="str">
            <v>4850-NDB-301A</v>
          </cell>
          <cell r="Q291" t="str">
            <v>C</v>
          </cell>
          <cell r="S291">
            <v>0.5</v>
          </cell>
          <cell r="T291">
            <v>0.55000000000000004</v>
          </cell>
          <cell r="X291">
            <v>0.90200000000000002</v>
          </cell>
          <cell r="Y291">
            <v>0.85</v>
          </cell>
        </row>
        <row r="292">
          <cell r="A292" t="str">
            <v>PEU-2</v>
          </cell>
          <cell r="B292" t="str">
            <v>41-PK-7001-1B</v>
          </cell>
          <cell r="C292" t="str">
            <v xml:space="preserve"> Oil Demister Motor</v>
          </cell>
          <cell r="D292">
            <v>4107</v>
          </cell>
          <cell r="E292" t="str">
            <v>ISBL</v>
          </cell>
          <cell r="J292" t="str">
            <v>3</v>
          </cell>
          <cell r="K292">
            <v>400</v>
          </cell>
          <cell r="L292" t="str">
            <v>AC</v>
          </cell>
          <cell r="M292" t="str">
            <v>M</v>
          </cell>
          <cell r="N292" t="str">
            <v>N</v>
          </cell>
          <cell r="O292">
            <v>0</v>
          </cell>
          <cell r="P292" t="str">
            <v>4850-NDB-301B</v>
          </cell>
          <cell r="Q292" t="str">
            <v>C</v>
          </cell>
          <cell r="S292">
            <v>0.5</v>
          </cell>
          <cell r="T292">
            <v>0.55000000000000004</v>
          </cell>
          <cell r="X292">
            <v>0.90200000000000002</v>
          </cell>
          <cell r="Y292">
            <v>0.85</v>
          </cell>
        </row>
        <row r="293">
          <cell r="A293" t="str">
            <v>PEU-2</v>
          </cell>
          <cell r="B293" t="str">
            <v>41-PK-7001-1C</v>
          </cell>
          <cell r="C293" t="str">
            <v xml:space="preserve"> Oil Demister Motor</v>
          </cell>
          <cell r="D293">
            <v>4107</v>
          </cell>
          <cell r="E293" t="str">
            <v>ISBL</v>
          </cell>
          <cell r="J293" t="str">
            <v>3</v>
          </cell>
          <cell r="K293">
            <v>400</v>
          </cell>
          <cell r="L293" t="str">
            <v>AC</v>
          </cell>
          <cell r="M293" t="str">
            <v>M</v>
          </cell>
          <cell r="N293" t="str">
            <v>N</v>
          </cell>
          <cell r="O293">
            <v>0</v>
          </cell>
          <cell r="P293" t="str">
            <v>4850-NDB-301B</v>
          </cell>
          <cell r="Q293" t="str">
            <v>S</v>
          </cell>
          <cell r="S293">
            <v>0.5</v>
          </cell>
          <cell r="T293">
            <v>0.55000000000000004</v>
          </cell>
          <cell r="X293">
            <v>0.90200000000000002</v>
          </cell>
          <cell r="Y293">
            <v>0.85</v>
          </cell>
        </row>
        <row r="294">
          <cell r="A294" t="str">
            <v>PEU-2</v>
          </cell>
          <cell r="B294" t="str">
            <v>41-RF-6006</v>
          </cell>
          <cell r="C294" t="str">
            <v xml:space="preserve">Scalping Screen Hopper Rotary Valve </v>
          </cell>
          <cell r="D294">
            <v>4107</v>
          </cell>
          <cell r="E294" t="str">
            <v>ISBL</v>
          </cell>
          <cell r="J294" t="str">
            <v>3</v>
          </cell>
          <cell r="K294">
            <v>400</v>
          </cell>
          <cell r="L294" t="str">
            <v>AC</v>
          </cell>
          <cell r="M294" t="str">
            <v>M</v>
          </cell>
          <cell r="N294" t="str">
            <v>N</v>
          </cell>
          <cell r="O294" t="str">
            <v>VSD</v>
          </cell>
          <cell r="P294" t="str">
            <v>4850-NDB-301A</v>
          </cell>
          <cell r="Q294" t="str">
            <v>C</v>
          </cell>
          <cell r="S294">
            <v>4.4000000000000004</v>
          </cell>
          <cell r="T294">
            <v>5.5</v>
          </cell>
          <cell r="X294">
            <v>0.90200000000000002</v>
          </cell>
          <cell r="Y294">
            <v>0.85</v>
          </cell>
        </row>
        <row r="295">
          <cell r="A295" t="str">
            <v>PEU-2</v>
          </cell>
          <cell r="B295" t="str">
            <v>41-PK-2401-2A</v>
          </cell>
          <cell r="C295" t="str">
            <v>Motor for Lube Oil Mist Eliminator</v>
          </cell>
          <cell r="D295">
            <v>4103</v>
          </cell>
          <cell r="E295" t="str">
            <v>ISBL</v>
          </cell>
          <cell r="J295" t="str">
            <v>3</v>
          </cell>
          <cell r="K295">
            <v>400</v>
          </cell>
          <cell r="L295" t="str">
            <v>AC</v>
          </cell>
          <cell r="M295" t="str">
            <v>M</v>
          </cell>
          <cell r="N295" t="str">
            <v>N</v>
          </cell>
          <cell r="O295">
            <v>0</v>
          </cell>
          <cell r="P295" t="str">
            <v>4850-NDB-301A</v>
          </cell>
          <cell r="Q295" t="str">
            <v>C</v>
          </cell>
          <cell r="S295">
            <v>0.60000000000000009</v>
          </cell>
          <cell r="T295">
            <v>0.75</v>
          </cell>
          <cell r="X295">
            <v>0.90200000000000002</v>
          </cell>
          <cell r="Y295">
            <v>0.85</v>
          </cell>
        </row>
        <row r="296">
          <cell r="A296" t="str">
            <v>PEU-2</v>
          </cell>
          <cell r="B296" t="str">
            <v>41-PK-2401-2B</v>
          </cell>
          <cell r="C296" t="str">
            <v>Motor for Lube Oil Mist Eliminator</v>
          </cell>
          <cell r="D296">
            <v>4103</v>
          </cell>
          <cell r="E296" t="str">
            <v>ISBL</v>
          </cell>
          <cell r="J296" t="str">
            <v>3</v>
          </cell>
          <cell r="K296">
            <v>400</v>
          </cell>
          <cell r="L296" t="str">
            <v>AC</v>
          </cell>
          <cell r="M296" t="str">
            <v>M</v>
          </cell>
          <cell r="N296" t="str">
            <v>N</v>
          </cell>
          <cell r="O296">
            <v>0</v>
          </cell>
          <cell r="P296" t="str">
            <v>4850-NDB-301B</v>
          </cell>
          <cell r="Q296" t="str">
            <v>C</v>
          </cell>
          <cell r="S296">
            <v>0.60000000000000009</v>
          </cell>
          <cell r="T296">
            <v>0.75</v>
          </cell>
          <cell r="X296">
            <v>0.90200000000000002</v>
          </cell>
          <cell r="Y296">
            <v>0.85</v>
          </cell>
        </row>
        <row r="297">
          <cell r="A297" t="str">
            <v>PEU-2</v>
          </cell>
          <cell r="B297" t="str">
            <v>41-K-5021-1</v>
          </cell>
          <cell r="C297" t="str">
            <v>Motor for Lube Oil Mist Eliminator</v>
          </cell>
          <cell r="D297">
            <v>4101</v>
          </cell>
          <cell r="E297" t="str">
            <v>ISBL</v>
          </cell>
          <cell r="J297" t="str">
            <v>3</v>
          </cell>
          <cell r="K297">
            <v>400</v>
          </cell>
          <cell r="L297" t="str">
            <v>AC</v>
          </cell>
          <cell r="M297" t="str">
            <v>M</v>
          </cell>
          <cell r="N297" t="str">
            <v>N</v>
          </cell>
          <cell r="O297">
            <v>0</v>
          </cell>
          <cell r="P297" t="str">
            <v>4850-NDB-301A</v>
          </cell>
          <cell r="Q297" t="str">
            <v>C</v>
          </cell>
          <cell r="S297">
            <v>0.60000000000000009</v>
          </cell>
          <cell r="T297">
            <v>0.75</v>
          </cell>
          <cell r="X297">
            <v>0.90200000000000002</v>
          </cell>
          <cell r="Y297">
            <v>0.85</v>
          </cell>
        </row>
        <row r="298">
          <cell r="A298" t="str">
            <v>PEU-2</v>
          </cell>
          <cell r="B298" t="str">
            <v>41-K-5021-2</v>
          </cell>
          <cell r="C298" t="str">
            <v>Electric heater for oil separator</v>
          </cell>
          <cell r="D298">
            <v>4101</v>
          </cell>
          <cell r="E298" t="str">
            <v>ISBL</v>
          </cell>
          <cell r="J298" t="str">
            <v>3</v>
          </cell>
          <cell r="K298">
            <v>400</v>
          </cell>
          <cell r="L298" t="str">
            <v>AC</v>
          </cell>
          <cell r="M298" t="str">
            <v>M</v>
          </cell>
          <cell r="N298" t="str">
            <v>N</v>
          </cell>
          <cell r="O298">
            <v>0</v>
          </cell>
          <cell r="P298" t="str">
            <v>4850-NDB-301A</v>
          </cell>
          <cell r="Q298" t="str">
            <v>I</v>
          </cell>
          <cell r="S298">
            <v>1.8</v>
          </cell>
          <cell r="T298">
            <v>2</v>
          </cell>
          <cell r="X298">
            <v>0.90200000000000002</v>
          </cell>
          <cell r="Y298">
            <v>0.85</v>
          </cell>
        </row>
        <row r="299">
          <cell r="A299" t="str">
            <v>PEU-2</v>
          </cell>
          <cell r="B299" t="str">
            <v>41-K-5021-4</v>
          </cell>
          <cell r="C299" t="str">
            <v>Local Operator Panel - Normal</v>
          </cell>
          <cell r="D299">
            <v>4101</v>
          </cell>
          <cell r="E299" t="str">
            <v>ISBL</v>
          </cell>
          <cell r="J299" t="str">
            <v>3</v>
          </cell>
          <cell r="K299">
            <v>400</v>
          </cell>
          <cell r="L299" t="str">
            <v>AC</v>
          </cell>
          <cell r="M299" t="str">
            <v>F</v>
          </cell>
          <cell r="N299" t="str">
            <v>N</v>
          </cell>
          <cell r="O299">
            <v>0</v>
          </cell>
          <cell r="P299" t="str">
            <v>4850-NDB-301B</v>
          </cell>
          <cell r="Q299" t="str">
            <v>C</v>
          </cell>
          <cell r="S299">
            <v>2</v>
          </cell>
          <cell r="T299">
            <v>2.5</v>
          </cell>
          <cell r="X299">
            <v>0.90200000000000002</v>
          </cell>
          <cell r="Y299">
            <v>0.85</v>
          </cell>
        </row>
        <row r="300">
          <cell r="A300" t="str">
            <v>PEU-2</v>
          </cell>
          <cell r="B300" t="str">
            <v>46-PK-8061-1</v>
          </cell>
          <cell r="C300" t="str">
            <v>Oil Heater</v>
          </cell>
          <cell r="D300">
            <v>4101</v>
          </cell>
          <cell r="E300" t="str">
            <v>ISBL</v>
          </cell>
          <cell r="J300" t="str">
            <v>3</v>
          </cell>
          <cell r="K300">
            <v>400</v>
          </cell>
          <cell r="L300" t="str">
            <v>AC</v>
          </cell>
          <cell r="M300" t="str">
            <v>M</v>
          </cell>
          <cell r="N300" t="str">
            <v>N</v>
          </cell>
          <cell r="O300">
            <v>0</v>
          </cell>
          <cell r="P300" t="str">
            <v>4850-NDB-301A</v>
          </cell>
          <cell r="Q300" t="str">
            <v>I</v>
          </cell>
          <cell r="S300">
            <v>0.5</v>
          </cell>
          <cell r="T300">
            <v>0.5</v>
          </cell>
          <cell r="X300">
            <v>0.90200000000000002</v>
          </cell>
          <cell r="Y300">
            <v>0.85</v>
          </cell>
        </row>
        <row r="301">
          <cell r="A301" t="str">
            <v>PEU-2</v>
          </cell>
          <cell r="B301" t="str">
            <v>46-PK-8061-2</v>
          </cell>
          <cell r="C301" t="str">
            <v xml:space="preserve">Local Operator Panel </v>
          </cell>
          <cell r="D301">
            <v>4101</v>
          </cell>
          <cell r="E301" t="str">
            <v>ISBL</v>
          </cell>
          <cell r="J301" t="str">
            <v>3</v>
          </cell>
          <cell r="K301">
            <v>400</v>
          </cell>
          <cell r="L301" t="str">
            <v>AC</v>
          </cell>
          <cell r="M301" t="str">
            <v>F</v>
          </cell>
          <cell r="N301" t="str">
            <v>N</v>
          </cell>
          <cell r="O301">
            <v>0</v>
          </cell>
          <cell r="P301" t="str">
            <v>4850-NDB-301B</v>
          </cell>
          <cell r="Q301" t="str">
            <v>C</v>
          </cell>
          <cell r="S301">
            <v>0.5</v>
          </cell>
          <cell r="T301">
            <v>0.5</v>
          </cell>
          <cell r="X301">
            <v>0.90200000000000002</v>
          </cell>
          <cell r="Y301">
            <v>0.85</v>
          </cell>
        </row>
        <row r="302">
          <cell r="A302" t="str">
            <v>PEU-2</v>
          </cell>
          <cell r="B302" t="str">
            <v>41-PK-5040-2A</v>
          </cell>
          <cell r="C302" t="str">
            <v>Lube oil pump</v>
          </cell>
          <cell r="D302">
            <v>4104</v>
          </cell>
          <cell r="E302" t="str">
            <v>ISBL</v>
          </cell>
          <cell r="J302" t="str">
            <v>3</v>
          </cell>
          <cell r="K302">
            <v>400</v>
          </cell>
          <cell r="L302" t="str">
            <v>AC</v>
          </cell>
          <cell r="M302" t="str">
            <v>M</v>
          </cell>
          <cell r="N302" t="str">
            <v>N</v>
          </cell>
          <cell r="O302">
            <v>0</v>
          </cell>
          <cell r="P302" t="str">
            <v>4850-NDB-301A</v>
          </cell>
          <cell r="Q302" t="str">
            <v>C</v>
          </cell>
          <cell r="S302">
            <v>1.7600000000000002</v>
          </cell>
          <cell r="T302">
            <v>2.2000000000000002</v>
          </cell>
          <cell r="X302">
            <v>0.90200000000000002</v>
          </cell>
          <cell r="Y302">
            <v>0.85</v>
          </cell>
        </row>
        <row r="303">
          <cell r="A303" t="str">
            <v>PEU-2</v>
          </cell>
          <cell r="B303" t="str">
            <v>41-PK-5040-2B</v>
          </cell>
          <cell r="C303" t="str">
            <v>Lube oil pump</v>
          </cell>
          <cell r="D303">
            <v>4104</v>
          </cell>
          <cell r="E303" t="str">
            <v>ISBL</v>
          </cell>
          <cell r="J303" t="str">
            <v>3</v>
          </cell>
          <cell r="K303">
            <v>400</v>
          </cell>
          <cell r="L303" t="str">
            <v>AC</v>
          </cell>
          <cell r="M303" t="str">
            <v>M</v>
          </cell>
          <cell r="N303" t="str">
            <v>N</v>
          </cell>
          <cell r="O303">
            <v>0</v>
          </cell>
          <cell r="P303" t="str">
            <v>4850-NDB-301B</v>
          </cell>
          <cell r="Q303" t="str">
            <v>S</v>
          </cell>
          <cell r="S303">
            <v>1.7600000000000002</v>
          </cell>
          <cell r="T303">
            <v>2.2000000000000002</v>
          </cell>
          <cell r="X303">
            <v>0.90200000000000002</v>
          </cell>
          <cell r="Y303">
            <v>0.85</v>
          </cell>
        </row>
        <row r="304">
          <cell r="A304" t="str">
            <v>PEU-2</v>
          </cell>
          <cell r="B304" t="str">
            <v>41-PK-5040-4</v>
          </cell>
          <cell r="C304" t="str">
            <v>Local Operator Panel</v>
          </cell>
          <cell r="D304">
            <v>4104</v>
          </cell>
          <cell r="E304" t="str">
            <v>ISBL</v>
          </cell>
          <cell r="J304" t="str">
            <v>3</v>
          </cell>
          <cell r="K304">
            <v>400</v>
          </cell>
          <cell r="L304" t="str">
            <v>AC</v>
          </cell>
          <cell r="M304" t="str">
            <v>F</v>
          </cell>
          <cell r="N304" t="str">
            <v>N</v>
          </cell>
          <cell r="O304">
            <v>0</v>
          </cell>
          <cell r="P304" t="str">
            <v>4850-NDB-301B</v>
          </cell>
          <cell r="Q304" t="str">
            <v>S</v>
          </cell>
          <cell r="S304">
            <v>1</v>
          </cell>
          <cell r="T304">
            <v>1</v>
          </cell>
          <cell r="X304">
            <v>0.90200000000000002</v>
          </cell>
          <cell r="Y304">
            <v>0.85</v>
          </cell>
        </row>
        <row r="305">
          <cell r="A305" t="str">
            <v>PEU-2</v>
          </cell>
          <cell r="B305" t="str">
            <v>41-PK-5051-3</v>
          </cell>
          <cell r="C305" t="str">
            <v>Oil still pump motor</v>
          </cell>
          <cell r="D305">
            <v>4104</v>
          </cell>
          <cell r="E305" t="str">
            <v>ISBL</v>
          </cell>
          <cell r="J305" t="str">
            <v>3</v>
          </cell>
          <cell r="K305">
            <v>400</v>
          </cell>
          <cell r="L305" t="str">
            <v>AC</v>
          </cell>
          <cell r="M305" t="str">
            <v>M</v>
          </cell>
          <cell r="N305" t="str">
            <v>N</v>
          </cell>
          <cell r="O305">
            <v>0</v>
          </cell>
          <cell r="P305" t="str">
            <v>4850-NDB-301A</v>
          </cell>
          <cell r="Q305" t="str">
            <v>C</v>
          </cell>
          <cell r="S305">
            <v>2.96</v>
          </cell>
          <cell r="T305">
            <v>3.7</v>
          </cell>
          <cell r="X305">
            <v>0.90200000000000002</v>
          </cell>
          <cell r="Y305">
            <v>0.85</v>
          </cell>
        </row>
        <row r="306">
          <cell r="A306" t="str">
            <v>PEU-2</v>
          </cell>
          <cell r="B306" t="str">
            <v>41-PK-5051-5</v>
          </cell>
          <cell r="C306" t="str">
            <v>Electric heater for oil still drum</v>
          </cell>
          <cell r="D306">
            <v>0</v>
          </cell>
          <cell r="E306" t="str">
            <v>ISBL</v>
          </cell>
          <cell r="J306" t="str">
            <v>3</v>
          </cell>
          <cell r="K306">
            <v>400</v>
          </cell>
          <cell r="L306" t="str">
            <v>AC</v>
          </cell>
          <cell r="M306" t="str">
            <v>F</v>
          </cell>
          <cell r="N306" t="str">
            <v>N</v>
          </cell>
          <cell r="O306">
            <v>0</v>
          </cell>
          <cell r="P306" t="str">
            <v>4850-NDB-301B</v>
          </cell>
          <cell r="Q306" t="str">
            <v>C</v>
          </cell>
          <cell r="S306">
            <v>3</v>
          </cell>
          <cell r="T306">
            <v>3</v>
          </cell>
          <cell r="X306">
            <v>0.90200000000000002</v>
          </cell>
          <cell r="Y306">
            <v>0.85</v>
          </cell>
        </row>
        <row r="307">
          <cell r="A307" t="str">
            <v>PEU-2</v>
          </cell>
          <cell r="B307" t="str">
            <v>MR-012-1A</v>
          </cell>
          <cell r="C307" t="str">
            <v>Priming motor for Recycle Column Feed Pumps</v>
          </cell>
          <cell r="D307" t="str">
            <v>x</v>
          </cell>
          <cell r="E307" t="str">
            <v>ISBL</v>
          </cell>
          <cell r="J307" t="str">
            <v>3</v>
          </cell>
          <cell r="K307">
            <v>400</v>
          </cell>
          <cell r="L307" t="str">
            <v>AC</v>
          </cell>
          <cell r="M307" t="str">
            <v>M</v>
          </cell>
          <cell r="N307" t="str">
            <v>N</v>
          </cell>
          <cell r="O307">
            <v>0</v>
          </cell>
          <cell r="P307" t="str">
            <v>4850-NDB-301A</v>
          </cell>
          <cell r="Q307" t="str">
            <v>C</v>
          </cell>
          <cell r="S307">
            <v>0.6</v>
          </cell>
          <cell r="T307">
            <v>0.75</v>
          </cell>
          <cell r="X307">
            <v>0.90200000000000002</v>
          </cell>
          <cell r="Y307">
            <v>0.85</v>
          </cell>
        </row>
        <row r="308">
          <cell r="A308" t="str">
            <v>PEU-2</v>
          </cell>
          <cell r="B308" t="str">
            <v>MR-012-1B</v>
          </cell>
          <cell r="C308" t="str">
            <v>Priming motor for Recycle Column Feed Pumps</v>
          </cell>
          <cell r="D308" t="str">
            <v>x</v>
          </cell>
          <cell r="E308" t="str">
            <v>ISBL</v>
          </cell>
          <cell r="J308" t="str">
            <v>3</v>
          </cell>
          <cell r="K308">
            <v>400</v>
          </cell>
          <cell r="L308" t="str">
            <v>AC</v>
          </cell>
          <cell r="M308" t="str">
            <v>M</v>
          </cell>
          <cell r="N308" t="str">
            <v>N</v>
          </cell>
          <cell r="O308">
            <v>0</v>
          </cell>
          <cell r="P308" t="str">
            <v>4850-NDB-301B</v>
          </cell>
          <cell r="Q308" t="str">
            <v>S</v>
          </cell>
          <cell r="S308">
            <v>0.6</v>
          </cell>
          <cell r="T308">
            <v>0.75</v>
          </cell>
          <cell r="X308">
            <v>0.90200000000000002</v>
          </cell>
          <cell r="Y308">
            <v>0.85</v>
          </cell>
        </row>
        <row r="309">
          <cell r="A309" t="str">
            <v>PEU-2</v>
          </cell>
          <cell r="B309" t="str">
            <v>41-MI-3001</v>
          </cell>
          <cell r="C309" t="str">
            <v>ZN Catalyst Drum Scale</v>
          </cell>
          <cell r="D309">
            <v>4105</v>
          </cell>
          <cell r="E309" t="str">
            <v>ISBL</v>
          </cell>
          <cell r="J309" t="str">
            <v>3</v>
          </cell>
          <cell r="K309">
            <v>400</v>
          </cell>
          <cell r="L309" t="str">
            <v>AC</v>
          </cell>
          <cell r="M309" t="str">
            <v>M</v>
          </cell>
          <cell r="N309" t="str">
            <v>N</v>
          </cell>
          <cell r="O309">
            <v>0</v>
          </cell>
          <cell r="P309" t="str">
            <v>4850-NDB-301B</v>
          </cell>
          <cell r="Q309" t="str">
            <v>I</v>
          </cell>
          <cell r="S309">
            <v>0.02</v>
          </cell>
          <cell r="T309">
            <v>0.02</v>
          </cell>
          <cell r="X309">
            <v>0.90200000000000002</v>
          </cell>
          <cell r="Y309">
            <v>0.85</v>
          </cell>
        </row>
        <row r="310">
          <cell r="A310" t="str">
            <v>PEU-2</v>
          </cell>
          <cell r="B310" t="str">
            <v>41-P-3202A</v>
          </cell>
          <cell r="C310" t="str">
            <v>ZN Catalyst Feed Pump</v>
          </cell>
          <cell r="D310">
            <v>4105</v>
          </cell>
          <cell r="E310" t="str">
            <v>ISBL</v>
          </cell>
          <cell r="J310" t="str">
            <v>3</v>
          </cell>
          <cell r="K310">
            <v>400</v>
          </cell>
          <cell r="L310" t="str">
            <v>AC</v>
          </cell>
          <cell r="M310" t="str">
            <v>M</v>
          </cell>
          <cell r="N310" t="str">
            <v>N</v>
          </cell>
          <cell r="O310">
            <v>0</v>
          </cell>
          <cell r="P310" t="str">
            <v>4850-NDB-301A</v>
          </cell>
          <cell r="Q310" t="str">
            <v>C</v>
          </cell>
          <cell r="S310">
            <v>1</v>
          </cell>
          <cell r="T310">
            <v>1.5</v>
          </cell>
          <cell r="X310">
            <v>0.93</v>
          </cell>
          <cell r="Y310">
            <v>0.85</v>
          </cell>
        </row>
        <row r="311">
          <cell r="A311" t="str">
            <v>PEU-2</v>
          </cell>
          <cell r="B311" t="str">
            <v>41-P-3202B</v>
          </cell>
          <cell r="C311" t="str">
            <v>ZN Catalyst Feed Pump</v>
          </cell>
          <cell r="D311">
            <v>4105</v>
          </cell>
          <cell r="E311" t="str">
            <v>ISBL</v>
          </cell>
          <cell r="J311" t="str">
            <v>3</v>
          </cell>
          <cell r="K311">
            <v>400</v>
          </cell>
          <cell r="L311" t="str">
            <v>AC</v>
          </cell>
          <cell r="M311" t="str">
            <v>M</v>
          </cell>
          <cell r="N311" t="str">
            <v>N</v>
          </cell>
          <cell r="O311">
            <v>0</v>
          </cell>
          <cell r="P311" t="str">
            <v>4850-NDB-301B</v>
          </cell>
          <cell r="Q311" t="str">
            <v>C</v>
          </cell>
          <cell r="S311">
            <v>1</v>
          </cell>
          <cell r="T311">
            <v>1.5</v>
          </cell>
          <cell r="X311">
            <v>0.86899999999999999</v>
          </cell>
          <cell r="Y311">
            <v>0.85</v>
          </cell>
        </row>
        <row r="312">
          <cell r="A312" t="str">
            <v>PEU-2</v>
          </cell>
          <cell r="B312" t="str">
            <v>41-P-3202C</v>
          </cell>
          <cell r="C312" t="str">
            <v>ZN Catalyst Feed Pump</v>
          </cell>
          <cell r="D312">
            <v>4105</v>
          </cell>
          <cell r="E312" t="str">
            <v>ISBL</v>
          </cell>
          <cell r="J312" t="str">
            <v>3</v>
          </cell>
          <cell r="K312">
            <v>400</v>
          </cell>
          <cell r="L312" t="str">
            <v>AC</v>
          </cell>
          <cell r="M312" t="str">
            <v>M</v>
          </cell>
          <cell r="N312" t="str">
            <v>N</v>
          </cell>
          <cell r="O312">
            <v>0</v>
          </cell>
          <cell r="P312" t="str">
            <v>4850-NDB-301A</v>
          </cell>
          <cell r="Q312" t="str">
            <v>S</v>
          </cell>
          <cell r="S312">
            <v>1</v>
          </cell>
          <cell r="T312">
            <v>1.5</v>
          </cell>
          <cell r="X312">
            <v>0.86899999999999999</v>
          </cell>
          <cell r="Y312">
            <v>0.85</v>
          </cell>
        </row>
        <row r="313">
          <cell r="A313" t="str">
            <v>PEU-2</v>
          </cell>
          <cell r="B313" t="str">
            <v>41-P-4005</v>
          </cell>
          <cell r="C313" t="str">
            <v>Spare Neat TEAl Pump</v>
          </cell>
          <cell r="D313">
            <v>4105</v>
          </cell>
          <cell r="E313" t="str">
            <v>ISBL</v>
          </cell>
          <cell r="J313" t="str">
            <v>3</v>
          </cell>
          <cell r="K313">
            <v>400</v>
          </cell>
          <cell r="L313" t="str">
            <v>AC</v>
          </cell>
          <cell r="M313" t="str">
            <v>M</v>
          </cell>
          <cell r="N313" t="str">
            <v>N</v>
          </cell>
          <cell r="O313">
            <v>0</v>
          </cell>
          <cell r="P313" t="str">
            <v>4850-NDB-301B</v>
          </cell>
          <cell r="Q313" t="str">
            <v>S</v>
          </cell>
          <cell r="S313">
            <v>0.1</v>
          </cell>
          <cell r="T313">
            <v>0.37</v>
          </cell>
          <cell r="X313">
            <v>1</v>
          </cell>
          <cell r="Y313">
            <v>0.85</v>
          </cell>
        </row>
        <row r="314">
          <cell r="A314" t="str">
            <v>PEU-2</v>
          </cell>
          <cell r="B314" t="str">
            <v>41-P-4105</v>
          </cell>
          <cell r="C314" t="str">
            <v>Reactor A Neat TEAl Pump</v>
          </cell>
          <cell r="D314">
            <v>4105</v>
          </cell>
          <cell r="E314" t="str">
            <v>ISBL</v>
          </cell>
          <cell r="J314" t="str">
            <v>3</v>
          </cell>
          <cell r="K314">
            <v>400</v>
          </cell>
          <cell r="L314" t="str">
            <v>AC</v>
          </cell>
          <cell r="M314" t="str">
            <v>M</v>
          </cell>
          <cell r="N314" t="str">
            <v>N</v>
          </cell>
          <cell r="O314">
            <v>0</v>
          </cell>
          <cell r="P314" t="str">
            <v>4850-NDB-301A</v>
          </cell>
          <cell r="Q314" t="str">
            <v>C</v>
          </cell>
          <cell r="S314">
            <v>0.1</v>
          </cell>
          <cell r="T314">
            <v>0.37</v>
          </cell>
          <cell r="X314">
            <v>0.94099999999999995</v>
          </cell>
          <cell r="Y314">
            <v>0.85</v>
          </cell>
        </row>
        <row r="315">
          <cell r="A315" t="str">
            <v>PEU-2</v>
          </cell>
          <cell r="B315" t="str">
            <v>41-P-4205</v>
          </cell>
          <cell r="C315" t="str">
            <v>Reactor B Neat TEAl Pump</v>
          </cell>
          <cell r="D315">
            <v>4105</v>
          </cell>
          <cell r="E315" t="str">
            <v>ISBL</v>
          </cell>
          <cell r="J315" t="str">
            <v>3</v>
          </cell>
          <cell r="K315">
            <v>400</v>
          </cell>
          <cell r="L315" t="str">
            <v>AC</v>
          </cell>
          <cell r="M315" t="str">
            <v>M</v>
          </cell>
          <cell r="N315" t="str">
            <v>N</v>
          </cell>
          <cell r="O315">
            <v>0</v>
          </cell>
          <cell r="P315" t="str">
            <v>4850-NDB-301B</v>
          </cell>
          <cell r="Q315" t="str">
            <v>C</v>
          </cell>
          <cell r="S315">
            <v>0.1</v>
          </cell>
          <cell r="T315">
            <v>0.37</v>
          </cell>
          <cell r="X315">
            <v>0.94099999999999995</v>
          </cell>
          <cell r="Y315">
            <v>0.85</v>
          </cell>
        </row>
        <row r="316">
          <cell r="A316" t="str">
            <v>PEU-2</v>
          </cell>
          <cell r="B316" t="str">
            <v>41-P-4060</v>
          </cell>
          <cell r="C316" t="str">
            <v>Spare TiBAl Pump</v>
          </cell>
          <cell r="D316">
            <v>4105</v>
          </cell>
          <cell r="E316" t="str">
            <v>ISBL</v>
          </cell>
          <cell r="J316" t="str">
            <v>3</v>
          </cell>
          <cell r="K316">
            <v>400</v>
          </cell>
          <cell r="L316" t="str">
            <v>AC</v>
          </cell>
          <cell r="M316" t="str">
            <v>M</v>
          </cell>
          <cell r="N316" t="str">
            <v>N</v>
          </cell>
          <cell r="O316">
            <v>0</v>
          </cell>
          <cell r="P316" t="str">
            <v>4850-NDB-301A</v>
          </cell>
          <cell r="Q316" t="str">
            <v>S</v>
          </cell>
          <cell r="S316">
            <v>0.2</v>
          </cell>
          <cell r="T316">
            <v>0.37</v>
          </cell>
          <cell r="X316">
            <v>0.68</v>
          </cell>
          <cell r="Y316">
            <v>0.85</v>
          </cell>
        </row>
        <row r="317">
          <cell r="A317" t="str">
            <v>PEU-2</v>
          </cell>
          <cell r="B317" t="str">
            <v>41-P-4160</v>
          </cell>
          <cell r="C317" t="str">
            <v>Reactor A TiBAl Pump</v>
          </cell>
          <cell r="D317">
            <v>4105</v>
          </cell>
          <cell r="E317" t="str">
            <v>ISBL</v>
          </cell>
          <cell r="J317" t="str">
            <v>3</v>
          </cell>
          <cell r="K317">
            <v>400</v>
          </cell>
          <cell r="L317" t="str">
            <v>AC</v>
          </cell>
          <cell r="M317" t="str">
            <v>M</v>
          </cell>
          <cell r="N317" t="str">
            <v>N</v>
          </cell>
          <cell r="O317">
            <v>0</v>
          </cell>
          <cell r="P317" t="str">
            <v>4850-NDB-301B</v>
          </cell>
          <cell r="Q317" t="str">
            <v>C</v>
          </cell>
          <cell r="S317">
            <v>0.2</v>
          </cell>
          <cell r="T317">
            <v>0.37</v>
          </cell>
          <cell r="X317">
            <v>0.68</v>
          </cell>
          <cell r="Y317">
            <v>0.85</v>
          </cell>
        </row>
        <row r="318">
          <cell r="A318" t="str">
            <v>PEU-2</v>
          </cell>
          <cell r="B318" t="str">
            <v>41-P-4260</v>
          </cell>
          <cell r="C318" t="str">
            <v>Reactor B TiBAl Pump</v>
          </cell>
          <cell r="D318">
            <v>4105</v>
          </cell>
          <cell r="E318" t="str">
            <v>ISBL</v>
          </cell>
          <cell r="J318" t="str">
            <v>3</v>
          </cell>
          <cell r="K318">
            <v>400</v>
          </cell>
          <cell r="L318" t="str">
            <v>AC</v>
          </cell>
          <cell r="M318" t="str">
            <v>M</v>
          </cell>
          <cell r="N318" t="str">
            <v>N</v>
          </cell>
          <cell r="O318">
            <v>0</v>
          </cell>
          <cell r="P318" t="str">
            <v>4850-NDB-301A</v>
          </cell>
          <cell r="Q318" t="str">
            <v>C</v>
          </cell>
          <cell r="S318">
            <v>0.2</v>
          </cell>
          <cell r="T318">
            <v>0.37</v>
          </cell>
          <cell r="X318">
            <v>0.93</v>
          </cell>
          <cell r="Y318">
            <v>0.85</v>
          </cell>
        </row>
        <row r="319">
          <cell r="A319" t="str">
            <v>PEU-2</v>
          </cell>
          <cell r="B319" t="str">
            <v>41-P-3103A</v>
          </cell>
          <cell r="C319" t="str">
            <v>PF Catalyst Feed Pump</v>
          </cell>
          <cell r="D319">
            <v>4105</v>
          </cell>
          <cell r="E319" t="str">
            <v>ISBL</v>
          </cell>
          <cell r="J319" t="str">
            <v>3</v>
          </cell>
          <cell r="K319">
            <v>400</v>
          </cell>
          <cell r="L319" t="str">
            <v>AC</v>
          </cell>
          <cell r="M319" t="str">
            <v>M</v>
          </cell>
          <cell r="N319" t="str">
            <v>N</v>
          </cell>
          <cell r="O319">
            <v>0</v>
          </cell>
          <cell r="P319" t="str">
            <v>4850-NDB-301B</v>
          </cell>
          <cell r="Q319" t="str">
            <v>C</v>
          </cell>
          <cell r="S319">
            <v>1</v>
          </cell>
          <cell r="T319">
            <v>1.5</v>
          </cell>
          <cell r="X319">
            <v>0.93</v>
          </cell>
          <cell r="Y319">
            <v>0.85</v>
          </cell>
        </row>
        <row r="320">
          <cell r="A320" t="str">
            <v>PEU-2</v>
          </cell>
          <cell r="B320" t="str">
            <v>41-P-3103B</v>
          </cell>
          <cell r="C320" t="str">
            <v>PF Catalyst Feed Pump</v>
          </cell>
          <cell r="D320">
            <v>4105</v>
          </cell>
          <cell r="E320" t="str">
            <v>ISBL</v>
          </cell>
          <cell r="J320" t="str">
            <v>3</v>
          </cell>
          <cell r="K320">
            <v>400</v>
          </cell>
          <cell r="L320" t="str">
            <v>AC</v>
          </cell>
          <cell r="M320" t="str">
            <v>M</v>
          </cell>
          <cell r="N320" t="str">
            <v>N</v>
          </cell>
          <cell r="O320">
            <v>0</v>
          </cell>
          <cell r="P320" t="str">
            <v>4850-NDB-301A</v>
          </cell>
          <cell r="Q320" t="str">
            <v>C</v>
          </cell>
          <cell r="S320">
            <v>1</v>
          </cell>
          <cell r="T320">
            <v>1.5</v>
          </cell>
          <cell r="X320">
            <v>0.86899999999999999</v>
          </cell>
          <cell r="Y320">
            <v>0.85</v>
          </cell>
        </row>
        <row r="321">
          <cell r="A321" t="str">
            <v>PEU-2</v>
          </cell>
          <cell r="B321" t="str">
            <v>41-P-3103C</v>
          </cell>
          <cell r="C321" t="str">
            <v>PF Catalyst Feed Pump</v>
          </cell>
          <cell r="D321">
            <v>41054105</v>
          </cell>
          <cell r="E321" t="str">
            <v>ISBL</v>
          </cell>
          <cell r="J321" t="str">
            <v>3</v>
          </cell>
          <cell r="K321">
            <v>400</v>
          </cell>
          <cell r="L321" t="str">
            <v>AC</v>
          </cell>
          <cell r="M321" t="str">
            <v>M</v>
          </cell>
          <cell r="N321" t="str">
            <v>N</v>
          </cell>
          <cell r="O321">
            <v>0</v>
          </cell>
          <cell r="P321" t="str">
            <v>4850-NDB-301A</v>
          </cell>
          <cell r="Q321" t="str">
            <v>S</v>
          </cell>
          <cell r="S321">
            <v>1</v>
          </cell>
          <cell r="T321">
            <v>1.5</v>
          </cell>
          <cell r="X321">
            <v>0.86899999999999999</v>
          </cell>
          <cell r="Y321">
            <v>0.85</v>
          </cell>
        </row>
        <row r="322">
          <cell r="A322" t="str">
            <v>PEU-2</v>
          </cell>
          <cell r="B322" t="str">
            <v>41-P-4006</v>
          </cell>
          <cell r="C322" t="str">
            <v>Spare Dilute TEAl Pump</v>
          </cell>
          <cell r="D322">
            <v>4105</v>
          </cell>
          <cell r="E322" t="str">
            <v>ISBL</v>
          </cell>
          <cell r="J322" t="str">
            <v>3</v>
          </cell>
          <cell r="K322">
            <v>400</v>
          </cell>
          <cell r="L322" t="str">
            <v>AC</v>
          </cell>
          <cell r="M322" t="str">
            <v>M</v>
          </cell>
          <cell r="N322" t="str">
            <v>N</v>
          </cell>
          <cell r="O322">
            <v>0</v>
          </cell>
          <cell r="P322" t="str">
            <v>4850-NDB-301B</v>
          </cell>
          <cell r="Q322" t="str">
            <v>S</v>
          </cell>
          <cell r="S322">
            <v>0.2</v>
          </cell>
          <cell r="T322">
            <v>0.37</v>
          </cell>
          <cell r="X322">
            <v>0.78600000000000003</v>
          </cell>
          <cell r="Y322">
            <v>0.85</v>
          </cell>
        </row>
        <row r="323">
          <cell r="A323" t="str">
            <v>PEU-2</v>
          </cell>
          <cell r="B323" t="str">
            <v>41-P-4106</v>
          </cell>
          <cell r="C323" t="str">
            <v>Reactor A Dilute TEAl Pump</v>
          </cell>
          <cell r="D323">
            <v>4105</v>
          </cell>
          <cell r="E323" t="str">
            <v>ISBL</v>
          </cell>
          <cell r="J323" t="str">
            <v>3</v>
          </cell>
          <cell r="K323">
            <v>400</v>
          </cell>
          <cell r="L323" t="str">
            <v>AC</v>
          </cell>
          <cell r="M323" t="str">
            <v>M</v>
          </cell>
          <cell r="N323" t="str">
            <v>N</v>
          </cell>
          <cell r="O323">
            <v>0</v>
          </cell>
          <cell r="P323" t="str">
            <v>4850-NDB-301A</v>
          </cell>
          <cell r="Q323" t="str">
            <v>C</v>
          </cell>
          <cell r="S323">
            <v>0.2</v>
          </cell>
          <cell r="T323">
            <v>0.37</v>
          </cell>
          <cell r="X323">
            <v>0.78600000000000003</v>
          </cell>
          <cell r="Y323">
            <v>0.85</v>
          </cell>
        </row>
        <row r="324">
          <cell r="A324" t="str">
            <v>LAO</v>
          </cell>
          <cell r="B324" t="str">
            <v>MR-012-2A</v>
          </cell>
          <cell r="C324" t="str">
            <v>Priming motor for Recycle Column Feed Pumps</v>
          </cell>
          <cell r="D324" t="str">
            <v>x</v>
          </cell>
          <cell r="E324" t="str">
            <v>ISBL</v>
          </cell>
          <cell r="J324" t="str">
            <v>3</v>
          </cell>
          <cell r="K324">
            <v>400</v>
          </cell>
          <cell r="L324" t="str">
            <v>AC</v>
          </cell>
          <cell r="M324" t="str">
            <v>M</v>
          </cell>
          <cell r="N324" t="str">
            <v>N</v>
          </cell>
          <cell r="O324">
            <v>0</v>
          </cell>
          <cell r="P324" t="str">
            <v>4850-NDB-301A</v>
          </cell>
          <cell r="Q324" t="str">
            <v>C</v>
          </cell>
          <cell r="S324">
            <v>0.5</v>
          </cell>
          <cell r="T324">
            <v>0.75</v>
          </cell>
          <cell r="X324">
            <v>0.90200000000000002</v>
          </cell>
          <cell r="Y324">
            <v>0.85</v>
          </cell>
        </row>
        <row r="325">
          <cell r="A325" t="str">
            <v>LAO</v>
          </cell>
          <cell r="B325" t="str">
            <v>MR-012-2B</v>
          </cell>
          <cell r="C325" t="str">
            <v>Priming motor for Recycle Column Feed Pumps</v>
          </cell>
          <cell r="D325" t="str">
            <v>x</v>
          </cell>
          <cell r="E325" t="str">
            <v>ISBL</v>
          </cell>
          <cell r="J325" t="str">
            <v>3</v>
          </cell>
          <cell r="K325">
            <v>400</v>
          </cell>
          <cell r="L325" t="str">
            <v>AC</v>
          </cell>
          <cell r="M325" t="str">
            <v>M</v>
          </cell>
          <cell r="N325" t="str">
            <v>N</v>
          </cell>
          <cell r="O325">
            <v>0</v>
          </cell>
          <cell r="P325" t="str">
            <v>4850-NDB-301B</v>
          </cell>
          <cell r="Q325" t="str">
            <v>S</v>
          </cell>
          <cell r="S325">
            <v>0.5</v>
          </cell>
          <cell r="T325">
            <v>0.75</v>
          </cell>
          <cell r="X325">
            <v>0.90200000000000002</v>
          </cell>
          <cell r="Y325">
            <v>0.85</v>
          </cell>
        </row>
        <row r="326">
          <cell r="A326" t="str">
            <v>LAO</v>
          </cell>
          <cell r="B326" t="str">
            <v>51-P-1001A</v>
          </cell>
          <cell r="C326" t="str">
            <v>LC 2254 Pumps</v>
          </cell>
          <cell r="D326">
            <v>5101</v>
          </cell>
          <cell r="E326" t="str">
            <v>ISBL</v>
          </cell>
          <cell r="J326" t="str">
            <v>3</v>
          </cell>
          <cell r="K326">
            <v>400</v>
          </cell>
          <cell r="L326" t="str">
            <v>AC</v>
          </cell>
          <cell r="M326" t="str">
            <v>M</v>
          </cell>
          <cell r="N326" t="str">
            <v>N</v>
          </cell>
          <cell r="O326">
            <v>0</v>
          </cell>
          <cell r="P326" t="str">
            <v>4850-NDB-301B</v>
          </cell>
          <cell r="Q326" t="str">
            <v>C</v>
          </cell>
          <cell r="S326">
            <v>0.4</v>
          </cell>
          <cell r="T326">
            <v>0.55000000000000004</v>
          </cell>
          <cell r="X326">
            <v>0.78600000000000003</v>
          </cell>
          <cell r="Y326">
            <v>0.85</v>
          </cell>
        </row>
        <row r="327">
          <cell r="A327" t="str">
            <v>LAO</v>
          </cell>
          <cell r="B327" t="str">
            <v>51-P-1001B</v>
          </cell>
          <cell r="C327" t="str">
            <v>LC 2254 Pumps</v>
          </cell>
          <cell r="D327">
            <v>5101</v>
          </cell>
          <cell r="E327" t="str">
            <v>ISBL</v>
          </cell>
          <cell r="J327" t="str">
            <v>3</v>
          </cell>
          <cell r="K327">
            <v>400</v>
          </cell>
          <cell r="L327" t="str">
            <v>AC</v>
          </cell>
          <cell r="M327" t="str">
            <v>M</v>
          </cell>
          <cell r="N327" t="str">
            <v>N</v>
          </cell>
          <cell r="O327">
            <v>0</v>
          </cell>
          <cell r="P327" t="str">
            <v>4850-NDB-301A</v>
          </cell>
          <cell r="Q327" t="str">
            <v>S</v>
          </cell>
          <cell r="S327">
            <v>0.4</v>
          </cell>
          <cell r="T327">
            <v>0.55000000000000004</v>
          </cell>
          <cell r="X327">
            <v>0.78600000000000003</v>
          </cell>
          <cell r="Y327">
            <v>0.85</v>
          </cell>
        </row>
        <row r="328">
          <cell r="A328" t="str">
            <v>LAO</v>
          </cell>
          <cell r="B328" t="str">
            <v>51-P-1010A</v>
          </cell>
          <cell r="C328" t="str">
            <v>Amine Pumps</v>
          </cell>
          <cell r="D328">
            <v>5101</v>
          </cell>
          <cell r="E328" t="str">
            <v>ISBL</v>
          </cell>
          <cell r="J328" t="str">
            <v>3</v>
          </cell>
          <cell r="K328">
            <v>400</v>
          </cell>
          <cell r="L328" t="str">
            <v>AC</v>
          </cell>
          <cell r="M328" t="str">
            <v>M</v>
          </cell>
          <cell r="N328" t="str">
            <v>N</v>
          </cell>
          <cell r="O328">
            <v>0</v>
          </cell>
          <cell r="P328" t="str">
            <v>4850-NDB-301B</v>
          </cell>
          <cell r="Q328" t="str">
            <v>C</v>
          </cell>
          <cell r="S328">
            <v>0.4</v>
          </cell>
          <cell r="T328">
            <v>0.55000000000000004</v>
          </cell>
          <cell r="X328">
            <v>0.78600000000000003</v>
          </cell>
          <cell r="Y328">
            <v>0.85</v>
          </cell>
        </row>
        <row r="329">
          <cell r="A329" t="str">
            <v>LAO</v>
          </cell>
          <cell r="B329" t="str">
            <v>51-P-1010B</v>
          </cell>
          <cell r="C329" t="str">
            <v>Amine Pumps</v>
          </cell>
          <cell r="D329">
            <v>5101</v>
          </cell>
          <cell r="E329" t="str">
            <v>ISBL</v>
          </cell>
          <cell r="J329" t="str">
            <v>3</v>
          </cell>
          <cell r="K329">
            <v>400</v>
          </cell>
          <cell r="L329" t="str">
            <v>AC</v>
          </cell>
          <cell r="M329" t="str">
            <v>M</v>
          </cell>
          <cell r="N329" t="str">
            <v>N</v>
          </cell>
          <cell r="O329">
            <v>0</v>
          </cell>
          <cell r="P329" t="str">
            <v>4850-NDB-301A</v>
          </cell>
          <cell r="Q329" t="str">
            <v>S</v>
          </cell>
          <cell r="S329">
            <v>0.4</v>
          </cell>
          <cell r="T329">
            <v>0.55000000000000004</v>
          </cell>
          <cell r="X329">
            <v>0.78600000000000003</v>
          </cell>
          <cell r="Y329">
            <v>0.85</v>
          </cell>
        </row>
        <row r="330">
          <cell r="A330" t="str">
            <v>LAO</v>
          </cell>
          <cell r="B330" t="str">
            <v>51-P-1013A</v>
          </cell>
          <cell r="C330" t="str">
            <v>Flushing Pumps</v>
          </cell>
          <cell r="D330">
            <v>5101</v>
          </cell>
          <cell r="E330" t="str">
            <v>ISBL</v>
          </cell>
          <cell r="J330" t="str">
            <v>3</v>
          </cell>
          <cell r="K330">
            <v>400</v>
          </cell>
          <cell r="L330" t="str">
            <v>AC</v>
          </cell>
          <cell r="M330" t="str">
            <v>M</v>
          </cell>
          <cell r="N330" t="str">
            <v>N</v>
          </cell>
          <cell r="O330">
            <v>0</v>
          </cell>
          <cell r="P330" t="str">
            <v>4850-NDB-301B</v>
          </cell>
          <cell r="Q330" t="str">
            <v>C</v>
          </cell>
          <cell r="S330">
            <v>1.3</v>
          </cell>
          <cell r="T330">
            <v>2.2000000000000002</v>
          </cell>
          <cell r="X330">
            <v>0.78600000000000003</v>
          </cell>
          <cell r="Y330">
            <v>0.85</v>
          </cell>
        </row>
        <row r="331">
          <cell r="A331" t="str">
            <v>LAO</v>
          </cell>
          <cell r="B331" t="str">
            <v>51-P-1013B</v>
          </cell>
          <cell r="C331" t="str">
            <v>Flushing Pumps</v>
          </cell>
          <cell r="D331">
            <v>5101</v>
          </cell>
          <cell r="E331" t="str">
            <v>ISBL</v>
          </cell>
          <cell r="J331" t="str">
            <v>3</v>
          </cell>
          <cell r="K331">
            <v>400</v>
          </cell>
          <cell r="L331" t="str">
            <v>AC</v>
          </cell>
          <cell r="M331" t="str">
            <v>M</v>
          </cell>
          <cell r="N331" t="str">
            <v>N</v>
          </cell>
          <cell r="O331">
            <v>0</v>
          </cell>
          <cell r="P331" t="str">
            <v>4850-NDB-301A</v>
          </cell>
          <cell r="Q331" t="str">
            <v>S</v>
          </cell>
          <cell r="S331">
            <v>1.3</v>
          </cell>
          <cell r="T331">
            <v>2.2000000000000002</v>
          </cell>
          <cell r="X331">
            <v>0.78600000000000003</v>
          </cell>
          <cell r="Y331">
            <v>0.85</v>
          </cell>
        </row>
        <row r="332">
          <cell r="A332" t="str">
            <v>LAO</v>
          </cell>
          <cell r="B332" t="str">
            <v>51-P-1012A</v>
          </cell>
          <cell r="C332" t="str">
            <v xml:space="preserve">Catalyst Solvent Pumps </v>
          </cell>
          <cell r="D332">
            <v>4105</v>
          </cell>
          <cell r="E332" t="str">
            <v>ISBL</v>
          </cell>
          <cell r="J332" t="str">
            <v>3</v>
          </cell>
          <cell r="K332">
            <v>400</v>
          </cell>
          <cell r="L332" t="str">
            <v>AC</v>
          </cell>
          <cell r="M332" t="str">
            <v>M</v>
          </cell>
          <cell r="N332" t="str">
            <v>N</v>
          </cell>
          <cell r="O332">
            <v>0</v>
          </cell>
          <cell r="P332" t="str">
            <v>4850-NDB-301B</v>
          </cell>
          <cell r="Q332" t="str">
            <v>C</v>
          </cell>
          <cell r="S332">
            <v>0.6</v>
          </cell>
          <cell r="T332">
            <v>1.5</v>
          </cell>
          <cell r="X332">
            <v>0.78600000000000003</v>
          </cell>
          <cell r="Y332">
            <v>0.85</v>
          </cell>
        </row>
        <row r="333">
          <cell r="A333" t="str">
            <v>LAO</v>
          </cell>
          <cell r="B333" t="str">
            <v>51-P-1012B</v>
          </cell>
          <cell r="C333" t="str">
            <v xml:space="preserve">Catalyst Solvent Pumps </v>
          </cell>
          <cell r="D333">
            <v>4105</v>
          </cell>
          <cell r="E333" t="str">
            <v>ISBL</v>
          </cell>
          <cell r="J333" t="str">
            <v>3</v>
          </cell>
          <cell r="K333">
            <v>400</v>
          </cell>
          <cell r="L333" t="str">
            <v>AC</v>
          </cell>
          <cell r="M333" t="str">
            <v>M</v>
          </cell>
          <cell r="N333" t="str">
            <v>N</v>
          </cell>
          <cell r="O333">
            <v>0</v>
          </cell>
          <cell r="P333" t="str">
            <v>4850-NDB-301A</v>
          </cell>
          <cell r="Q333" t="str">
            <v>S</v>
          </cell>
          <cell r="S333">
            <v>0.6</v>
          </cell>
          <cell r="T333">
            <v>1.5</v>
          </cell>
          <cell r="X333">
            <v>0.78600000000000003</v>
          </cell>
          <cell r="Y333">
            <v>0.85</v>
          </cell>
        </row>
        <row r="334">
          <cell r="A334" t="str">
            <v>LAO</v>
          </cell>
          <cell r="B334" t="str">
            <v>51-PK-1001-2A</v>
          </cell>
          <cell r="C334" t="str">
            <v xml:space="preserve">TEA Pump </v>
          </cell>
          <cell r="D334">
            <v>5101</v>
          </cell>
          <cell r="E334" t="str">
            <v>ISBL</v>
          </cell>
          <cell r="J334" t="str">
            <v>3</v>
          </cell>
          <cell r="K334">
            <v>400</v>
          </cell>
          <cell r="L334" t="str">
            <v>AC</v>
          </cell>
          <cell r="M334" t="str">
            <v>M</v>
          </cell>
          <cell r="N334" t="str">
            <v>N</v>
          </cell>
          <cell r="O334">
            <v>0</v>
          </cell>
          <cell r="P334" t="str">
            <v>4850-NDB-301A</v>
          </cell>
          <cell r="Q334" t="str">
            <v>C</v>
          </cell>
          <cell r="S334">
            <v>0.5625</v>
          </cell>
          <cell r="T334">
            <v>0.75</v>
          </cell>
          <cell r="X334">
            <v>0.78600000000000003</v>
          </cell>
          <cell r="Y334">
            <v>0.85</v>
          </cell>
        </row>
        <row r="335">
          <cell r="A335" t="str">
            <v>LAO</v>
          </cell>
          <cell r="B335" t="str">
            <v>51-PK-1001-2B</v>
          </cell>
          <cell r="C335" t="str">
            <v xml:space="preserve">TEA Pump </v>
          </cell>
          <cell r="D335">
            <v>5101</v>
          </cell>
          <cell r="E335" t="str">
            <v>ISBL</v>
          </cell>
          <cell r="J335" t="str">
            <v>3</v>
          </cell>
          <cell r="K335">
            <v>400</v>
          </cell>
          <cell r="L335" t="str">
            <v>AC</v>
          </cell>
          <cell r="M335" t="str">
            <v>M</v>
          </cell>
          <cell r="N335" t="str">
            <v>N</v>
          </cell>
          <cell r="O335">
            <v>0</v>
          </cell>
          <cell r="P335" t="str">
            <v>4850-NDB-301B</v>
          </cell>
          <cell r="Q335" t="str">
            <v>S</v>
          </cell>
          <cell r="S335">
            <v>0.5625</v>
          </cell>
          <cell r="T335">
            <v>0.75</v>
          </cell>
          <cell r="X335">
            <v>0.78600000000000003</v>
          </cell>
          <cell r="Y335">
            <v>0.85</v>
          </cell>
        </row>
        <row r="336">
          <cell r="A336" t="str">
            <v>LAO</v>
          </cell>
          <cell r="B336" t="str">
            <v>51-PK-1001-3</v>
          </cell>
          <cell r="C336" t="str">
            <v xml:space="preserve">Seal Pumpout Pump </v>
          </cell>
          <cell r="D336">
            <v>5101</v>
          </cell>
          <cell r="E336" t="str">
            <v>ISBL</v>
          </cell>
          <cell r="J336" t="str">
            <v>3</v>
          </cell>
          <cell r="K336">
            <v>400</v>
          </cell>
          <cell r="L336" t="str">
            <v>AC</v>
          </cell>
          <cell r="M336" t="str">
            <v>M</v>
          </cell>
          <cell r="N336" t="str">
            <v>N</v>
          </cell>
          <cell r="O336">
            <v>0</v>
          </cell>
          <cell r="P336" t="str">
            <v>4850-NDB-301A</v>
          </cell>
          <cell r="Q336" t="str">
            <v>I</v>
          </cell>
          <cell r="S336">
            <v>0.15000000000000002</v>
          </cell>
          <cell r="T336">
            <v>0.2</v>
          </cell>
          <cell r="X336">
            <v>0.78600000000000003</v>
          </cell>
          <cell r="Y336">
            <v>0.85</v>
          </cell>
        </row>
        <row r="337">
          <cell r="A337">
            <v>0</v>
          </cell>
          <cell r="B337" t="str">
            <v>4850-LDB-301</v>
          </cell>
          <cell r="C337" t="str">
            <v>NORMAL LIGHTING POWER DISTRIBUTION PANEL</v>
          </cell>
          <cell r="D337">
            <v>4850</v>
          </cell>
          <cell r="E337" t="str">
            <v>ISBL</v>
          </cell>
          <cell r="J337" t="str">
            <v>3</v>
          </cell>
          <cell r="K337">
            <v>400</v>
          </cell>
          <cell r="L337" t="str">
            <v>AC</v>
          </cell>
          <cell r="M337" t="str">
            <v>F</v>
          </cell>
          <cell r="N337" t="str">
            <v>N</v>
          </cell>
          <cell r="O337">
            <v>0</v>
          </cell>
          <cell r="P337" t="str">
            <v>4850-NDB-301A</v>
          </cell>
          <cell r="Q337" t="str">
            <v>C</v>
          </cell>
          <cell r="S337">
            <v>96</v>
          </cell>
          <cell r="T337">
            <v>120</v>
          </cell>
          <cell r="X337">
            <v>0.79100000000000004</v>
          </cell>
          <cell r="Y337">
            <v>0.85</v>
          </cell>
        </row>
        <row r="338">
          <cell r="A338">
            <v>0</v>
          </cell>
          <cell r="B338" t="str">
            <v>4850-XDB-301</v>
          </cell>
          <cell r="C338" t="str">
            <v>SMALL POWER DISTRIBUTION PANEL</v>
          </cell>
          <cell r="D338">
            <v>4850</v>
          </cell>
          <cell r="E338" t="str">
            <v>ISBL</v>
          </cell>
          <cell r="J338" t="str">
            <v>3</v>
          </cell>
          <cell r="K338">
            <v>400</v>
          </cell>
          <cell r="L338" t="str">
            <v>AC</v>
          </cell>
          <cell r="M338" t="str">
            <v>F</v>
          </cell>
          <cell r="N338" t="str">
            <v>N</v>
          </cell>
          <cell r="O338">
            <v>0</v>
          </cell>
          <cell r="P338" t="str">
            <v>4850-NDB-301A</v>
          </cell>
          <cell r="Q338" t="str">
            <v>C</v>
          </cell>
          <cell r="S338">
            <v>96</v>
          </cell>
          <cell r="T338">
            <v>120</v>
          </cell>
          <cell r="X338">
            <v>0.79100000000000004</v>
          </cell>
          <cell r="Y338">
            <v>0.85</v>
          </cell>
        </row>
        <row r="339">
          <cell r="A339">
            <v>0</v>
          </cell>
          <cell r="B339" t="str">
            <v>4850-WDB-301</v>
          </cell>
          <cell r="C339" t="str">
            <v>WELDING RECEPTACLE PDP</v>
          </cell>
          <cell r="D339">
            <v>4850</v>
          </cell>
          <cell r="E339" t="str">
            <v>ISBL</v>
          </cell>
          <cell r="J339" t="str">
            <v>3</v>
          </cell>
          <cell r="K339">
            <v>400</v>
          </cell>
          <cell r="L339" t="str">
            <v>AC</v>
          </cell>
          <cell r="M339" t="str">
            <v>F</v>
          </cell>
          <cell r="N339" t="str">
            <v>N</v>
          </cell>
          <cell r="O339">
            <v>0</v>
          </cell>
          <cell r="P339" t="str">
            <v>4850-NDB-301B</v>
          </cell>
          <cell r="Q339" t="str">
            <v>C</v>
          </cell>
          <cell r="S339">
            <v>160</v>
          </cell>
          <cell r="T339">
            <v>200</v>
          </cell>
          <cell r="X339">
            <v>0.79100000000000004</v>
          </cell>
          <cell r="Y339">
            <v>0.85</v>
          </cell>
        </row>
        <row r="340">
          <cell r="A340">
            <v>0</v>
          </cell>
          <cell r="B340" t="str">
            <v>4850-UDB-401A</v>
          </cell>
          <cell r="C340" t="str">
            <v>400/220V AC UPS (FOR PROCESS)</v>
          </cell>
          <cell r="D340">
            <v>4850</v>
          </cell>
          <cell r="E340" t="str">
            <v>ISBL</v>
          </cell>
          <cell r="J340" t="str">
            <v>3</v>
          </cell>
          <cell r="K340">
            <v>400</v>
          </cell>
          <cell r="L340" t="str">
            <v>AC</v>
          </cell>
          <cell r="M340" t="str">
            <v>F</v>
          </cell>
          <cell r="N340" t="str">
            <v>N</v>
          </cell>
          <cell r="O340">
            <v>0</v>
          </cell>
          <cell r="P340" t="str">
            <v>4850-NDB-301A</v>
          </cell>
          <cell r="Q340" t="str">
            <v>S</v>
          </cell>
          <cell r="S340">
            <v>52</v>
          </cell>
          <cell r="T340">
            <v>65</v>
          </cell>
          <cell r="X340">
            <v>0.79100000000000004</v>
          </cell>
          <cell r="Y340">
            <v>0.85</v>
          </cell>
        </row>
        <row r="341">
          <cell r="A341">
            <v>0</v>
          </cell>
          <cell r="B341" t="str">
            <v>4850-UDB-401B</v>
          </cell>
          <cell r="C341" t="str">
            <v>400/220V AC UPS (FOR PROCESS)</v>
          </cell>
          <cell r="D341">
            <v>4850</v>
          </cell>
          <cell r="E341" t="str">
            <v>ISBL</v>
          </cell>
          <cell r="J341" t="str">
            <v>3</v>
          </cell>
          <cell r="K341">
            <v>400</v>
          </cell>
          <cell r="L341" t="str">
            <v>AC</v>
          </cell>
          <cell r="M341" t="str">
            <v>F</v>
          </cell>
          <cell r="N341" t="str">
            <v>N</v>
          </cell>
          <cell r="O341">
            <v>0</v>
          </cell>
          <cell r="P341" t="str">
            <v>4850-NDB-301B</v>
          </cell>
          <cell r="Q341" t="str">
            <v>S</v>
          </cell>
          <cell r="S341">
            <v>52</v>
          </cell>
          <cell r="T341">
            <v>65</v>
          </cell>
          <cell r="X341">
            <v>0.79100000000000004</v>
          </cell>
          <cell r="Y341">
            <v>0.85</v>
          </cell>
        </row>
        <row r="342">
          <cell r="A342">
            <v>0</v>
          </cell>
          <cell r="B342" t="str">
            <v>4850-UDB-402A</v>
          </cell>
          <cell r="C342" t="str">
            <v>400/220V AC UPS (FOR INSTRUMENT)</v>
          </cell>
          <cell r="D342">
            <v>4850</v>
          </cell>
          <cell r="E342" t="str">
            <v>ISBL</v>
          </cell>
          <cell r="J342" t="str">
            <v>3</v>
          </cell>
          <cell r="K342">
            <v>400</v>
          </cell>
          <cell r="L342" t="str">
            <v>AC</v>
          </cell>
          <cell r="M342" t="str">
            <v>F</v>
          </cell>
          <cell r="N342" t="str">
            <v>N</v>
          </cell>
          <cell r="O342">
            <v>0</v>
          </cell>
          <cell r="P342" t="str">
            <v>4850-NDB-301A</v>
          </cell>
          <cell r="Q342" t="str">
            <v>S</v>
          </cell>
          <cell r="S342">
            <v>24</v>
          </cell>
          <cell r="T342">
            <v>30</v>
          </cell>
          <cell r="X342">
            <v>0.79100000000000004</v>
          </cell>
          <cell r="Y342">
            <v>0.85</v>
          </cell>
        </row>
        <row r="343">
          <cell r="A343">
            <v>0</v>
          </cell>
          <cell r="B343" t="str">
            <v>4850-UDB-402B</v>
          </cell>
          <cell r="C343" t="str">
            <v>400/220V AC UPS (FOR INSTRUMENT)</v>
          </cell>
          <cell r="D343">
            <v>4850</v>
          </cell>
          <cell r="E343" t="str">
            <v>ISBL</v>
          </cell>
          <cell r="J343" t="str">
            <v>3</v>
          </cell>
          <cell r="K343">
            <v>400</v>
          </cell>
          <cell r="L343" t="str">
            <v>AC</v>
          </cell>
          <cell r="M343" t="str">
            <v>F</v>
          </cell>
          <cell r="N343" t="str">
            <v>N</v>
          </cell>
          <cell r="O343">
            <v>0</v>
          </cell>
          <cell r="P343" t="str">
            <v>4850-NDB-301B</v>
          </cell>
          <cell r="Q343" t="str">
            <v>S</v>
          </cell>
          <cell r="S343">
            <v>24</v>
          </cell>
          <cell r="T343">
            <v>30</v>
          </cell>
          <cell r="X343">
            <v>0.79100000000000004</v>
          </cell>
          <cell r="Y343">
            <v>0.85</v>
          </cell>
        </row>
        <row r="344">
          <cell r="A344">
            <v>0</v>
          </cell>
          <cell r="B344" t="str">
            <v>4850-UDB-403</v>
          </cell>
          <cell r="C344" t="str">
            <v>220V DC UPS (FOR SUBSTATION)</v>
          </cell>
          <cell r="D344">
            <v>4850</v>
          </cell>
          <cell r="E344" t="str">
            <v>ISBL</v>
          </cell>
          <cell r="J344" t="str">
            <v>3</v>
          </cell>
          <cell r="K344">
            <v>400</v>
          </cell>
          <cell r="L344" t="str">
            <v>AC</v>
          </cell>
          <cell r="M344" t="str">
            <v>F</v>
          </cell>
          <cell r="N344" t="str">
            <v>N</v>
          </cell>
          <cell r="O344">
            <v>0</v>
          </cell>
          <cell r="P344" t="str">
            <v>4850-NDB-301A</v>
          </cell>
          <cell r="Q344" t="str">
            <v>S</v>
          </cell>
          <cell r="S344">
            <v>24</v>
          </cell>
          <cell r="T344">
            <v>30</v>
          </cell>
          <cell r="X344">
            <v>0.79100000000000004</v>
          </cell>
          <cell r="Y344">
            <v>0.85</v>
          </cell>
        </row>
        <row r="345">
          <cell r="A345" t="str">
            <v>MS-xxxx</v>
          </cell>
          <cell r="B345" t="str">
            <v>41-E-4023</v>
          </cell>
          <cell r="C345" t="str">
            <v>Dump Tank Nitrogen Heater</v>
          </cell>
          <cell r="D345" t="str">
            <v>x</v>
          </cell>
          <cell r="E345" t="str">
            <v>ISBL</v>
          </cell>
          <cell r="J345" t="str">
            <v>3</v>
          </cell>
          <cell r="K345">
            <v>400</v>
          </cell>
          <cell r="L345" t="str">
            <v>AC</v>
          </cell>
          <cell r="M345" t="str">
            <v>F</v>
          </cell>
          <cell r="N345" t="str">
            <v>N</v>
          </cell>
          <cell r="O345" t="str">
            <v/>
          </cell>
          <cell r="P345" t="str">
            <v>4850-NDB-301A</v>
          </cell>
          <cell r="Q345" t="str">
            <v>C</v>
          </cell>
          <cell r="S345">
            <v>40</v>
          </cell>
          <cell r="T345">
            <v>50</v>
          </cell>
          <cell r="X345">
            <v>1</v>
          </cell>
          <cell r="Y345">
            <v>0.85</v>
          </cell>
        </row>
        <row r="346">
          <cell r="A346">
            <v>0</v>
          </cell>
          <cell r="B346" t="str">
            <v>4850-NEDB-301C</v>
          </cell>
          <cell r="C346" t="str">
            <v>EMERGENCY SWITCHGEAR</v>
          </cell>
          <cell r="D346">
            <v>4850</v>
          </cell>
          <cell r="E346" t="str">
            <v>ISBL</v>
          </cell>
          <cell r="J346" t="str">
            <v>3</v>
          </cell>
          <cell r="K346">
            <v>400</v>
          </cell>
          <cell r="L346" t="str">
            <v>AC</v>
          </cell>
          <cell r="M346" t="str">
            <v>F</v>
          </cell>
          <cell r="N346" t="str">
            <v>N</v>
          </cell>
          <cell r="O346">
            <v>0</v>
          </cell>
          <cell r="P346" t="str">
            <v>4850-NDB-301A</v>
          </cell>
          <cell r="Q346" t="str">
            <v>C</v>
          </cell>
          <cell r="S346">
            <v>0</v>
          </cell>
          <cell r="T346">
            <v>0</v>
          </cell>
          <cell r="X346">
            <v>0</v>
          </cell>
          <cell r="Y346">
            <v>0</v>
          </cell>
        </row>
        <row r="347">
          <cell r="A347" t="str">
            <v>PEU-2</v>
          </cell>
          <cell r="B347" t="str">
            <v>41-P-4206</v>
          </cell>
          <cell r="C347" t="str">
            <v>Reactor B Dilute TEAl Pump</v>
          </cell>
          <cell r="D347">
            <v>4105</v>
          </cell>
          <cell r="E347" t="str">
            <v>ISBL</v>
          </cell>
          <cell r="J347" t="str">
            <v>3</v>
          </cell>
          <cell r="K347">
            <v>400</v>
          </cell>
          <cell r="L347" t="str">
            <v>AC</v>
          </cell>
          <cell r="M347" t="str">
            <v>M</v>
          </cell>
          <cell r="N347" t="str">
            <v>N</v>
          </cell>
          <cell r="O347">
            <v>0</v>
          </cell>
          <cell r="P347" t="str">
            <v>4850-NDB-301B</v>
          </cell>
          <cell r="Q347" t="str">
            <v>C</v>
          </cell>
          <cell r="S347">
            <v>0.2</v>
          </cell>
          <cell r="T347">
            <v>0.37</v>
          </cell>
          <cell r="X347">
            <v>0.90200000000000002</v>
          </cell>
          <cell r="Y347">
            <v>0.85</v>
          </cell>
        </row>
        <row r="348">
          <cell r="A348" t="str">
            <v>PEU-2</v>
          </cell>
          <cell r="B348" t="str">
            <v>41-P-3302A</v>
          </cell>
          <cell r="C348" t="str">
            <v>Metallocene Catalyst Feed Pump</v>
          </cell>
          <cell r="D348">
            <v>4105</v>
          </cell>
          <cell r="E348" t="str">
            <v>ISBL</v>
          </cell>
          <cell r="J348" t="str">
            <v>3</v>
          </cell>
          <cell r="K348">
            <v>400</v>
          </cell>
          <cell r="L348" t="str">
            <v>AC</v>
          </cell>
          <cell r="M348" t="str">
            <v>M</v>
          </cell>
          <cell r="N348" t="str">
            <v>N</v>
          </cell>
          <cell r="O348">
            <v>0</v>
          </cell>
          <cell r="P348" t="str">
            <v>4850-NDB-301A</v>
          </cell>
          <cell r="Q348" t="str">
            <v>C</v>
          </cell>
          <cell r="S348">
            <v>0.5</v>
          </cell>
          <cell r="T348">
            <v>0.75</v>
          </cell>
          <cell r="X348">
            <v>1</v>
          </cell>
          <cell r="Y348">
            <v>0.85</v>
          </cell>
        </row>
        <row r="349">
          <cell r="A349" t="str">
            <v>PEU-2</v>
          </cell>
          <cell r="B349" t="str">
            <v>41-P-3302B</v>
          </cell>
          <cell r="C349" t="str">
            <v>Metallocene Catalyst Feed Pump</v>
          </cell>
          <cell r="D349">
            <v>4105</v>
          </cell>
          <cell r="E349" t="str">
            <v>ISBL</v>
          </cell>
          <cell r="J349" t="str">
            <v>3</v>
          </cell>
          <cell r="K349">
            <v>400</v>
          </cell>
          <cell r="L349" t="str">
            <v>AC</v>
          </cell>
          <cell r="M349" t="str">
            <v>M</v>
          </cell>
          <cell r="N349" t="str">
            <v>N</v>
          </cell>
          <cell r="O349">
            <v>0</v>
          </cell>
          <cell r="P349" t="str">
            <v>4850-NDB-301B</v>
          </cell>
          <cell r="Q349" t="str">
            <v>C</v>
          </cell>
          <cell r="S349">
            <v>0.5</v>
          </cell>
          <cell r="T349">
            <v>0.75</v>
          </cell>
          <cell r="X349">
            <v>0.90200000000000002</v>
          </cell>
          <cell r="Y349">
            <v>0.85</v>
          </cell>
        </row>
        <row r="350">
          <cell r="A350" t="str">
            <v>PEU-2</v>
          </cell>
          <cell r="B350" t="str">
            <v>41-P-4104</v>
          </cell>
          <cell r="C350" t="str">
            <v>Reactor A Seal Oil Makeup Pump</v>
          </cell>
          <cell r="D350" t="str">
            <v>x</v>
          </cell>
          <cell r="E350" t="str">
            <v>ISBL</v>
          </cell>
          <cell r="J350" t="str">
            <v>3</v>
          </cell>
          <cell r="K350">
            <v>400</v>
          </cell>
          <cell r="L350" t="str">
            <v>AC</v>
          </cell>
          <cell r="M350" t="str">
            <v>M</v>
          </cell>
          <cell r="N350" t="str">
            <v>N</v>
          </cell>
          <cell r="O350">
            <v>0</v>
          </cell>
          <cell r="P350" t="str">
            <v>4850-NDB-301B</v>
          </cell>
          <cell r="Q350" t="str">
            <v>S</v>
          </cell>
          <cell r="S350">
            <v>0.5</v>
          </cell>
          <cell r="T350">
            <v>0.75</v>
          </cell>
          <cell r="X350">
            <v>1</v>
          </cell>
          <cell r="Y350">
            <v>0.85</v>
          </cell>
        </row>
        <row r="351">
          <cell r="A351" t="str">
            <v>PEU-2</v>
          </cell>
          <cell r="B351" t="str">
            <v>41-P-4204</v>
          </cell>
          <cell r="C351" t="str">
            <v>Reactor B Seal Oil Makeup Pump</v>
          </cell>
          <cell r="D351" t="str">
            <v>x</v>
          </cell>
          <cell r="E351" t="str">
            <v>ISBL</v>
          </cell>
          <cell r="J351" t="str">
            <v>3</v>
          </cell>
          <cell r="K351">
            <v>400</v>
          </cell>
          <cell r="L351" t="str">
            <v>AC</v>
          </cell>
          <cell r="M351" t="str">
            <v>M</v>
          </cell>
          <cell r="N351" t="str">
            <v>N</v>
          </cell>
          <cell r="O351">
            <v>0</v>
          </cell>
          <cell r="P351" t="str">
            <v>4850-NDB-301B</v>
          </cell>
          <cell r="Q351" t="str">
            <v>S</v>
          </cell>
          <cell r="S351">
            <v>0.5</v>
          </cell>
          <cell r="T351">
            <v>0.75</v>
          </cell>
          <cell r="X351">
            <v>0.94099999999999995</v>
          </cell>
          <cell r="Y351">
            <v>0.85</v>
          </cell>
        </row>
        <row r="352">
          <cell r="A352" t="str">
            <v>-</v>
          </cell>
          <cell r="B352" t="str">
            <v>63-PK-0001A</v>
          </cell>
          <cell r="C352" t="str">
            <v>Biocide Dosing Pump Motor</v>
          </cell>
          <cell r="D352" t="str">
            <v>x</v>
          </cell>
          <cell r="E352" t="str">
            <v>ISBL</v>
          </cell>
          <cell r="J352" t="str">
            <v>3</v>
          </cell>
          <cell r="K352">
            <v>400</v>
          </cell>
          <cell r="L352" t="str">
            <v>AC</v>
          </cell>
          <cell r="M352" t="str">
            <v>M</v>
          </cell>
          <cell r="N352" t="str">
            <v>N</v>
          </cell>
          <cell r="O352">
            <v>0</v>
          </cell>
          <cell r="P352" t="str">
            <v>4850-NDB-301A</v>
          </cell>
          <cell r="Q352" t="str">
            <v>C</v>
          </cell>
          <cell r="S352">
            <v>0.7</v>
          </cell>
          <cell r="T352">
            <v>0.75</v>
          </cell>
          <cell r="X352">
            <v>0.90200000000000002</v>
          </cell>
          <cell r="Y352">
            <v>0.85</v>
          </cell>
        </row>
        <row r="353">
          <cell r="A353" t="str">
            <v>-</v>
          </cell>
          <cell r="B353" t="str">
            <v>63-PK-0001B</v>
          </cell>
          <cell r="C353" t="str">
            <v>Biocide Dosing Pump Motor</v>
          </cell>
          <cell r="D353" t="str">
            <v>x</v>
          </cell>
          <cell r="E353" t="str">
            <v>ISBL</v>
          </cell>
          <cell r="J353" t="str">
            <v>3</v>
          </cell>
          <cell r="K353">
            <v>400</v>
          </cell>
          <cell r="L353" t="str">
            <v>AC</v>
          </cell>
          <cell r="M353" t="str">
            <v>M</v>
          </cell>
          <cell r="N353" t="str">
            <v>N</v>
          </cell>
          <cell r="O353">
            <v>0</v>
          </cell>
          <cell r="P353" t="str">
            <v>4850-NDB-301B</v>
          </cell>
          <cell r="Q353" t="str">
            <v>S</v>
          </cell>
          <cell r="S353">
            <v>0.7</v>
          </cell>
          <cell r="T353">
            <v>0.75</v>
          </cell>
          <cell r="X353">
            <v>1</v>
          </cell>
          <cell r="Y353">
            <v>0.85</v>
          </cell>
        </row>
        <row r="354">
          <cell r="A354">
            <v>0</v>
          </cell>
          <cell r="B354" t="str">
            <v>63-PK-0002A</v>
          </cell>
          <cell r="C354" t="str">
            <v>Anti Scalant Dosing Pump Motor</v>
          </cell>
          <cell r="D354" t="str">
            <v>x</v>
          </cell>
          <cell r="E354" t="str">
            <v>ISBL</v>
          </cell>
          <cell r="J354" t="str">
            <v>3</v>
          </cell>
          <cell r="K354">
            <v>400</v>
          </cell>
          <cell r="L354" t="str">
            <v>AC</v>
          </cell>
          <cell r="M354" t="str">
            <v>M</v>
          </cell>
          <cell r="N354" t="str">
            <v>N</v>
          </cell>
          <cell r="O354">
            <v>0</v>
          </cell>
          <cell r="P354" t="str">
            <v>4850-NDB-301A</v>
          </cell>
          <cell r="Q354" t="str">
            <v>C</v>
          </cell>
          <cell r="S354">
            <v>0.7</v>
          </cell>
          <cell r="T354">
            <v>0.75</v>
          </cell>
          <cell r="X354">
            <v>0.90200000000000002</v>
          </cell>
          <cell r="Y354">
            <v>0.85</v>
          </cell>
        </row>
        <row r="355">
          <cell r="A355">
            <v>0</v>
          </cell>
          <cell r="B355" t="str">
            <v>63-PK-0002B</v>
          </cell>
          <cell r="C355" t="str">
            <v>Anti Scalant Dosing Pump Motor</v>
          </cell>
          <cell r="D355" t="str">
            <v>x</v>
          </cell>
          <cell r="E355" t="str">
            <v>ISBL</v>
          </cell>
          <cell r="J355" t="str">
            <v>3</v>
          </cell>
          <cell r="K355">
            <v>400</v>
          </cell>
          <cell r="L355" t="str">
            <v>AC</v>
          </cell>
          <cell r="M355" t="str">
            <v>M</v>
          </cell>
          <cell r="N355" t="str">
            <v>N</v>
          </cell>
          <cell r="O355">
            <v>0</v>
          </cell>
          <cell r="P355" t="str">
            <v>4850-NDB-301B</v>
          </cell>
          <cell r="Q355" t="str">
            <v>S</v>
          </cell>
          <cell r="S355">
            <v>0.7</v>
          </cell>
          <cell r="T355">
            <v>0.75</v>
          </cell>
          <cell r="X355">
            <v>1</v>
          </cell>
          <cell r="Y355">
            <v>0.85</v>
          </cell>
        </row>
        <row r="356">
          <cell r="A356">
            <v>0</v>
          </cell>
          <cell r="B356" t="str">
            <v>63-PK-0003A</v>
          </cell>
          <cell r="C356" t="str">
            <v>Corrosion Inhibitor Dosing Pump Motor</v>
          </cell>
          <cell r="D356" t="str">
            <v>x</v>
          </cell>
          <cell r="E356" t="str">
            <v>ISBL</v>
          </cell>
          <cell r="J356" t="str">
            <v>3</v>
          </cell>
          <cell r="K356">
            <v>400</v>
          </cell>
          <cell r="L356" t="str">
            <v>AC</v>
          </cell>
          <cell r="M356" t="str">
            <v>M</v>
          </cell>
          <cell r="N356" t="str">
            <v>N</v>
          </cell>
          <cell r="O356">
            <v>0</v>
          </cell>
          <cell r="P356" t="str">
            <v>4850-NDB-301A</v>
          </cell>
          <cell r="Q356" t="str">
            <v>C</v>
          </cell>
          <cell r="S356">
            <v>0.7</v>
          </cell>
          <cell r="T356">
            <v>0.75</v>
          </cell>
          <cell r="X356">
            <v>0.94099999999999995</v>
          </cell>
          <cell r="Y356">
            <v>0.85</v>
          </cell>
        </row>
        <row r="357">
          <cell r="A357">
            <v>0</v>
          </cell>
          <cell r="B357" t="str">
            <v>63-PK-0003B</v>
          </cell>
          <cell r="C357" t="str">
            <v>Corrosion Inhibitor Dosing Pump Motor</v>
          </cell>
          <cell r="D357" t="str">
            <v>x</v>
          </cell>
          <cell r="E357" t="str">
            <v>ISBL</v>
          </cell>
          <cell r="J357" t="str">
            <v>3</v>
          </cell>
          <cell r="K357">
            <v>400</v>
          </cell>
          <cell r="L357" t="str">
            <v>AC</v>
          </cell>
          <cell r="M357" t="str">
            <v>M</v>
          </cell>
          <cell r="N357" t="str">
            <v>N</v>
          </cell>
          <cell r="O357">
            <v>0</v>
          </cell>
          <cell r="P357" t="str">
            <v>4850-NDB-301B</v>
          </cell>
          <cell r="Q357" t="str">
            <v>S</v>
          </cell>
          <cell r="S357">
            <v>0.7</v>
          </cell>
          <cell r="T357">
            <v>0.75</v>
          </cell>
          <cell r="X357">
            <v>0.90200000000000002</v>
          </cell>
          <cell r="Y357">
            <v>0.85</v>
          </cell>
        </row>
        <row r="358">
          <cell r="A358">
            <v>0</v>
          </cell>
          <cell r="B358" t="str">
            <v>63-PK-0004A</v>
          </cell>
          <cell r="C358" t="str">
            <v>Sulfuric Acid Dosing Pump Motor</v>
          </cell>
          <cell r="D358" t="str">
            <v>x</v>
          </cell>
          <cell r="E358" t="str">
            <v>ISBL</v>
          </cell>
          <cell r="J358" t="str">
            <v>3</v>
          </cell>
          <cell r="K358">
            <v>400</v>
          </cell>
          <cell r="L358" t="str">
            <v>AC</v>
          </cell>
          <cell r="M358" t="str">
            <v>M</v>
          </cell>
          <cell r="N358" t="str">
            <v>N</v>
          </cell>
          <cell r="O358">
            <v>0</v>
          </cell>
          <cell r="P358" t="str">
            <v>4850-NDB-301A</v>
          </cell>
          <cell r="Q358" t="str">
            <v>C</v>
          </cell>
          <cell r="S358">
            <v>0.7</v>
          </cell>
          <cell r="T358">
            <v>0.75</v>
          </cell>
          <cell r="X358">
            <v>1</v>
          </cell>
          <cell r="Y358">
            <v>0.85</v>
          </cell>
        </row>
        <row r="359">
          <cell r="A359">
            <v>0</v>
          </cell>
          <cell r="B359" t="str">
            <v>63-PK-0004B</v>
          </cell>
          <cell r="C359" t="str">
            <v>Sulfuric Acid Dosing Pump Motor</v>
          </cell>
          <cell r="D359" t="str">
            <v>x</v>
          </cell>
          <cell r="E359" t="str">
            <v>ISBL</v>
          </cell>
          <cell r="J359" t="str">
            <v>3</v>
          </cell>
          <cell r="K359">
            <v>400</v>
          </cell>
          <cell r="L359" t="str">
            <v>AC</v>
          </cell>
          <cell r="M359" t="str">
            <v>M</v>
          </cell>
          <cell r="N359" t="str">
            <v>N</v>
          </cell>
          <cell r="O359">
            <v>0</v>
          </cell>
          <cell r="P359" t="str">
            <v>4850-NDB-301B</v>
          </cell>
          <cell r="Q359" t="str">
            <v>S</v>
          </cell>
          <cell r="S359">
            <v>0.7</v>
          </cell>
          <cell r="T359">
            <v>0.75</v>
          </cell>
          <cell r="X359">
            <v>0.90200000000000002</v>
          </cell>
          <cell r="Y359">
            <v>0.85</v>
          </cell>
        </row>
        <row r="360">
          <cell r="A360">
            <v>0</v>
          </cell>
          <cell r="B360" t="str">
            <v>63-PK-0005A</v>
          </cell>
          <cell r="C360" t="str">
            <v>Caustic Soda Dosing Pump Motor</v>
          </cell>
          <cell r="D360" t="str">
            <v>x</v>
          </cell>
          <cell r="E360" t="str">
            <v>ISBL</v>
          </cell>
          <cell r="J360" t="str">
            <v>3</v>
          </cell>
          <cell r="K360">
            <v>400</v>
          </cell>
          <cell r="L360" t="str">
            <v>AC</v>
          </cell>
          <cell r="M360" t="str">
            <v>M</v>
          </cell>
          <cell r="N360" t="str">
            <v>N</v>
          </cell>
          <cell r="O360">
            <v>0</v>
          </cell>
          <cell r="P360" t="str">
            <v>4850-NDB-301A</v>
          </cell>
          <cell r="Q360" t="str">
            <v>C</v>
          </cell>
          <cell r="S360">
            <v>0.7</v>
          </cell>
          <cell r="T360">
            <v>0.75</v>
          </cell>
          <cell r="X360">
            <v>1</v>
          </cell>
          <cell r="Y360">
            <v>0.85</v>
          </cell>
        </row>
        <row r="361">
          <cell r="A361">
            <v>0</v>
          </cell>
          <cell r="B361" t="str">
            <v>63-PK-0005B</v>
          </cell>
          <cell r="C361" t="str">
            <v>Caustic Soda Dosing Pump Motor</v>
          </cell>
          <cell r="D361" t="str">
            <v>x</v>
          </cell>
          <cell r="E361" t="str">
            <v>ISBL</v>
          </cell>
          <cell r="J361" t="str">
            <v>3</v>
          </cell>
          <cell r="K361">
            <v>400</v>
          </cell>
          <cell r="L361" t="str">
            <v>AC</v>
          </cell>
          <cell r="M361" t="str">
            <v>M</v>
          </cell>
          <cell r="N361" t="str">
            <v>N</v>
          </cell>
          <cell r="O361">
            <v>0</v>
          </cell>
          <cell r="P361" t="str">
            <v>4850-NDB-301B</v>
          </cell>
          <cell r="Q361" t="str">
            <v>S</v>
          </cell>
          <cell r="S361">
            <v>0.7</v>
          </cell>
          <cell r="T361">
            <v>0.75</v>
          </cell>
          <cell r="X361">
            <v>0.94099999999999995</v>
          </cell>
          <cell r="Y361">
            <v>0.85</v>
          </cell>
        </row>
        <row r="362">
          <cell r="A362" t="str">
            <v>PEU-2</v>
          </cell>
          <cell r="B362" t="str">
            <v>41-MI-6001A</v>
          </cell>
          <cell r="C362" t="str">
            <v xml:space="preserve">Additive LIW Feeder </v>
          </cell>
          <cell r="D362" t="str">
            <v>x</v>
          </cell>
          <cell r="E362" t="str">
            <v>ISBL</v>
          </cell>
          <cell r="J362" t="str">
            <v>3</v>
          </cell>
          <cell r="K362">
            <v>400</v>
          </cell>
          <cell r="L362" t="str">
            <v>AC</v>
          </cell>
          <cell r="M362" t="str">
            <v>M</v>
          </cell>
          <cell r="N362" t="str">
            <v>N</v>
          </cell>
          <cell r="O362" t="str">
            <v>VSD</v>
          </cell>
          <cell r="P362" t="str">
            <v>4850-NDB-301A</v>
          </cell>
          <cell r="Q362" t="str">
            <v>C</v>
          </cell>
          <cell r="S362">
            <v>0.44000000000000006</v>
          </cell>
          <cell r="T362">
            <v>0.55000000000000004</v>
          </cell>
          <cell r="X362">
            <v>0.93</v>
          </cell>
          <cell r="Y362">
            <v>0.85</v>
          </cell>
        </row>
        <row r="363">
          <cell r="A363" t="str">
            <v>PEU-2</v>
          </cell>
          <cell r="B363" t="str">
            <v>41-MI-6001B</v>
          </cell>
          <cell r="C363" t="str">
            <v xml:space="preserve">Additive LIW Feeder </v>
          </cell>
          <cell r="D363" t="str">
            <v>x</v>
          </cell>
          <cell r="E363" t="str">
            <v>ISBL</v>
          </cell>
          <cell r="J363" t="str">
            <v>3</v>
          </cell>
          <cell r="K363">
            <v>400</v>
          </cell>
          <cell r="L363" t="str">
            <v>AC</v>
          </cell>
          <cell r="M363" t="str">
            <v>M</v>
          </cell>
          <cell r="N363" t="str">
            <v>N</v>
          </cell>
          <cell r="O363" t="str">
            <v>VSD</v>
          </cell>
          <cell r="P363" t="str">
            <v>4850-NDB-301B</v>
          </cell>
          <cell r="Q363" t="str">
            <v>C</v>
          </cell>
          <cell r="S363">
            <v>0.44000000000000006</v>
          </cell>
          <cell r="T363">
            <v>0.55000000000000004</v>
          </cell>
          <cell r="X363">
            <v>0.93</v>
          </cell>
          <cell r="Y363">
            <v>0.85</v>
          </cell>
        </row>
        <row r="364">
          <cell r="A364" t="str">
            <v>PEU-2</v>
          </cell>
          <cell r="B364" t="str">
            <v>41-MI-6001C</v>
          </cell>
          <cell r="C364" t="str">
            <v xml:space="preserve">Additive LIW Feeder </v>
          </cell>
          <cell r="D364" t="str">
            <v>x</v>
          </cell>
          <cell r="E364" t="str">
            <v>ISBL</v>
          </cell>
          <cell r="J364" t="str">
            <v>3</v>
          </cell>
          <cell r="K364">
            <v>400</v>
          </cell>
          <cell r="L364" t="str">
            <v>AC</v>
          </cell>
          <cell r="M364" t="str">
            <v>M</v>
          </cell>
          <cell r="N364" t="str">
            <v>N</v>
          </cell>
          <cell r="O364" t="str">
            <v>VSD</v>
          </cell>
          <cell r="P364" t="str">
            <v>4850-NDB-301A</v>
          </cell>
          <cell r="Q364" t="str">
            <v>C</v>
          </cell>
          <cell r="S364">
            <v>0.44000000000000006</v>
          </cell>
          <cell r="T364">
            <v>0.55000000000000004</v>
          </cell>
          <cell r="X364">
            <v>0.93</v>
          </cell>
          <cell r="Y364">
            <v>0.85</v>
          </cell>
        </row>
        <row r="365">
          <cell r="A365" t="str">
            <v>PEU-2</v>
          </cell>
          <cell r="B365" t="str">
            <v>41-MI-6001D</v>
          </cell>
          <cell r="C365" t="str">
            <v xml:space="preserve">Additive LIW Feeder </v>
          </cell>
          <cell r="D365" t="str">
            <v>x</v>
          </cell>
          <cell r="E365" t="str">
            <v>ISBL</v>
          </cell>
          <cell r="J365" t="str">
            <v>3</v>
          </cell>
          <cell r="K365">
            <v>400</v>
          </cell>
          <cell r="L365" t="str">
            <v>AC</v>
          </cell>
          <cell r="M365" t="str">
            <v>M</v>
          </cell>
          <cell r="N365" t="str">
            <v>N</v>
          </cell>
          <cell r="O365" t="str">
            <v>VSD</v>
          </cell>
          <cell r="P365" t="str">
            <v>4850-NDB-301B</v>
          </cell>
          <cell r="Q365" t="str">
            <v>C</v>
          </cell>
          <cell r="S365">
            <v>0.44000000000000006</v>
          </cell>
          <cell r="T365">
            <v>0.55000000000000004</v>
          </cell>
          <cell r="X365">
            <v>0.93</v>
          </cell>
          <cell r="Y365">
            <v>0.85</v>
          </cell>
        </row>
        <row r="366">
          <cell r="A366" t="str">
            <v>PEU-2</v>
          </cell>
          <cell r="B366" t="str">
            <v>41-MI-6005</v>
          </cell>
          <cell r="C366" t="str">
            <v>Rerun LIW Feeder</v>
          </cell>
          <cell r="D366" t="str">
            <v>x</v>
          </cell>
          <cell r="E366" t="str">
            <v>ISBL</v>
          </cell>
          <cell r="J366" t="str">
            <v>3</v>
          </cell>
          <cell r="K366">
            <v>400</v>
          </cell>
          <cell r="L366" t="str">
            <v>AC</v>
          </cell>
          <cell r="M366" t="str">
            <v>M</v>
          </cell>
          <cell r="N366" t="str">
            <v>N</v>
          </cell>
          <cell r="O366" t="str">
            <v>VSD</v>
          </cell>
          <cell r="P366" t="str">
            <v>4850-NDB-301B</v>
          </cell>
          <cell r="Q366" t="str">
            <v>C</v>
          </cell>
          <cell r="S366">
            <v>0.44000000000000006</v>
          </cell>
          <cell r="T366">
            <v>0.55000000000000004</v>
          </cell>
          <cell r="X366">
            <v>0.93</v>
          </cell>
          <cell r="Y366">
            <v>0.85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 t="str">
            <v>ISBL</v>
          </cell>
          <cell r="J367" t="str">
            <v>3</v>
          </cell>
          <cell r="K367">
            <v>0</v>
          </cell>
          <cell r="L367" t="str">
            <v>AC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S367">
            <v>0</v>
          </cell>
          <cell r="T367">
            <v>0</v>
          </cell>
          <cell r="X367">
            <v>0</v>
          </cell>
          <cell r="Y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 t="str">
            <v>ISBL</v>
          </cell>
          <cell r="J368" t="str">
            <v>3</v>
          </cell>
          <cell r="K368">
            <v>0</v>
          </cell>
          <cell r="L368" t="str">
            <v>AC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S368">
            <v>0</v>
          </cell>
          <cell r="T368">
            <v>0</v>
          </cell>
          <cell r="X368">
            <v>0</v>
          </cell>
          <cell r="Y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0</v>
          </cell>
          <cell r="E369" t="str">
            <v>ISBL</v>
          </cell>
          <cell r="J369" t="str">
            <v>3</v>
          </cell>
          <cell r="K369">
            <v>0</v>
          </cell>
          <cell r="L369" t="str">
            <v>AC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S369">
            <v>0</v>
          </cell>
          <cell r="T369">
            <v>0</v>
          </cell>
          <cell r="X369">
            <v>0</v>
          </cell>
          <cell r="Y369">
            <v>0</v>
          </cell>
        </row>
        <row r="370">
          <cell r="A370" t="str">
            <v>Flare</v>
          </cell>
          <cell r="B370" t="str">
            <v>67-PK-7001</v>
          </cell>
          <cell r="C370" t="str">
            <v>ACWL for Flare PKG</v>
          </cell>
          <cell r="D370">
            <v>6700</v>
          </cell>
          <cell r="E370" t="str">
            <v>ISBL</v>
          </cell>
          <cell r="J370" t="str">
            <v>3</v>
          </cell>
          <cell r="K370">
            <v>400</v>
          </cell>
          <cell r="L370" t="str">
            <v>AC</v>
          </cell>
          <cell r="M370" t="str">
            <v>F</v>
          </cell>
          <cell r="N370" t="str">
            <v>N</v>
          </cell>
          <cell r="O370" t="str">
            <v/>
          </cell>
          <cell r="P370" t="str">
            <v>4850-NDB-301C</v>
          </cell>
          <cell r="Q370" t="str">
            <v>C</v>
          </cell>
          <cell r="S370">
            <v>2.4000000000000004</v>
          </cell>
          <cell r="T370">
            <v>3</v>
          </cell>
          <cell r="X370">
            <v>1</v>
          </cell>
          <cell r="Y370">
            <v>1</v>
          </cell>
        </row>
        <row r="371">
          <cell r="A371" t="str">
            <v>Flare</v>
          </cell>
          <cell r="B371" t="str">
            <v>41-PK-4101</v>
          </cell>
          <cell r="C371" t="str">
            <v>ACWL for Loop Reactor Area</v>
          </cell>
          <cell r="D371">
            <v>6700</v>
          </cell>
          <cell r="E371" t="str">
            <v>ISBL</v>
          </cell>
          <cell r="J371" t="str">
            <v>3</v>
          </cell>
          <cell r="K371">
            <v>400</v>
          </cell>
          <cell r="L371" t="str">
            <v>AC</v>
          </cell>
          <cell r="M371" t="str">
            <v>F</v>
          </cell>
          <cell r="N371" t="str">
            <v>N</v>
          </cell>
          <cell r="O371" t="str">
            <v/>
          </cell>
          <cell r="P371" t="str">
            <v>4850-NDB-301C</v>
          </cell>
          <cell r="Q371" t="str">
            <v>C</v>
          </cell>
          <cell r="S371">
            <v>0.8</v>
          </cell>
          <cell r="T371">
            <v>1</v>
          </cell>
          <cell r="X371">
            <v>1</v>
          </cell>
          <cell r="Y371">
            <v>1</v>
          </cell>
        </row>
        <row r="372">
          <cell r="A372">
            <v>0</v>
          </cell>
          <cell r="B372" t="str">
            <v>51-P-1003A</v>
          </cell>
          <cell r="C372" t="str">
            <v>Pumparound Pumps</v>
          </cell>
          <cell r="D372">
            <v>5102</v>
          </cell>
          <cell r="E372" t="str">
            <v>ISBL</v>
          </cell>
          <cell r="J372" t="str">
            <v>3</v>
          </cell>
          <cell r="K372">
            <v>400</v>
          </cell>
          <cell r="L372" t="str">
            <v>AC</v>
          </cell>
          <cell r="M372" t="str">
            <v>M</v>
          </cell>
          <cell r="N372" t="str">
            <v>N</v>
          </cell>
          <cell r="O372" t="str">
            <v>Soft Starter</v>
          </cell>
          <cell r="P372" t="str">
            <v>4850-NDB-301C</v>
          </cell>
          <cell r="Q372" t="str">
            <v>C</v>
          </cell>
          <cell r="S372">
            <v>180</v>
          </cell>
          <cell r="T372">
            <v>200</v>
          </cell>
          <cell r="X372">
            <v>0.95899999999999996</v>
          </cell>
          <cell r="Y372">
            <v>0.85</v>
          </cell>
        </row>
        <row r="373">
          <cell r="A373">
            <v>0</v>
          </cell>
          <cell r="B373" t="str">
            <v>51-P-1003B</v>
          </cell>
          <cell r="C373" t="str">
            <v>Pumparound Pumps</v>
          </cell>
          <cell r="D373">
            <v>5102</v>
          </cell>
          <cell r="E373" t="str">
            <v>ISBL</v>
          </cell>
          <cell r="J373" t="str">
            <v>3</v>
          </cell>
          <cell r="K373">
            <v>400</v>
          </cell>
          <cell r="L373" t="str">
            <v>AC</v>
          </cell>
          <cell r="M373" t="str">
            <v>M</v>
          </cell>
          <cell r="N373" t="str">
            <v>N</v>
          </cell>
          <cell r="O373" t="str">
            <v>Soft Starter</v>
          </cell>
          <cell r="P373" t="str">
            <v>4850-NDB-301C</v>
          </cell>
          <cell r="Q373" t="str">
            <v>C</v>
          </cell>
          <cell r="S373">
            <v>180</v>
          </cell>
          <cell r="T373">
            <v>200</v>
          </cell>
          <cell r="X373">
            <v>0.95899999999999996</v>
          </cell>
          <cell r="Y373">
            <v>0.85</v>
          </cell>
        </row>
        <row r="374">
          <cell r="A374">
            <v>0</v>
          </cell>
          <cell r="B374" t="str">
            <v>51-P-1003C</v>
          </cell>
          <cell r="C374" t="str">
            <v>Pumparound Pumps</v>
          </cell>
          <cell r="D374">
            <v>5102</v>
          </cell>
          <cell r="E374" t="str">
            <v>ISBL</v>
          </cell>
          <cell r="J374" t="str">
            <v>3</v>
          </cell>
          <cell r="K374">
            <v>400</v>
          </cell>
          <cell r="L374" t="str">
            <v>AC</v>
          </cell>
          <cell r="M374" t="str">
            <v>M</v>
          </cell>
          <cell r="N374" t="str">
            <v>N</v>
          </cell>
          <cell r="O374" t="str">
            <v>Soft Starter</v>
          </cell>
          <cell r="P374" t="str">
            <v>4850-NDB-301C</v>
          </cell>
          <cell r="Q374" t="str">
            <v>C</v>
          </cell>
          <cell r="S374">
            <v>180</v>
          </cell>
          <cell r="T374">
            <v>200</v>
          </cell>
          <cell r="X374">
            <v>0.95899999999999996</v>
          </cell>
          <cell r="Y374">
            <v>0.85</v>
          </cell>
        </row>
        <row r="375">
          <cell r="A375">
            <v>0</v>
          </cell>
          <cell r="B375" t="str">
            <v>51-P-1003D</v>
          </cell>
          <cell r="C375" t="str">
            <v>Pumparound Pumps</v>
          </cell>
          <cell r="D375">
            <v>5102</v>
          </cell>
          <cell r="E375" t="str">
            <v>ISBL</v>
          </cell>
          <cell r="J375" t="str">
            <v>3</v>
          </cell>
          <cell r="K375">
            <v>400</v>
          </cell>
          <cell r="L375" t="str">
            <v>AC</v>
          </cell>
          <cell r="M375" t="str">
            <v>M</v>
          </cell>
          <cell r="N375" t="str">
            <v>N</v>
          </cell>
          <cell r="O375" t="str">
            <v>Soft Starter</v>
          </cell>
          <cell r="P375" t="str">
            <v>4850-NDB-301C</v>
          </cell>
          <cell r="Q375" t="str">
            <v>S</v>
          </cell>
          <cell r="S375">
            <v>180</v>
          </cell>
          <cell r="T375">
            <v>200</v>
          </cell>
          <cell r="X375">
            <v>0.95899999999999996</v>
          </cell>
          <cell r="Y375">
            <v>0.85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 t="str">
            <v>ISBL</v>
          </cell>
          <cell r="J376" t="str">
            <v>3</v>
          </cell>
          <cell r="K376">
            <v>0</v>
          </cell>
          <cell r="L376" t="str">
            <v>AC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S376">
            <v>0</v>
          </cell>
          <cell r="T376">
            <v>0</v>
          </cell>
          <cell r="X376">
            <v>0</v>
          </cell>
          <cell r="Y376">
            <v>0</v>
          </cell>
        </row>
        <row r="377">
          <cell r="A377">
            <v>0</v>
          </cell>
          <cell r="B377" t="str">
            <v>4850-ENDB-301C</v>
          </cell>
          <cell r="C377" t="str">
            <v>LIGHTING POWER (EMERGENCY)</v>
          </cell>
          <cell r="D377">
            <v>4850</v>
          </cell>
          <cell r="E377" t="str">
            <v>ISBL</v>
          </cell>
          <cell r="J377" t="str">
            <v>3</v>
          </cell>
          <cell r="K377">
            <v>400</v>
          </cell>
          <cell r="L377" t="str">
            <v>AC</v>
          </cell>
          <cell r="M377" t="str">
            <v>F</v>
          </cell>
          <cell r="N377" t="str">
            <v>N</v>
          </cell>
          <cell r="O377">
            <v>0</v>
          </cell>
          <cell r="P377" t="str">
            <v>4850-NDB-301C</v>
          </cell>
          <cell r="Q377" t="str">
            <v>C</v>
          </cell>
          <cell r="S377">
            <v>24</v>
          </cell>
          <cell r="T377">
            <v>30</v>
          </cell>
          <cell r="X377">
            <v>0.79100000000000004</v>
          </cell>
          <cell r="Y377">
            <v>0.85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 t="str">
            <v>ISBL</v>
          </cell>
          <cell r="J378" t="str">
            <v>3</v>
          </cell>
          <cell r="K378">
            <v>0</v>
          </cell>
          <cell r="L378" t="str">
            <v>AC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S378">
            <v>0</v>
          </cell>
          <cell r="T378">
            <v>0</v>
          </cell>
          <cell r="X378">
            <v>0</v>
          </cell>
          <cell r="Y378">
            <v>0</v>
          </cell>
        </row>
        <row r="379">
          <cell r="A379">
            <v>0</v>
          </cell>
          <cell r="B379" t="str">
            <v>4850-UDB-401A</v>
          </cell>
          <cell r="C379" t="str">
            <v>400/220V AC UPS (FOR PROCESS)</v>
          </cell>
          <cell r="D379">
            <v>4850</v>
          </cell>
          <cell r="E379" t="str">
            <v>ISBL</v>
          </cell>
          <cell r="J379" t="str">
            <v>3</v>
          </cell>
          <cell r="K379">
            <v>400</v>
          </cell>
          <cell r="L379" t="str">
            <v>AC</v>
          </cell>
          <cell r="M379" t="str">
            <v>F</v>
          </cell>
          <cell r="N379" t="str">
            <v>N</v>
          </cell>
          <cell r="O379">
            <v>0</v>
          </cell>
          <cell r="P379" t="str">
            <v>4850-NDB-301C</v>
          </cell>
          <cell r="Q379" t="str">
            <v>C</v>
          </cell>
          <cell r="S379">
            <v>52</v>
          </cell>
          <cell r="T379">
            <v>65</v>
          </cell>
          <cell r="X379">
            <v>0.79100000000000004</v>
          </cell>
          <cell r="Y379">
            <v>0.85</v>
          </cell>
        </row>
        <row r="380">
          <cell r="A380">
            <v>0</v>
          </cell>
          <cell r="B380" t="str">
            <v>4850-UDB-401B</v>
          </cell>
          <cell r="C380" t="str">
            <v>400/220V AC UPS (FOR PROCESS)</v>
          </cell>
          <cell r="D380">
            <v>4850</v>
          </cell>
          <cell r="E380" t="str">
            <v>ISBL</v>
          </cell>
          <cell r="J380" t="str">
            <v>3</v>
          </cell>
          <cell r="K380">
            <v>400</v>
          </cell>
          <cell r="L380" t="str">
            <v>AC</v>
          </cell>
          <cell r="M380" t="str">
            <v>F</v>
          </cell>
          <cell r="N380" t="str">
            <v>N</v>
          </cell>
          <cell r="O380">
            <v>0</v>
          </cell>
          <cell r="P380" t="str">
            <v>4850-NDB-301C</v>
          </cell>
          <cell r="Q380" t="str">
            <v>S</v>
          </cell>
          <cell r="S380">
            <v>52</v>
          </cell>
          <cell r="T380">
            <v>65</v>
          </cell>
          <cell r="X380">
            <v>0.79100000000000004</v>
          </cell>
          <cell r="Y380">
            <v>0.85</v>
          </cell>
        </row>
        <row r="381">
          <cell r="A381">
            <v>0</v>
          </cell>
          <cell r="B381" t="str">
            <v>4850-UDB-402A</v>
          </cell>
          <cell r="C381" t="str">
            <v>400/220V AC UPS (FOR INSTRUMENT)</v>
          </cell>
          <cell r="D381">
            <v>4850</v>
          </cell>
          <cell r="E381" t="str">
            <v>ISBL</v>
          </cell>
          <cell r="J381" t="str">
            <v>3</v>
          </cell>
          <cell r="K381">
            <v>400</v>
          </cell>
          <cell r="L381" t="str">
            <v>AC</v>
          </cell>
          <cell r="M381" t="str">
            <v>F</v>
          </cell>
          <cell r="N381" t="str">
            <v>N</v>
          </cell>
          <cell r="O381">
            <v>0</v>
          </cell>
          <cell r="P381" t="str">
            <v>4850-NDB-301C</v>
          </cell>
          <cell r="Q381" t="str">
            <v>C</v>
          </cell>
          <cell r="S381">
            <v>24</v>
          </cell>
          <cell r="T381">
            <v>30</v>
          </cell>
          <cell r="X381">
            <v>0.79100000000000004</v>
          </cell>
          <cell r="Y381">
            <v>0.85</v>
          </cell>
        </row>
        <row r="382">
          <cell r="A382">
            <v>0</v>
          </cell>
          <cell r="B382" t="str">
            <v>4850-UDB-402B</v>
          </cell>
          <cell r="C382" t="str">
            <v>400/220V AC UPS (FOR INSTRUMENT)</v>
          </cell>
          <cell r="D382">
            <v>4850</v>
          </cell>
          <cell r="E382" t="str">
            <v>ISBL</v>
          </cell>
          <cell r="J382" t="str">
            <v>3</v>
          </cell>
          <cell r="K382">
            <v>400</v>
          </cell>
          <cell r="L382" t="str">
            <v>AC</v>
          </cell>
          <cell r="M382" t="str">
            <v>F</v>
          </cell>
          <cell r="N382" t="str">
            <v>N</v>
          </cell>
          <cell r="O382">
            <v>0</v>
          </cell>
          <cell r="P382" t="str">
            <v>4850-NDB-301C</v>
          </cell>
          <cell r="Q382" t="str">
            <v>S</v>
          </cell>
          <cell r="S382">
            <v>24</v>
          </cell>
          <cell r="T382">
            <v>30</v>
          </cell>
          <cell r="X382">
            <v>0.79100000000000004</v>
          </cell>
          <cell r="Y382">
            <v>0.85</v>
          </cell>
        </row>
        <row r="383">
          <cell r="A383">
            <v>0</v>
          </cell>
          <cell r="B383" t="str">
            <v>4850-UDB-403</v>
          </cell>
          <cell r="C383" t="str">
            <v>220V DC UPS (FOR SUBSTATION)</v>
          </cell>
          <cell r="D383">
            <v>4850</v>
          </cell>
          <cell r="E383" t="str">
            <v>ISBL</v>
          </cell>
          <cell r="J383" t="str">
            <v>3</v>
          </cell>
          <cell r="K383">
            <v>400</v>
          </cell>
          <cell r="L383" t="str">
            <v>AC</v>
          </cell>
          <cell r="M383" t="str">
            <v>F</v>
          </cell>
          <cell r="N383" t="str">
            <v>N</v>
          </cell>
          <cell r="O383">
            <v>0</v>
          </cell>
          <cell r="P383" t="str">
            <v>4850-NDB-301C</v>
          </cell>
          <cell r="Q383" t="str">
            <v>C</v>
          </cell>
          <cell r="S383">
            <v>24</v>
          </cell>
          <cell r="T383">
            <v>30</v>
          </cell>
          <cell r="X383">
            <v>0.79100000000000004</v>
          </cell>
          <cell r="Y383">
            <v>0.85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 t="str">
            <v>ISBL</v>
          </cell>
          <cell r="J384" t="str">
            <v>3</v>
          </cell>
          <cell r="K384">
            <v>0</v>
          </cell>
          <cell r="L384" t="str">
            <v>AC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S384">
            <v>0</v>
          </cell>
          <cell r="T384">
            <v>0</v>
          </cell>
          <cell r="X384">
            <v>0</v>
          </cell>
          <cell r="Y384">
            <v>0</v>
          </cell>
        </row>
        <row r="385">
          <cell r="A385">
            <v>0</v>
          </cell>
          <cell r="B385" t="str">
            <v>FM200</v>
          </cell>
          <cell r="C385" t="str">
            <v>FM200 System (Gas Suppression System)</v>
          </cell>
          <cell r="D385">
            <v>4850</v>
          </cell>
          <cell r="E385" t="str">
            <v>ISBL</v>
          </cell>
          <cell r="J385" t="str">
            <v>3</v>
          </cell>
          <cell r="K385">
            <v>400</v>
          </cell>
          <cell r="L385" t="str">
            <v>AC</v>
          </cell>
          <cell r="M385" t="str">
            <v>F</v>
          </cell>
          <cell r="N385" t="str">
            <v>N</v>
          </cell>
          <cell r="O385" t="str">
            <v/>
          </cell>
          <cell r="P385" t="str">
            <v>4850-NDB-301C</v>
          </cell>
          <cell r="Q385" t="str">
            <v>C</v>
          </cell>
          <cell r="S385">
            <v>2.5600000000000005</v>
          </cell>
          <cell r="T385">
            <v>3.2</v>
          </cell>
          <cell r="X385">
            <v>1</v>
          </cell>
          <cell r="Y385">
            <v>1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 t="str">
            <v>ISBL</v>
          </cell>
          <cell r="J386" t="str">
            <v>3</v>
          </cell>
          <cell r="K386">
            <v>0</v>
          </cell>
          <cell r="L386" t="str">
            <v>AC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S386">
            <v>0</v>
          </cell>
          <cell r="T386">
            <v>0</v>
          </cell>
          <cell r="X386">
            <v>0</v>
          </cell>
          <cell r="Y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 t="str">
            <v>ISBL</v>
          </cell>
          <cell r="J387" t="str">
            <v>3</v>
          </cell>
          <cell r="K387">
            <v>0</v>
          </cell>
          <cell r="L387" t="str">
            <v>AC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S387">
            <v>0</v>
          </cell>
          <cell r="T387">
            <v>0</v>
          </cell>
          <cell r="X387">
            <v>0</v>
          </cell>
          <cell r="Y387">
            <v>0</v>
          </cell>
        </row>
        <row r="388">
          <cell r="A388" t="str">
            <v>PEU-2</v>
          </cell>
          <cell r="B388" t="str">
            <v>5101-LDB-301</v>
          </cell>
          <cell r="C388" t="str">
            <v>Outdoor Normal Lighting Panel-LC2254 &amp; Butene-1</v>
          </cell>
          <cell r="D388">
            <v>0</v>
          </cell>
          <cell r="E388" t="str">
            <v>ISBL</v>
          </cell>
          <cell r="J388" t="str">
            <v>3</v>
          </cell>
          <cell r="K388">
            <v>690</v>
          </cell>
          <cell r="L388" t="str">
            <v>AC</v>
          </cell>
          <cell r="M388" t="str">
            <v>F</v>
          </cell>
          <cell r="N388" t="str">
            <v>N</v>
          </cell>
          <cell r="O388">
            <v>0</v>
          </cell>
          <cell r="P388" t="str">
            <v>4850-LDB-301A</v>
          </cell>
          <cell r="Q388" t="str">
            <v>C</v>
          </cell>
          <cell r="S388">
            <v>4</v>
          </cell>
          <cell r="T388">
            <v>5</v>
          </cell>
          <cell r="X388">
            <v>1</v>
          </cell>
          <cell r="Y388">
            <v>0.85</v>
          </cell>
        </row>
        <row r="389">
          <cell r="A389" t="str">
            <v>PEU-2</v>
          </cell>
          <cell r="B389" t="str">
            <v>5102-LDB-301</v>
          </cell>
          <cell r="C389" t="str">
            <v>Outdoor Normal Lighting Panel-Reactor &amp; Pumparound</v>
          </cell>
          <cell r="D389">
            <v>0</v>
          </cell>
          <cell r="E389" t="str">
            <v>ISBL</v>
          </cell>
          <cell r="J389" t="str">
            <v>3</v>
          </cell>
          <cell r="K389">
            <v>690</v>
          </cell>
          <cell r="L389" t="str">
            <v>AC</v>
          </cell>
          <cell r="M389" t="str">
            <v>F</v>
          </cell>
          <cell r="N389" t="str">
            <v>N</v>
          </cell>
          <cell r="O389">
            <v>0</v>
          </cell>
          <cell r="P389" t="str">
            <v>4850-LDB-301A</v>
          </cell>
          <cell r="Q389" t="str">
            <v>C</v>
          </cell>
          <cell r="S389">
            <v>4</v>
          </cell>
          <cell r="T389">
            <v>5</v>
          </cell>
          <cell r="X389">
            <v>1</v>
          </cell>
          <cell r="Y389">
            <v>0.85</v>
          </cell>
        </row>
        <row r="390">
          <cell r="A390" t="str">
            <v>CT</v>
          </cell>
          <cell r="B390" t="str">
            <v>4105-LDB-301</v>
          </cell>
          <cell r="C390" t="str">
            <v>Outdoor Normal Lighting Panel- Catalyst Area</v>
          </cell>
          <cell r="D390">
            <v>0</v>
          </cell>
          <cell r="E390" t="str">
            <v>ISBL</v>
          </cell>
          <cell r="J390" t="str">
            <v>3</v>
          </cell>
          <cell r="K390">
            <v>690</v>
          </cell>
          <cell r="L390" t="str">
            <v>AC</v>
          </cell>
          <cell r="M390" t="str">
            <v>F</v>
          </cell>
          <cell r="N390" t="str">
            <v>N</v>
          </cell>
          <cell r="O390">
            <v>0</v>
          </cell>
          <cell r="P390" t="str">
            <v>4850-LDB-301A</v>
          </cell>
          <cell r="Q390" t="str">
            <v>C</v>
          </cell>
          <cell r="S390">
            <v>8</v>
          </cell>
          <cell r="T390">
            <v>10</v>
          </cell>
          <cell r="X390">
            <v>1</v>
          </cell>
          <cell r="Y390">
            <v>0.85</v>
          </cell>
        </row>
        <row r="391">
          <cell r="A391" t="str">
            <v>PEU-2</v>
          </cell>
          <cell r="B391" t="str">
            <v>4106-LDB-301</v>
          </cell>
          <cell r="C391" t="str">
            <v>Outdoor Normal Lighting Panel-Glycol &amp; Oily Water System</v>
          </cell>
          <cell r="D391">
            <v>0</v>
          </cell>
          <cell r="E391" t="str">
            <v>ISBL</v>
          </cell>
          <cell r="J391" t="str">
            <v>3</v>
          </cell>
          <cell r="K391">
            <v>690</v>
          </cell>
          <cell r="L391" t="str">
            <v>AC</v>
          </cell>
          <cell r="M391" t="str">
            <v>F</v>
          </cell>
          <cell r="N391" t="str">
            <v>N</v>
          </cell>
          <cell r="O391">
            <v>0</v>
          </cell>
          <cell r="P391" t="str">
            <v>4850-LDB-301A</v>
          </cell>
          <cell r="Q391" t="str">
            <v>C</v>
          </cell>
          <cell r="S391">
            <v>4</v>
          </cell>
          <cell r="T391">
            <v>5</v>
          </cell>
          <cell r="X391">
            <v>1</v>
          </cell>
          <cell r="Y391">
            <v>0.85</v>
          </cell>
        </row>
        <row r="392">
          <cell r="A392" t="str">
            <v>PEU-2</v>
          </cell>
          <cell r="B392" t="str">
            <v>4103-LDB-301</v>
          </cell>
          <cell r="C392" t="str">
            <v>Outdoor Normal Lighting Panel-Treater Area</v>
          </cell>
          <cell r="D392">
            <v>0</v>
          </cell>
          <cell r="E392" t="str">
            <v>ISBL</v>
          </cell>
          <cell r="J392" t="str">
            <v>3</v>
          </cell>
          <cell r="K392">
            <v>690</v>
          </cell>
          <cell r="L392" t="str">
            <v>AC</v>
          </cell>
          <cell r="M392" t="str">
            <v>F</v>
          </cell>
          <cell r="N392" t="str">
            <v>N</v>
          </cell>
          <cell r="O392">
            <v>0</v>
          </cell>
          <cell r="P392" t="str">
            <v>4850-LDB-301A</v>
          </cell>
          <cell r="Q392" t="str">
            <v>C</v>
          </cell>
          <cell r="S392">
            <v>8</v>
          </cell>
          <cell r="T392">
            <v>10</v>
          </cell>
          <cell r="X392">
            <v>1</v>
          </cell>
          <cell r="Y392">
            <v>0.85</v>
          </cell>
        </row>
        <row r="393">
          <cell r="A393" t="str">
            <v>PEU-2</v>
          </cell>
          <cell r="B393" t="str">
            <v>4104-LDB-301</v>
          </cell>
          <cell r="C393" t="str">
            <v>Outdoor Normal Lighting Panel-Rx Coolant &amp; Recycle Fractionation</v>
          </cell>
          <cell r="D393">
            <v>0</v>
          </cell>
          <cell r="E393" t="str">
            <v>ISBL</v>
          </cell>
          <cell r="J393" t="str">
            <v>3</v>
          </cell>
          <cell r="K393">
            <v>690</v>
          </cell>
          <cell r="L393" t="str">
            <v>AC</v>
          </cell>
          <cell r="M393" t="str">
            <v>F</v>
          </cell>
          <cell r="N393" t="str">
            <v>N</v>
          </cell>
          <cell r="O393">
            <v>0</v>
          </cell>
          <cell r="P393" t="str">
            <v>4850-LDB-301A</v>
          </cell>
          <cell r="Q393" t="str">
            <v>C</v>
          </cell>
          <cell r="S393">
            <v>8</v>
          </cell>
          <cell r="T393">
            <v>10</v>
          </cell>
          <cell r="X393">
            <v>1</v>
          </cell>
          <cell r="Y393">
            <v>0.85</v>
          </cell>
        </row>
        <row r="394">
          <cell r="A394" t="str">
            <v>PEU-2</v>
          </cell>
          <cell r="B394" t="str">
            <v>4101-LDB-301</v>
          </cell>
          <cell r="C394" t="str">
            <v>Outdoor Normal Lighting Panel-HP Nitrogen &amp; INRU Comp.</v>
          </cell>
          <cell r="D394">
            <v>0</v>
          </cell>
          <cell r="E394" t="str">
            <v>ISBL</v>
          </cell>
          <cell r="J394" t="str">
            <v>3</v>
          </cell>
          <cell r="K394">
            <v>690</v>
          </cell>
          <cell r="L394" t="str">
            <v>AC</v>
          </cell>
          <cell r="M394" t="str">
            <v>F</v>
          </cell>
          <cell r="N394" t="str">
            <v>N</v>
          </cell>
          <cell r="O394">
            <v>0</v>
          </cell>
          <cell r="P394" t="str">
            <v>4850-LDB-301A</v>
          </cell>
          <cell r="Q394" t="str">
            <v>C</v>
          </cell>
          <cell r="S394">
            <v>8</v>
          </cell>
          <cell r="T394">
            <v>10</v>
          </cell>
          <cell r="X394">
            <v>1</v>
          </cell>
          <cell r="Y394">
            <v>0.85</v>
          </cell>
        </row>
        <row r="395">
          <cell r="A395" t="str">
            <v>PEU-2</v>
          </cell>
          <cell r="B395" t="str">
            <v>4102-LDB-301</v>
          </cell>
          <cell r="C395" t="str">
            <v>Outdoor Normal Lighting Panel-Loop Reactor &amp; Fluff Transfer</v>
          </cell>
          <cell r="D395">
            <v>0</v>
          </cell>
          <cell r="E395" t="str">
            <v>ISBL</v>
          </cell>
          <cell r="J395" t="str">
            <v>3</v>
          </cell>
          <cell r="K395">
            <v>690</v>
          </cell>
          <cell r="L395" t="str">
            <v>AC</v>
          </cell>
          <cell r="M395" t="str">
            <v>F</v>
          </cell>
          <cell r="N395" t="str">
            <v>N</v>
          </cell>
          <cell r="O395">
            <v>0</v>
          </cell>
          <cell r="P395" t="str">
            <v>4850-LDB-301A</v>
          </cell>
          <cell r="Q395" t="str">
            <v>C</v>
          </cell>
          <cell r="S395">
            <v>8</v>
          </cell>
          <cell r="T395">
            <v>10</v>
          </cell>
          <cell r="X395">
            <v>1</v>
          </cell>
          <cell r="Y395">
            <v>0.85</v>
          </cell>
        </row>
        <row r="396">
          <cell r="A396" t="str">
            <v>CT</v>
          </cell>
          <cell r="B396" t="str">
            <v>6300-LDB-301</v>
          </cell>
          <cell r="C396" t="str">
            <v>Outdoor Normal Lighting Panel-Cooling water supply</v>
          </cell>
          <cell r="D396">
            <v>0</v>
          </cell>
          <cell r="E396" t="str">
            <v>ISBL</v>
          </cell>
          <cell r="J396" t="str">
            <v>3</v>
          </cell>
          <cell r="K396">
            <v>690</v>
          </cell>
          <cell r="L396" t="str">
            <v>AC</v>
          </cell>
          <cell r="M396" t="str">
            <v>F</v>
          </cell>
          <cell r="N396" t="str">
            <v>N</v>
          </cell>
          <cell r="O396">
            <v>0</v>
          </cell>
          <cell r="P396" t="str">
            <v>4850-LDB-301A</v>
          </cell>
          <cell r="Q396" t="str">
            <v>C</v>
          </cell>
          <cell r="S396">
            <v>8</v>
          </cell>
          <cell r="T396">
            <v>10</v>
          </cell>
          <cell r="X396">
            <v>1</v>
          </cell>
          <cell r="Y396">
            <v>0.85</v>
          </cell>
        </row>
        <row r="397">
          <cell r="A397" t="str">
            <v>PEU-2</v>
          </cell>
          <cell r="B397" t="str">
            <v>5101-LDB-302</v>
          </cell>
          <cell r="C397" t="str">
            <v>Building Normal Lighting Panel-LC2254 &amp; Butene-1</v>
          </cell>
          <cell r="D397">
            <v>0</v>
          </cell>
          <cell r="E397" t="str">
            <v>ISBL</v>
          </cell>
          <cell r="J397" t="str">
            <v>3</v>
          </cell>
          <cell r="K397">
            <v>690</v>
          </cell>
          <cell r="L397" t="str">
            <v>AC</v>
          </cell>
          <cell r="M397" t="str">
            <v>F</v>
          </cell>
          <cell r="N397" t="str">
            <v>N</v>
          </cell>
          <cell r="O397">
            <v>0</v>
          </cell>
          <cell r="P397" t="str">
            <v>4850-LDB-301A</v>
          </cell>
          <cell r="Q397" t="str">
            <v>C</v>
          </cell>
          <cell r="S397">
            <v>4</v>
          </cell>
          <cell r="T397">
            <v>5</v>
          </cell>
          <cell r="X397">
            <v>1</v>
          </cell>
          <cell r="Y397">
            <v>0.85</v>
          </cell>
        </row>
        <row r="398">
          <cell r="A398" t="str">
            <v>PEU-2</v>
          </cell>
          <cell r="B398" t="str">
            <v>4105-LDB-302</v>
          </cell>
          <cell r="C398" t="str">
            <v>Building Normal Lighting Panel - Catalyst Area</v>
          </cell>
          <cell r="D398">
            <v>0</v>
          </cell>
          <cell r="E398" t="str">
            <v>ISBL</v>
          </cell>
          <cell r="J398" t="str">
            <v>3</v>
          </cell>
          <cell r="K398">
            <v>690</v>
          </cell>
          <cell r="L398" t="str">
            <v>AC</v>
          </cell>
          <cell r="M398" t="str">
            <v>F</v>
          </cell>
          <cell r="N398" t="str">
            <v>N</v>
          </cell>
          <cell r="O398">
            <v>0</v>
          </cell>
          <cell r="P398" t="str">
            <v>4850-LDB-301A</v>
          </cell>
          <cell r="Q398" t="str">
            <v>C</v>
          </cell>
          <cell r="S398">
            <v>4</v>
          </cell>
          <cell r="T398">
            <v>5</v>
          </cell>
          <cell r="X398">
            <v>1</v>
          </cell>
          <cell r="Y398">
            <v>0.85</v>
          </cell>
        </row>
        <row r="399">
          <cell r="A399" t="str">
            <v>PEU-2</v>
          </cell>
          <cell r="B399" t="str">
            <v>4101-LDB-302</v>
          </cell>
          <cell r="C399" t="str">
            <v>Building Normal Lighting Panel-HP Nitrogen &amp; INRU Comp.</v>
          </cell>
          <cell r="D399">
            <v>0</v>
          </cell>
          <cell r="E399" t="str">
            <v>ISBL</v>
          </cell>
          <cell r="J399" t="str">
            <v>3</v>
          </cell>
          <cell r="K399">
            <v>690</v>
          </cell>
          <cell r="L399" t="str">
            <v>AC</v>
          </cell>
          <cell r="M399" t="str">
            <v>F</v>
          </cell>
          <cell r="N399" t="str">
            <v>N</v>
          </cell>
          <cell r="O399">
            <v>0</v>
          </cell>
          <cell r="P399" t="str">
            <v>4850-LDB-301A</v>
          </cell>
          <cell r="Q399" t="str">
            <v>C</v>
          </cell>
          <cell r="S399">
            <v>8</v>
          </cell>
          <cell r="T399">
            <v>10</v>
          </cell>
          <cell r="X399">
            <v>1</v>
          </cell>
          <cell r="Y399">
            <v>0.85</v>
          </cell>
        </row>
        <row r="400">
          <cell r="A400" t="str">
            <v>PEU-2</v>
          </cell>
          <cell r="B400" t="str">
            <v>4102-LDB-302</v>
          </cell>
          <cell r="C400" t="str">
            <v>Outdoor Normal Lighting Panel-Loop Reactor &amp; Fluff Transfer</v>
          </cell>
          <cell r="D400">
            <v>0</v>
          </cell>
          <cell r="E400" t="str">
            <v>ISBL</v>
          </cell>
          <cell r="J400" t="str">
            <v>3</v>
          </cell>
          <cell r="K400">
            <v>690</v>
          </cell>
          <cell r="L400" t="str">
            <v>AC</v>
          </cell>
          <cell r="M400" t="str">
            <v>F</v>
          </cell>
          <cell r="N400" t="str">
            <v>N</v>
          </cell>
          <cell r="O400">
            <v>0</v>
          </cell>
          <cell r="P400" t="str">
            <v>4850-LDB-301A</v>
          </cell>
          <cell r="Q400" t="str">
            <v>C</v>
          </cell>
          <cell r="S400">
            <v>8</v>
          </cell>
          <cell r="T400">
            <v>10</v>
          </cell>
          <cell r="X400">
            <v>1</v>
          </cell>
          <cell r="Y400">
            <v>0.85</v>
          </cell>
        </row>
        <row r="401">
          <cell r="A401" t="str">
            <v>PEU-2</v>
          </cell>
          <cell r="B401" t="str">
            <v>4107-LDB-301</v>
          </cell>
          <cell r="C401" t="str">
            <v>Indoor Normal Lighting Panel-Extrusion B/D &amp; Pellet Conveying</v>
          </cell>
          <cell r="D401">
            <v>0</v>
          </cell>
          <cell r="E401" t="str">
            <v>ISBL</v>
          </cell>
          <cell r="J401" t="str">
            <v>3</v>
          </cell>
          <cell r="K401">
            <v>690</v>
          </cell>
          <cell r="L401" t="str">
            <v>AC</v>
          </cell>
          <cell r="M401" t="str">
            <v>F</v>
          </cell>
          <cell r="N401" t="str">
            <v>N</v>
          </cell>
          <cell r="O401">
            <v>0</v>
          </cell>
          <cell r="P401" t="str">
            <v>4850-LDB-301A</v>
          </cell>
          <cell r="Q401" t="str">
            <v>C</v>
          </cell>
          <cell r="S401">
            <v>6.4</v>
          </cell>
          <cell r="T401">
            <v>8</v>
          </cell>
          <cell r="X401">
            <v>1</v>
          </cell>
          <cell r="Y401">
            <v>0.85</v>
          </cell>
        </row>
        <row r="402">
          <cell r="A402" t="str">
            <v>PEU-2</v>
          </cell>
          <cell r="B402" t="str">
            <v>4108-LDB-301</v>
          </cell>
          <cell r="C402" t="str">
            <v>Outdoor Normal Lighting Panel-Pellet Run Blend Silo</v>
          </cell>
          <cell r="D402">
            <v>0</v>
          </cell>
          <cell r="E402" t="str">
            <v>ISBL</v>
          </cell>
          <cell r="J402" t="str">
            <v>3</v>
          </cell>
          <cell r="K402">
            <v>690</v>
          </cell>
          <cell r="L402" t="str">
            <v>AC</v>
          </cell>
          <cell r="M402" t="str">
            <v>F</v>
          </cell>
          <cell r="N402" t="str">
            <v>N</v>
          </cell>
          <cell r="O402">
            <v>0</v>
          </cell>
          <cell r="P402" t="str">
            <v>4850-LDB-301A</v>
          </cell>
          <cell r="Q402" t="str">
            <v>C</v>
          </cell>
          <cell r="S402">
            <v>4</v>
          </cell>
          <cell r="T402">
            <v>5</v>
          </cell>
          <cell r="X402">
            <v>1</v>
          </cell>
          <cell r="Y402">
            <v>0.85</v>
          </cell>
        </row>
        <row r="403">
          <cell r="A403" t="str">
            <v>PEU-2</v>
          </cell>
          <cell r="B403" t="str">
            <v>6700-LDB-301</v>
          </cell>
          <cell r="C403" t="str">
            <v>Outdoor Normal Lighting Panel-Flare Area</v>
          </cell>
          <cell r="D403">
            <v>0</v>
          </cell>
          <cell r="E403" t="str">
            <v>ISBL</v>
          </cell>
          <cell r="J403" t="str">
            <v>3</v>
          </cell>
          <cell r="K403">
            <v>690</v>
          </cell>
          <cell r="L403" t="str">
            <v>AC</v>
          </cell>
          <cell r="M403" t="str">
            <v>F</v>
          </cell>
          <cell r="N403" t="str">
            <v>N</v>
          </cell>
          <cell r="O403">
            <v>0</v>
          </cell>
          <cell r="P403" t="str">
            <v>4850-LDB-301A</v>
          </cell>
          <cell r="Q403" t="str">
            <v>C</v>
          </cell>
          <cell r="S403">
            <v>4</v>
          </cell>
          <cell r="T403">
            <v>5</v>
          </cell>
          <cell r="X403">
            <v>1</v>
          </cell>
          <cell r="Y403">
            <v>0.85</v>
          </cell>
        </row>
        <row r="404">
          <cell r="A404" t="str">
            <v>SS</v>
          </cell>
          <cell r="B404" t="str">
            <v>4850-LDB-300</v>
          </cell>
          <cell r="C404" t="str">
            <v>Substation Normal Lighting Panel</v>
          </cell>
          <cell r="D404">
            <v>0</v>
          </cell>
          <cell r="E404" t="str">
            <v>ISBL</v>
          </cell>
          <cell r="J404" t="str">
            <v>3</v>
          </cell>
          <cell r="K404">
            <v>690</v>
          </cell>
          <cell r="L404" t="str">
            <v>AC</v>
          </cell>
          <cell r="M404" t="str">
            <v>F</v>
          </cell>
          <cell r="N404" t="str">
            <v>N</v>
          </cell>
          <cell r="O404">
            <v>0</v>
          </cell>
          <cell r="P404" t="str">
            <v>4850-LDB-301A</v>
          </cell>
          <cell r="Q404" t="str">
            <v>C</v>
          </cell>
          <cell r="S404">
            <v>8</v>
          </cell>
          <cell r="T404">
            <v>10</v>
          </cell>
          <cell r="X404">
            <v>1</v>
          </cell>
          <cell r="Y404">
            <v>0.85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 t="str">
            <v>ISBL</v>
          </cell>
          <cell r="J405" t="str">
            <v>3</v>
          </cell>
          <cell r="K405">
            <v>0</v>
          </cell>
          <cell r="L405" t="str">
            <v>AC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S405">
            <v>0</v>
          </cell>
          <cell r="T405">
            <v>0</v>
          </cell>
          <cell r="X405" t="str">
            <v/>
          </cell>
          <cell r="Y405">
            <v>0</v>
          </cell>
        </row>
        <row r="406">
          <cell r="A406" t="str">
            <v>PEU-2</v>
          </cell>
          <cell r="B406" t="str">
            <v>5101-XDB-301</v>
          </cell>
          <cell r="C406" t="str">
            <v>Outdoor Normal Small Power Panel-LC2254 &amp; Butene-1</v>
          </cell>
          <cell r="D406">
            <v>0</v>
          </cell>
          <cell r="E406" t="str">
            <v>ISBL</v>
          </cell>
          <cell r="J406" t="str">
            <v>3</v>
          </cell>
          <cell r="K406">
            <v>690</v>
          </cell>
          <cell r="L406" t="str">
            <v>AC</v>
          </cell>
          <cell r="M406" t="str">
            <v>F</v>
          </cell>
          <cell r="N406" t="str">
            <v>N</v>
          </cell>
          <cell r="O406">
            <v>0</v>
          </cell>
          <cell r="P406" t="str">
            <v>4850-XDB-301A</v>
          </cell>
          <cell r="Q406" t="str">
            <v>C</v>
          </cell>
          <cell r="S406">
            <v>2.4000000000000004</v>
          </cell>
          <cell r="T406">
            <v>3</v>
          </cell>
          <cell r="X406">
            <v>1</v>
          </cell>
          <cell r="Y406">
            <v>0.85</v>
          </cell>
        </row>
        <row r="407">
          <cell r="A407" t="str">
            <v>PEU-2</v>
          </cell>
          <cell r="B407" t="str">
            <v>5102-XDB-301</v>
          </cell>
          <cell r="C407" t="str">
            <v>Outdoor Normal Small Power Panel-Reactor &amp; Pumparound</v>
          </cell>
          <cell r="D407">
            <v>0</v>
          </cell>
          <cell r="E407" t="str">
            <v>ISBL</v>
          </cell>
          <cell r="J407" t="str">
            <v>3</v>
          </cell>
          <cell r="K407">
            <v>690</v>
          </cell>
          <cell r="L407" t="str">
            <v>AC</v>
          </cell>
          <cell r="M407" t="str">
            <v>F</v>
          </cell>
          <cell r="N407" t="str">
            <v>N</v>
          </cell>
          <cell r="O407">
            <v>0</v>
          </cell>
          <cell r="P407" t="str">
            <v>4850-XDB-301A</v>
          </cell>
          <cell r="Q407" t="str">
            <v>C</v>
          </cell>
          <cell r="S407">
            <v>2.4000000000000004</v>
          </cell>
          <cell r="T407">
            <v>3</v>
          </cell>
          <cell r="X407">
            <v>1</v>
          </cell>
          <cell r="Y407">
            <v>0.85</v>
          </cell>
        </row>
        <row r="408">
          <cell r="A408" t="str">
            <v>CT</v>
          </cell>
          <cell r="B408" t="str">
            <v>4105-XDB-301</v>
          </cell>
          <cell r="C408" t="str">
            <v>Outdoor Normal Small Power Panel- Catalyst Area</v>
          </cell>
          <cell r="D408">
            <v>0</v>
          </cell>
          <cell r="E408" t="str">
            <v>ISBL</v>
          </cell>
          <cell r="J408" t="str">
            <v>3</v>
          </cell>
          <cell r="K408">
            <v>690</v>
          </cell>
          <cell r="L408" t="str">
            <v>AC</v>
          </cell>
          <cell r="M408" t="str">
            <v>F</v>
          </cell>
          <cell r="N408" t="str">
            <v>N</v>
          </cell>
          <cell r="O408">
            <v>0</v>
          </cell>
          <cell r="P408" t="str">
            <v>4850-XDB-301A</v>
          </cell>
          <cell r="Q408" t="str">
            <v>C</v>
          </cell>
          <cell r="S408">
            <v>4</v>
          </cell>
          <cell r="T408">
            <v>5</v>
          </cell>
          <cell r="X408">
            <v>1</v>
          </cell>
          <cell r="Y408">
            <v>0.85</v>
          </cell>
        </row>
        <row r="409">
          <cell r="A409" t="str">
            <v>PEU-2</v>
          </cell>
          <cell r="B409" t="str">
            <v>4106-XDB-301</v>
          </cell>
          <cell r="C409" t="str">
            <v>Outdoor Normal Small Power Panel-Glycol &amp; Oily Water System</v>
          </cell>
          <cell r="D409">
            <v>0</v>
          </cell>
          <cell r="E409" t="str">
            <v>ISBL</v>
          </cell>
          <cell r="J409" t="str">
            <v>3</v>
          </cell>
          <cell r="K409">
            <v>690</v>
          </cell>
          <cell r="L409" t="str">
            <v>AC</v>
          </cell>
          <cell r="M409" t="str">
            <v>F</v>
          </cell>
          <cell r="N409" t="str">
            <v>N</v>
          </cell>
          <cell r="O409">
            <v>0</v>
          </cell>
          <cell r="P409" t="str">
            <v>4850-XDB-301A</v>
          </cell>
          <cell r="Q409" t="str">
            <v>C</v>
          </cell>
          <cell r="S409">
            <v>2.4000000000000004</v>
          </cell>
          <cell r="T409">
            <v>3</v>
          </cell>
          <cell r="X409">
            <v>1</v>
          </cell>
          <cell r="Y409">
            <v>0.85</v>
          </cell>
        </row>
        <row r="410">
          <cell r="A410" t="str">
            <v>PEU-2</v>
          </cell>
          <cell r="B410" t="str">
            <v>4103-XDB-301</v>
          </cell>
          <cell r="C410" t="str">
            <v>Outdoor Normal Small Power Panel-Treater Area</v>
          </cell>
          <cell r="D410">
            <v>0</v>
          </cell>
          <cell r="E410" t="str">
            <v>ISBL</v>
          </cell>
          <cell r="J410" t="str">
            <v>3</v>
          </cell>
          <cell r="K410">
            <v>690</v>
          </cell>
          <cell r="L410" t="str">
            <v>AC</v>
          </cell>
          <cell r="M410" t="str">
            <v>F</v>
          </cell>
          <cell r="N410" t="str">
            <v>N</v>
          </cell>
          <cell r="O410">
            <v>0</v>
          </cell>
          <cell r="P410" t="str">
            <v>4850-XDB-301A</v>
          </cell>
          <cell r="Q410" t="str">
            <v>C</v>
          </cell>
          <cell r="S410">
            <v>4</v>
          </cell>
          <cell r="T410">
            <v>5</v>
          </cell>
          <cell r="X410">
            <v>1</v>
          </cell>
          <cell r="Y410">
            <v>0.85</v>
          </cell>
        </row>
        <row r="411">
          <cell r="A411" t="str">
            <v>PEU-2</v>
          </cell>
          <cell r="B411" t="str">
            <v>4104-XDB-301</v>
          </cell>
          <cell r="C411" t="str">
            <v>Outdoor Normal Small Power Panel-Rx Coolant &amp; Recycle Fractionation</v>
          </cell>
          <cell r="D411">
            <v>0</v>
          </cell>
          <cell r="E411" t="str">
            <v>ISBL</v>
          </cell>
          <cell r="J411" t="str">
            <v>3</v>
          </cell>
          <cell r="K411">
            <v>690</v>
          </cell>
          <cell r="L411" t="str">
            <v>AC</v>
          </cell>
          <cell r="M411" t="str">
            <v>F</v>
          </cell>
          <cell r="N411" t="str">
            <v>N</v>
          </cell>
          <cell r="O411">
            <v>0</v>
          </cell>
          <cell r="P411" t="str">
            <v>4850-XDB-301A</v>
          </cell>
          <cell r="Q411" t="str">
            <v>C</v>
          </cell>
          <cell r="S411">
            <v>4</v>
          </cell>
          <cell r="T411">
            <v>5</v>
          </cell>
          <cell r="X411">
            <v>1</v>
          </cell>
          <cell r="Y411">
            <v>0.85</v>
          </cell>
        </row>
        <row r="412">
          <cell r="A412" t="str">
            <v>PEU-2</v>
          </cell>
          <cell r="B412" t="str">
            <v>4101-XDB-301</v>
          </cell>
          <cell r="C412" t="str">
            <v>Outdoor Normal Small Power Panel-HP Nitrogen &amp; INRU Comp.</v>
          </cell>
          <cell r="D412">
            <v>0</v>
          </cell>
          <cell r="E412" t="str">
            <v>ISBL</v>
          </cell>
          <cell r="J412" t="str">
            <v>3</v>
          </cell>
          <cell r="K412">
            <v>690</v>
          </cell>
          <cell r="L412" t="str">
            <v>AC</v>
          </cell>
          <cell r="M412" t="str">
            <v>F</v>
          </cell>
          <cell r="N412" t="str">
            <v>N</v>
          </cell>
          <cell r="O412">
            <v>0</v>
          </cell>
          <cell r="P412" t="str">
            <v>4850-XDB-301A</v>
          </cell>
          <cell r="Q412" t="str">
            <v>C</v>
          </cell>
          <cell r="S412">
            <v>4</v>
          </cell>
          <cell r="T412">
            <v>5</v>
          </cell>
          <cell r="X412">
            <v>1</v>
          </cell>
          <cell r="Y412">
            <v>0.85</v>
          </cell>
        </row>
        <row r="413">
          <cell r="A413" t="str">
            <v>PEU-2</v>
          </cell>
          <cell r="B413" t="str">
            <v>4102-XDB-301</v>
          </cell>
          <cell r="C413" t="str">
            <v>Outdoor Normal Small Power Panel-Loop Reactor &amp; Fluff Transfer</v>
          </cell>
          <cell r="D413">
            <v>0</v>
          </cell>
          <cell r="E413" t="str">
            <v>ISBL</v>
          </cell>
          <cell r="J413" t="str">
            <v>3</v>
          </cell>
          <cell r="K413">
            <v>690</v>
          </cell>
          <cell r="L413" t="str">
            <v>AC</v>
          </cell>
          <cell r="M413" t="str">
            <v>F</v>
          </cell>
          <cell r="N413" t="str">
            <v>N</v>
          </cell>
          <cell r="O413">
            <v>0</v>
          </cell>
          <cell r="P413" t="str">
            <v>4850-XDB-301A</v>
          </cell>
          <cell r="Q413" t="str">
            <v>C</v>
          </cell>
          <cell r="S413">
            <v>4</v>
          </cell>
          <cell r="T413">
            <v>5</v>
          </cell>
          <cell r="X413">
            <v>1</v>
          </cell>
          <cell r="Y413">
            <v>0.85</v>
          </cell>
        </row>
        <row r="414">
          <cell r="A414" t="str">
            <v>CT</v>
          </cell>
          <cell r="B414" t="str">
            <v>6300-XDB-301</v>
          </cell>
          <cell r="C414" t="str">
            <v>Outdoor Normal Small Power Panel-Cooling water supply</v>
          </cell>
          <cell r="D414">
            <v>0</v>
          </cell>
          <cell r="E414" t="str">
            <v>ISBL</v>
          </cell>
          <cell r="J414" t="str">
            <v>3</v>
          </cell>
          <cell r="K414">
            <v>690</v>
          </cell>
          <cell r="L414" t="str">
            <v>AC</v>
          </cell>
          <cell r="M414" t="str">
            <v>F</v>
          </cell>
          <cell r="N414" t="str">
            <v>N</v>
          </cell>
          <cell r="O414">
            <v>0</v>
          </cell>
          <cell r="P414" t="str">
            <v>4850-XDB-301A</v>
          </cell>
          <cell r="Q414" t="str">
            <v>C</v>
          </cell>
          <cell r="S414">
            <v>4</v>
          </cell>
          <cell r="T414">
            <v>5</v>
          </cell>
          <cell r="X414">
            <v>1</v>
          </cell>
          <cell r="Y414">
            <v>0.85</v>
          </cell>
        </row>
        <row r="415">
          <cell r="A415" t="str">
            <v>PEU-2</v>
          </cell>
          <cell r="B415" t="str">
            <v>4107-XDB-301</v>
          </cell>
          <cell r="C415" t="str">
            <v>Indoor Normal Small Power Panel-Extrusion B/D &amp; Pellet Conveying</v>
          </cell>
          <cell r="D415">
            <v>0</v>
          </cell>
          <cell r="E415" t="str">
            <v>ISBL</v>
          </cell>
          <cell r="J415" t="str">
            <v>3</v>
          </cell>
          <cell r="K415">
            <v>690</v>
          </cell>
          <cell r="L415" t="str">
            <v>AC</v>
          </cell>
          <cell r="M415" t="str">
            <v>F</v>
          </cell>
          <cell r="N415" t="str">
            <v>N</v>
          </cell>
          <cell r="O415">
            <v>0</v>
          </cell>
          <cell r="P415" t="str">
            <v>4850-XDB-301A</v>
          </cell>
          <cell r="Q415" t="str">
            <v>C</v>
          </cell>
          <cell r="S415">
            <v>4</v>
          </cell>
          <cell r="T415">
            <v>5</v>
          </cell>
          <cell r="X415">
            <v>1</v>
          </cell>
          <cell r="Y415">
            <v>0.85</v>
          </cell>
        </row>
        <row r="416">
          <cell r="A416" t="str">
            <v>PEU-2</v>
          </cell>
          <cell r="B416" t="str">
            <v>4108-XDB-301</v>
          </cell>
          <cell r="C416" t="str">
            <v>Outdoor Normal Small Power Panel-Pellet Run Blend Silo</v>
          </cell>
          <cell r="D416">
            <v>0</v>
          </cell>
          <cell r="E416" t="str">
            <v>ISBL</v>
          </cell>
          <cell r="J416" t="str">
            <v>3</v>
          </cell>
          <cell r="K416">
            <v>690</v>
          </cell>
          <cell r="L416" t="str">
            <v>AC</v>
          </cell>
          <cell r="M416" t="str">
            <v>F</v>
          </cell>
          <cell r="N416" t="str">
            <v>N</v>
          </cell>
          <cell r="O416">
            <v>0</v>
          </cell>
          <cell r="P416" t="str">
            <v>4850-XDB-301A</v>
          </cell>
          <cell r="Q416" t="str">
            <v>C</v>
          </cell>
          <cell r="S416">
            <v>2.4000000000000004</v>
          </cell>
          <cell r="T416">
            <v>3</v>
          </cell>
          <cell r="X416">
            <v>1</v>
          </cell>
          <cell r="Y416">
            <v>0.85</v>
          </cell>
        </row>
        <row r="417">
          <cell r="A417" t="str">
            <v>PEU-2</v>
          </cell>
          <cell r="B417" t="str">
            <v>6700-XDB-301</v>
          </cell>
          <cell r="C417" t="str">
            <v>Outdoor Normal Small Power Panel-Flare Area</v>
          </cell>
          <cell r="D417">
            <v>0</v>
          </cell>
          <cell r="E417" t="str">
            <v>ISBL</v>
          </cell>
          <cell r="J417" t="str">
            <v>3</v>
          </cell>
          <cell r="K417">
            <v>690</v>
          </cell>
          <cell r="L417" t="str">
            <v>AC</v>
          </cell>
          <cell r="M417" t="str">
            <v>F</v>
          </cell>
          <cell r="N417" t="str">
            <v>N</v>
          </cell>
          <cell r="O417">
            <v>0</v>
          </cell>
          <cell r="P417" t="str">
            <v>4850-XDB-301A</v>
          </cell>
          <cell r="Q417" t="str">
            <v>C</v>
          </cell>
          <cell r="S417">
            <v>2.4000000000000004</v>
          </cell>
          <cell r="T417">
            <v>3</v>
          </cell>
          <cell r="X417">
            <v>1</v>
          </cell>
          <cell r="Y417">
            <v>0.85</v>
          </cell>
        </row>
        <row r="418">
          <cell r="A418" t="str">
            <v>SS</v>
          </cell>
          <cell r="B418" t="str">
            <v>4850-XDB-300</v>
          </cell>
          <cell r="C418" t="str">
            <v>Substation Normal Small Power Panel</v>
          </cell>
          <cell r="D418">
            <v>0</v>
          </cell>
          <cell r="E418" t="str">
            <v>ISBL</v>
          </cell>
          <cell r="J418" t="str">
            <v>3</v>
          </cell>
          <cell r="K418">
            <v>690</v>
          </cell>
          <cell r="L418" t="str">
            <v>AC</v>
          </cell>
          <cell r="M418" t="str">
            <v>F</v>
          </cell>
          <cell r="N418" t="str">
            <v>N</v>
          </cell>
          <cell r="O418">
            <v>0</v>
          </cell>
          <cell r="P418" t="str">
            <v>4850-XDB-301A</v>
          </cell>
          <cell r="Q418" t="str">
            <v>C</v>
          </cell>
          <cell r="S418">
            <v>4</v>
          </cell>
          <cell r="T418">
            <v>5</v>
          </cell>
          <cell r="X418">
            <v>1</v>
          </cell>
          <cell r="Y418">
            <v>0.85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 t="str">
            <v>ISBL</v>
          </cell>
          <cell r="J419" t="str">
            <v>3</v>
          </cell>
          <cell r="K419">
            <v>0</v>
          </cell>
          <cell r="L419" t="str">
            <v>AC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S419">
            <v>0</v>
          </cell>
          <cell r="T419">
            <v>0</v>
          </cell>
          <cell r="X419">
            <v>0</v>
          </cell>
          <cell r="Y419">
            <v>0</v>
          </cell>
        </row>
        <row r="420">
          <cell r="A420" t="str">
            <v>PEU-2</v>
          </cell>
          <cell r="B420" t="str">
            <v>5101-ELDB-301</v>
          </cell>
          <cell r="C420" t="str">
            <v>Outdoor Emergency Lighting Panel-LC2254 &amp; Butene-1</v>
          </cell>
          <cell r="D420">
            <v>0</v>
          </cell>
          <cell r="E420" t="str">
            <v>ISBL</v>
          </cell>
          <cell r="J420" t="str">
            <v>3</v>
          </cell>
          <cell r="K420">
            <v>690</v>
          </cell>
          <cell r="L420" t="str">
            <v>AC</v>
          </cell>
          <cell r="M420" t="str">
            <v>F</v>
          </cell>
          <cell r="N420" t="str">
            <v>N</v>
          </cell>
          <cell r="O420">
            <v>0</v>
          </cell>
          <cell r="P420" t="str">
            <v>4850-ELDB-301B</v>
          </cell>
          <cell r="Q420" t="str">
            <v>C</v>
          </cell>
          <cell r="S420">
            <v>2.4000000000000004</v>
          </cell>
          <cell r="T420">
            <v>3</v>
          </cell>
          <cell r="X420">
            <v>1</v>
          </cell>
          <cell r="Y420">
            <v>0.85</v>
          </cell>
        </row>
        <row r="421">
          <cell r="A421" t="str">
            <v>PEU-2</v>
          </cell>
          <cell r="B421" t="str">
            <v>5102-ELDB-301</v>
          </cell>
          <cell r="C421" t="str">
            <v>Outdoor Emergency Lighting Panel-Reactor &amp; Pumparound</v>
          </cell>
          <cell r="D421">
            <v>0</v>
          </cell>
          <cell r="E421" t="str">
            <v>ISBL</v>
          </cell>
          <cell r="J421" t="str">
            <v>3</v>
          </cell>
          <cell r="K421">
            <v>690</v>
          </cell>
          <cell r="L421" t="str">
            <v>AC</v>
          </cell>
          <cell r="M421" t="str">
            <v>F</v>
          </cell>
          <cell r="N421" t="str">
            <v>N</v>
          </cell>
          <cell r="O421">
            <v>0</v>
          </cell>
          <cell r="P421" t="str">
            <v>4850-ELDB-301B</v>
          </cell>
          <cell r="Q421" t="str">
            <v>C</v>
          </cell>
          <cell r="S421">
            <v>2.4000000000000004</v>
          </cell>
          <cell r="T421">
            <v>3</v>
          </cell>
          <cell r="X421">
            <v>1</v>
          </cell>
          <cell r="Y421">
            <v>0.85</v>
          </cell>
        </row>
        <row r="422">
          <cell r="A422" t="str">
            <v>CT</v>
          </cell>
          <cell r="B422" t="str">
            <v>4105-ELDB-301</v>
          </cell>
          <cell r="C422" t="str">
            <v>Outdoor Emergency Lighting Panel- Catalyst Area</v>
          </cell>
          <cell r="D422">
            <v>0</v>
          </cell>
          <cell r="E422" t="str">
            <v>ISBL</v>
          </cell>
          <cell r="J422" t="str">
            <v>3</v>
          </cell>
          <cell r="K422">
            <v>690</v>
          </cell>
          <cell r="L422" t="str">
            <v>AC</v>
          </cell>
          <cell r="M422" t="str">
            <v>F</v>
          </cell>
          <cell r="N422" t="str">
            <v>N</v>
          </cell>
          <cell r="O422">
            <v>0</v>
          </cell>
          <cell r="P422" t="str">
            <v>4850-ELDB-301B</v>
          </cell>
          <cell r="Q422" t="str">
            <v>C</v>
          </cell>
          <cell r="S422">
            <v>4</v>
          </cell>
          <cell r="T422">
            <v>5</v>
          </cell>
          <cell r="X422">
            <v>1</v>
          </cell>
          <cell r="Y422">
            <v>0.85</v>
          </cell>
        </row>
        <row r="423">
          <cell r="A423" t="str">
            <v>PEU-2</v>
          </cell>
          <cell r="B423" t="str">
            <v>4106-ELDB-301</v>
          </cell>
          <cell r="C423" t="str">
            <v>Outdoor Emergency Lighting Panel-Glycol &amp; Oily Water System</v>
          </cell>
          <cell r="D423">
            <v>0</v>
          </cell>
          <cell r="E423" t="str">
            <v>ISBL</v>
          </cell>
          <cell r="J423" t="str">
            <v>3</v>
          </cell>
          <cell r="K423">
            <v>690</v>
          </cell>
          <cell r="L423" t="str">
            <v>AC</v>
          </cell>
          <cell r="M423" t="str">
            <v>F</v>
          </cell>
          <cell r="N423" t="str">
            <v>N</v>
          </cell>
          <cell r="O423">
            <v>0</v>
          </cell>
          <cell r="P423" t="str">
            <v>4850-ELDB-301B</v>
          </cell>
          <cell r="Q423" t="str">
            <v>C</v>
          </cell>
          <cell r="S423">
            <v>2.4000000000000004</v>
          </cell>
          <cell r="T423">
            <v>3</v>
          </cell>
          <cell r="X423">
            <v>1</v>
          </cell>
          <cell r="Y423">
            <v>0.85</v>
          </cell>
        </row>
        <row r="424">
          <cell r="A424" t="str">
            <v>PEU-2</v>
          </cell>
          <cell r="B424" t="str">
            <v>4103-ELDB-301</v>
          </cell>
          <cell r="C424" t="str">
            <v>Outdoor Emergency Lighting Panel-Treater Area</v>
          </cell>
          <cell r="D424">
            <v>0</v>
          </cell>
          <cell r="E424" t="str">
            <v>ISBL</v>
          </cell>
          <cell r="J424" t="str">
            <v>3</v>
          </cell>
          <cell r="K424">
            <v>690</v>
          </cell>
          <cell r="L424" t="str">
            <v>AC</v>
          </cell>
          <cell r="M424" t="str">
            <v>F</v>
          </cell>
          <cell r="N424" t="str">
            <v>N</v>
          </cell>
          <cell r="O424">
            <v>0</v>
          </cell>
          <cell r="P424" t="str">
            <v>4850-ELDB-301B</v>
          </cell>
          <cell r="Q424" t="str">
            <v>C</v>
          </cell>
          <cell r="S424">
            <v>4</v>
          </cell>
          <cell r="T424">
            <v>5</v>
          </cell>
          <cell r="X424">
            <v>1</v>
          </cell>
          <cell r="Y424">
            <v>0.85</v>
          </cell>
        </row>
        <row r="425">
          <cell r="A425" t="str">
            <v>PEU-2</v>
          </cell>
          <cell r="B425" t="str">
            <v>4104-ELDB-301</v>
          </cell>
          <cell r="C425" t="str">
            <v>Outdoor Emergency Lighting Panel-Rx Coolant &amp; Recycle Fractionation</v>
          </cell>
          <cell r="D425">
            <v>0</v>
          </cell>
          <cell r="E425" t="str">
            <v>ISBL</v>
          </cell>
          <cell r="J425" t="str">
            <v>3</v>
          </cell>
          <cell r="K425">
            <v>690</v>
          </cell>
          <cell r="L425" t="str">
            <v>AC</v>
          </cell>
          <cell r="M425" t="str">
            <v>F</v>
          </cell>
          <cell r="N425" t="str">
            <v>N</v>
          </cell>
          <cell r="O425">
            <v>0</v>
          </cell>
          <cell r="P425" t="str">
            <v>4850-ELDB-301B</v>
          </cell>
          <cell r="Q425" t="str">
            <v>C</v>
          </cell>
          <cell r="S425">
            <v>4</v>
          </cell>
          <cell r="T425">
            <v>5</v>
          </cell>
          <cell r="X425">
            <v>1</v>
          </cell>
          <cell r="Y425">
            <v>0.85</v>
          </cell>
        </row>
        <row r="426">
          <cell r="A426" t="str">
            <v>PEU-2</v>
          </cell>
          <cell r="B426" t="str">
            <v>4101-ELDB-301</v>
          </cell>
          <cell r="C426" t="str">
            <v>Outdoor Emergency Lighting Panel-HP Nitrogen &amp; INRU Comp.</v>
          </cell>
          <cell r="D426">
            <v>0</v>
          </cell>
          <cell r="E426" t="str">
            <v>ISBL</v>
          </cell>
          <cell r="J426" t="str">
            <v>3</v>
          </cell>
          <cell r="K426">
            <v>690</v>
          </cell>
          <cell r="L426" t="str">
            <v>AC</v>
          </cell>
          <cell r="M426" t="str">
            <v>F</v>
          </cell>
          <cell r="N426" t="str">
            <v>N</v>
          </cell>
          <cell r="O426">
            <v>0</v>
          </cell>
          <cell r="P426" t="str">
            <v>4850-ELDB-301B</v>
          </cell>
          <cell r="Q426" t="str">
            <v>C</v>
          </cell>
          <cell r="S426">
            <v>4</v>
          </cell>
          <cell r="T426">
            <v>5</v>
          </cell>
          <cell r="X426">
            <v>1</v>
          </cell>
          <cell r="Y426">
            <v>0.85</v>
          </cell>
        </row>
        <row r="427">
          <cell r="A427" t="str">
            <v>PEU-2</v>
          </cell>
          <cell r="B427" t="str">
            <v>4102-ELDB-301</v>
          </cell>
          <cell r="C427" t="str">
            <v>Outdoor Emergency Lighting Panel-Loop Reactor &amp; Fluff Transfer</v>
          </cell>
          <cell r="D427">
            <v>0</v>
          </cell>
          <cell r="E427" t="str">
            <v>ISBL</v>
          </cell>
          <cell r="J427" t="str">
            <v>3</v>
          </cell>
          <cell r="K427">
            <v>690</v>
          </cell>
          <cell r="L427" t="str">
            <v>AC</v>
          </cell>
          <cell r="M427" t="str">
            <v>F</v>
          </cell>
          <cell r="N427" t="str">
            <v>N</v>
          </cell>
          <cell r="O427">
            <v>0</v>
          </cell>
          <cell r="P427" t="str">
            <v>4850-ELDB-301B</v>
          </cell>
          <cell r="Q427" t="str">
            <v>C</v>
          </cell>
          <cell r="S427">
            <v>4</v>
          </cell>
          <cell r="T427">
            <v>5</v>
          </cell>
          <cell r="X427">
            <v>1</v>
          </cell>
          <cell r="Y427">
            <v>0.85</v>
          </cell>
        </row>
        <row r="428">
          <cell r="A428" t="str">
            <v>CT</v>
          </cell>
          <cell r="B428" t="str">
            <v>6300-ELDB-301</v>
          </cell>
          <cell r="C428" t="str">
            <v>Outdoor Emergency Lighting Panel-Cooling water supply</v>
          </cell>
          <cell r="D428">
            <v>0</v>
          </cell>
          <cell r="E428" t="str">
            <v>ISBL</v>
          </cell>
          <cell r="J428" t="str">
            <v>3</v>
          </cell>
          <cell r="K428">
            <v>690</v>
          </cell>
          <cell r="L428" t="str">
            <v>AC</v>
          </cell>
          <cell r="M428" t="str">
            <v>F</v>
          </cell>
          <cell r="N428" t="str">
            <v>N</v>
          </cell>
          <cell r="O428">
            <v>0</v>
          </cell>
          <cell r="P428" t="str">
            <v>4850-ELDB-301B</v>
          </cell>
          <cell r="Q428" t="str">
            <v>C</v>
          </cell>
          <cell r="S428">
            <v>4</v>
          </cell>
          <cell r="T428">
            <v>5</v>
          </cell>
          <cell r="X428">
            <v>1</v>
          </cell>
          <cell r="Y428">
            <v>0.85</v>
          </cell>
        </row>
        <row r="429">
          <cell r="A429" t="str">
            <v>PEU-2</v>
          </cell>
          <cell r="B429" t="str">
            <v>5101-ELDB-302</v>
          </cell>
          <cell r="C429" t="str">
            <v>Building Emergency Lighting Panel-LC2254 &amp; Butene-1</v>
          </cell>
          <cell r="D429">
            <v>0</v>
          </cell>
          <cell r="E429" t="str">
            <v>ISBL</v>
          </cell>
          <cell r="J429" t="str">
            <v>3</v>
          </cell>
          <cell r="K429">
            <v>690</v>
          </cell>
          <cell r="L429" t="str">
            <v>AC</v>
          </cell>
          <cell r="M429" t="str">
            <v>F</v>
          </cell>
          <cell r="N429" t="str">
            <v>N</v>
          </cell>
          <cell r="O429">
            <v>0</v>
          </cell>
          <cell r="P429" t="str">
            <v>4850-ELDB-301B</v>
          </cell>
          <cell r="Q429" t="str">
            <v>C</v>
          </cell>
          <cell r="S429">
            <v>2.4000000000000004</v>
          </cell>
          <cell r="T429">
            <v>3</v>
          </cell>
          <cell r="X429">
            <v>1</v>
          </cell>
          <cell r="Y429">
            <v>0.85</v>
          </cell>
        </row>
        <row r="430">
          <cell r="A430" t="str">
            <v>PEU-2</v>
          </cell>
          <cell r="B430" t="str">
            <v>4105-ELDB-302</v>
          </cell>
          <cell r="C430" t="str">
            <v>Building Emergency Lighting Panel - Catalyst Area</v>
          </cell>
          <cell r="D430">
            <v>0</v>
          </cell>
          <cell r="E430" t="str">
            <v>ISBL</v>
          </cell>
          <cell r="J430" t="str">
            <v>3</v>
          </cell>
          <cell r="K430">
            <v>690</v>
          </cell>
          <cell r="L430" t="str">
            <v>AC</v>
          </cell>
          <cell r="M430" t="str">
            <v>F</v>
          </cell>
          <cell r="N430" t="str">
            <v>N</v>
          </cell>
          <cell r="O430">
            <v>0</v>
          </cell>
          <cell r="P430" t="str">
            <v>4850-ELDB-301B</v>
          </cell>
          <cell r="Q430" t="str">
            <v>C</v>
          </cell>
          <cell r="S430">
            <v>2.4000000000000004</v>
          </cell>
          <cell r="T430">
            <v>3</v>
          </cell>
          <cell r="X430">
            <v>1</v>
          </cell>
          <cell r="Y430">
            <v>0.85</v>
          </cell>
        </row>
        <row r="431">
          <cell r="A431" t="str">
            <v>PEU-2</v>
          </cell>
          <cell r="B431" t="str">
            <v>4101-ELDB-302</v>
          </cell>
          <cell r="C431" t="str">
            <v>Building Emergency Lighting Panel-HP Nitrogen &amp; INRU Comp.</v>
          </cell>
          <cell r="D431">
            <v>0</v>
          </cell>
          <cell r="E431" t="str">
            <v>ISBL</v>
          </cell>
          <cell r="J431" t="str">
            <v>3</v>
          </cell>
          <cell r="K431">
            <v>690</v>
          </cell>
          <cell r="L431" t="str">
            <v>AC</v>
          </cell>
          <cell r="M431" t="str">
            <v>F</v>
          </cell>
          <cell r="N431" t="str">
            <v>N</v>
          </cell>
          <cell r="O431">
            <v>0</v>
          </cell>
          <cell r="P431" t="str">
            <v>4850-ELDB-301B</v>
          </cell>
          <cell r="Q431" t="str">
            <v>C</v>
          </cell>
          <cell r="S431">
            <v>4</v>
          </cell>
          <cell r="T431">
            <v>5</v>
          </cell>
          <cell r="X431">
            <v>1</v>
          </cell>
          <cell r="Y431">
            <v>0.85</v>
          </cell>
        </row>
        <row r="432">
          <cell r="A432" t="str">
            <v>PEU-2</v>
          </cell>
          <cell r="B432" t="str">
            <v>4102-ELDB-302</v>
          </cell>
          <cell r="C432" t="str">
            <v>Outdoor Emergency Lighting Panel-Loop Reactor &amp; Fluff Transfer</v>
          </cell>
          <cell r="D432">
            <v>0</v>
          </cell>
          <cell r="E432" t="str">
            <v>ISBL</v>
          </cell>
          <cell r="J432" t="str">
            <v>3</v>
          </cell>
          <cell r="K432">
            <v>690</v>
          </cell>
          <cell r="L432" t="str">
            <v>AC</v>
          </cell>
          <cell r="M432" t="str">
            <v>F</v>
          </cell>
          <cell r="N432" t="str">
            <v>N</v>
          </cell>
          <cell r="O432">
            <v>0</v>
          </cell>
          <cell r="P432" t="str">
            <v>4850-ELDB-301B</v>
          </cell>
          <cell r="Q432" t="str">
            <v>C</v>
          </cell>
          <cell r="S432">
            <v>4</v>
          </cell>
          <cell r="T432">
            <v>5</v>
          </cell>
          <cell r="X432">
            <v>1</v>
          </cell>
          <cell r="Y432">
            <v>0.85</v>
          </cell>
        </row>
        <row r="433">
          <cell r="A433" t="str">
            <v>PEU-2</v>
          </cell>
          <cell r="B433" t="str">
            <v>4107-ELDB-301</v>
          </cell>
          <cell r="C433" t="str">
            <v>Indoor Emergency Lighting Panel-Extrusion B/D &amp; Pellet Conveying</v>
          </cell>
          <cell r="D433">
            <v>0</v>
          </cell>
          <cell r="E433" t="str">
            <v>ISBL</v>
          </cell>
          <cell r="J433" t="str">
            <v>3</v>
          </cell>
          <cell r="K433">
            <v>690</v>
          </cell>
          <cell r="L433" t="str">
            <v>AC</v>
          </cell>
          <cell r="M433" t="str">
            <v>F</v>
          </cell>
          <cell r="N433" t="str">
            <v>N</v>
          </cell>
          <cell r="O433">
            <v>0</v>
          </cell>
          <cell r="P433" t="str">
            <v>4850-ELDB-301B</v>
          </cell>
          <cell r="Q433" t="str">
            <v>C</v>
          </cell>
          <cell r="S433">
            <v>3.2</v>
          </cell>
          <cell r="T433">
            <v>4</v>
          </cell>
          <cell r="X433">
            <v>1</v>
          </cell>
          <cell r="Y433">
            <v>0.85</v>
          </cell>
        </row>
        <row r="434">
          <cell r="A434" t="str">
            <v>PEU-2</v>
          </cell>
          <cell r="B434" t="str">
            <v>4108-ELDB-301</v>
          </cell>
          <cell r="C434" t="str">
            <v>Outdoor Emergency Lighting Panel-Pellet Run Blend Silo</v>
          </cell>
          <cell r="D434">
            <v>0</v>
          </cell>
          <cell r="E434" t="str">
            <v>ISBL</v>
          </cell>
          <cell r="J434" t="str">
            <v>3</v>
          </cell>
          <cell r="K434">
            <v>690</v>
          </cell>
          <cell r="L434" t="str">
            <v>AC</v>
          </cell>
          <cell r="M434" t="str">
            <v>F</v>
          </cell>
          <cell r="N434" t="str">
            <v>N</v>
          </cell>
          <cell r="O434">
            <v>0</v>
          </cell>
          <cell r="P434" t="str">
            <v>4850-ELDB-301B</v>
          </cell>
          <cell r="Q434" t="str">
            <v>C</v>
          </cell>
          <cell r="S434">
            <v>2.4000000000000004</v>
          </cell>
          <cell r="T434">
            <v>3</v>
          </cell>
          <cell r="X434">
            <v>1</v>
          </cell>
          <cell r="Y434">
            <v>0.85</v>
          </cell>
        </row>
        <row r="435">
          <cell r="A435" t="str">
            <v>PEU-2</v>
          </cell>
          <cell r="B435" t="str">
            <v>6700-ELDB-301</v>
          </cell>
          <cell r="C435" t="str">
            <v>Outdoor Emergency Lighting Panel-Flare Area</v>
          </cell>
          <cell r="D435">
            <v>0</v>
          </cell>
          <cell r="E435" t="str">
            <v>ISBL</v>
          </cell>
          <cell r="J435" t="str">
            <v>3</v>
          </cell>
          <cell r="K435">
            <v>690</v>
          </cell>
          <cell r="L435" t="str">
            <v>AC</v>
          </cell>
          <cell r="M435" t="str">
            <v>F</v>
          </cell>
          <cell r="N435" t="str">
            <v>N</v>
          </cell>
          <cell r="O435">
            <v>0</v>
          </cell>
          <cell r="P435" t="str">
            <v>4850-ELDB-301B</v>
          </cell>
          <cell r="Q435" t="str">
            <v>C</v>
          </cell>
          <cell r="S435">
            <v>2.4000000000000004</v>
          </cell>
          <cell r="T435">
            <v>3</v>
          </cell>
          <cell r="X435">
            <v>1</v>
          </cell>
          <cell r="Y435">
            <v>0.85</v>
          </cell>
        </row>
        <row r="436">
          <cell r="A436" t="str">
            <v>SS</v>
          </cell>
          <cell r="B436" t="str">
            <v>4850-ELDB-300</v>
          </cell>
          <cell r="C436" t="str">
            <v>Substation Emergency Lighting Panel</v>
          </cell>
          <cell r="D436">
            <v>0</v>
          </cell>
          <cell r="E436" t="str">
            <v>ISBL</v>
          </cell>
          <cell r="J436" t="str">
            <v>3</v>
          </cell>
          <cell r="K436">
            <v>690</v>
          </cell>
          <cell r="L436" t="str">
            <v>AC</v>
          </cell>
          <cell r="M436" t="str">
            <v>F</v>
          </cell>
          <cell r="N436" t="str">
            <v>N</v>
          </cell>
          <cell r="O436">
            <v>0</v>
          </cell>
          <cell r="P436" t="str">
            <v>4850-ELDB-301B</v>
          </cell>
          <cell r="Q436" t="str">
            <v>C</v>
          </cell>
          <cell r="S436">
            <v>4</v>
          </cell>
          <cell r="T436">
            <v>5</v>
          </cell>
          <cell r="X436">
            <v>1</v>
          </cell>
          <cell r="Y436">
            <v>0.85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 t="str">
            <v>ISBL</v>
          </cell>
          <cell r="J437" t="str">
            <v>3</v>
          </cell>
          <cell r="K437">
            <v>0</v>
          </cell>
          <cell r="L437" t="str">
            <v>AC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S437">
            <v>0</v>
          </cell>
          <cell r="T437">
            <v>0</v>
          </cell>
          <cell r="X437">
            <v>0</v>
          </cell>
          <cell r="Y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 t="str">
            <v>ISBL</v>
          </cell>
          <cell r="J438" t="str">
            <v>3</v>
          </cell>
          <cell r="K438">
            <v>0</v>
          </cell>
          <cell r="L438" t="str">
            <v>AC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S438">
            <v>0</v>
          </cell>
          <cell r="T438">
            <v>0</v>
          </cell>
          <cell r="X438">
            <v>0</v>
          </cell>
          <cell r="Y438">
            <v>0</v>
          </cell>
        </row>
        <row r="439">
          <cell r="A439">
            <v>0</v>
          </cell>
          <cell r="B439" t="str">
            <v>1-WXS-801</v>
          </cell>
          <cell r="C439" t="str">
            <v>Welding Receptacle-Process Area</v>
          </cell>
          <cell r="D439">
            <v>0</v>
          </cell>
          <cell r="E439" t="str">
            <v>ISBL</v>
          </cell>
          <cell r="J439" t="str">
            <v>3</v>
          </cell>
          <cell r="K439">
            <v>690</v>
          </cell>
          <cell r="L439" t="str">
            <v>AC</v>
          </cell>
          <cell r="M439" t="str">
            <v>F</v>
          </cell>
          <cell r="N439" t="str">
            <v>N</v>
          </cell>
          <cell r="O439">
            <v>0</v>
          </cell>
          <cell r="P439" t="str">
            <v>4850-WDB-301A</v>
          </cell>
          <cell r="Q439" t="str">
            <v>I</v>
          </cell>
          <cell r="S439">
            <v>48</v>
          </cell>
          <cell r="T439">
            <v>60</v>
          </cell>
          <cell r="X439">
            <v>1</v>
          </cell>
          <cell r="Y439">
            <v>0.85</v>
          </cell>
        </row>
        <row r="440">
          <cell r="A440">
            <v>0</v>
          </cell>
          <cell r="B440" t="str">
            <v>1-WXS-802</v>
          </cell>
          <cell r="C440" t="str">
            <v>Welding Receptacle-Process Area</v>
          </cell>
          <cell r="D440">
            <v>0</v>
          </cell>
          <cell r="E440" t="str">
            <v>ISBL</v>
          </cell>
          <cell r="J440" t="str">
            <v>3</v>
          </cell>
          <cell r="K440">
            <v>690</v>
          </cell>
          <cell r="L440" t="str">
            <v>AC</v>
          </cell>
          <cell r="M440" t="str">
            <v>F</v>
          </cell>
          <cell r="N440" t="str">
            <v>N</v>
          </cell>
          <cell r="O440">
            <v>0</v>
          </cell>
          <cell r="P440" t="str">
            <v>4850-WDB-301A</v>
          </cell>
          <cell r="Q440" t="str">
            <v>I</v>
          </cell>
          <cell r="S440">
            <v>48</v>
          </cell>
          <cell r="T440">
            <v>60</v>
          </cell>
          <cell r="X440">
            <v>1</v>
          </cell>
          <cell r="Y440">
            <v>0.85</v>
          </cell>
        </row>
        <row r="441">
          <cell r="A441">
            <v>0</v>
          </cell>
          <cell r="B441" t="str">
            <v>1-WXS-803</v>
          </cell>
          <cell r="C441" t="str">
            <v>Welding Receptacle-Process Area</v>
          </cell>
          <cell r="D441">
            <v>0</v>
          </cell>
          <cell r="E441" t="str">
            <v>ISBL</v>
          </cell>
          <cell r="J441" t="str">
            <v>3</v>
          </cell>
          <cell r="K441">
            <v>690</v>
          </cell>
          <cell r="L441" t="str">
            <v>AC</v>
          </cell>
          <cell r="M441" t="str">
            <v>F</v>
          </cell>
          <cell r="N441" t="str">
            <v>N</v>
          </cell>
          <cell r="O441">
            <v>0</v>
          </cell>
          <cell r="P441" t="str">
            <v>4850-WDB-301A</v>
          </cell>
          <cell r="Q441" t="str">
            <v>I</v>
          </cell>
          <cell r="S441">
            <v>48</v>
          </cell>
          <cell r="T441">
            <v>60</v>
          </cell>
          <cell r="X441">
            <v>1</v>
          </cell>
          <cell r="Y441">
            <v>0.85</v>
          </cell>
        </row>
        <row r="442">
          <cell r="A442">
            <v>0</v>
          </cell>
          <cell r="B442" t="str">
            <v>1-WXS-804</v>
          </cell>
          <cell r="C442" t="str">
            <v>Welding Receptacle-Process Area</v>
          </cell>
          <cell r="D442">
            <v>0</v>
          </cell>
          <cell r="E442" t="str">
            <v>ISBL</v>
          </cell>
          <cell r="J442" t="str">
            <v>3</v>
          </cell>
          <cell r="K442">
            <v>690</v>
          </cell>
          <cell r="L442" t="str">
            <v>AC</v>
          </cell>
          <cell r="M442" t="str">
            <v>F</v>
          </cell>
          <cell r="N442" t="str">
            <v>N</v>
          </cell>
          <cell r="O442">
            <v>0</v>
          </cell>
          <cell r="P442" t="str">
            <v>4850-WDB-301A</v>
          </cell>
          <cell r="Q442" t="str">
            <v>I</v>
          </cell>
          <cell r="S442">
            <v>48</v>
          </cell>
          <cell r="T442">
            <v>60</v>
          </cell>
          <cell r="X442">
            <v>1</v>
          </cell>
          <cell r="Y442">
            <v>0.85</v>
          </cell>
        </row>
        <row r="443">
          <cell r="A443">
            <v>0</v>
          </cell>
          <cell r="B443" t="str">
            <v>1-WXS-805</v>
          </cell>
          <cell r="C443" t="str">
            <v>Welding Receptacle-Process Area</v>
          </cell>
          <cell r="D443">
            <v>0</v>
          </cell>
          <cell r="E443" t="str">
            <v>ISBL</v>
          </cell>
          <cell r="J443" t="str">
            <v>3</v>
          </cell>
          <cell r="K443">
            <v>690</v>
          </cell>
          <cell r="L443" t="str">
            <v>AC</v>
          </cell>
          <cell r="M443" t="str">
            <v>F</v>
          </cell>
          <cell r="N443" t="str">
            <v>N</v>
          </cell>
          <cell r="O443">
            <v>0</v>
          </cell>
          <cell r="P443" t="str">
            <v>4850-WDB-301A</v>
          </cell>
          <cell r="Q443" t="str">
            <v>I</v>
          </cell>
          <cell r="S443">
            <v>48</v>
          </cell>
          <cell r="T443">
            <v>60</v>
          </cell>
          <cell r="X443">
            <v>1</v>
          </cell>
          <cell r="Y443">
            <v>0.85</v>
          </cell>
        </row>
        <row r="444">
          <cell r="A444">
            <v>0</v>
          </cell>
          <cell r="B444" t="str">
            <v>1-WXS-806</v>
          </cell>
          <cell r="C444" t="str">
            <v>Welding Receptacle-Process Area</v>
          </cell>
          <cell r="D444">
            <v>0</v>
          </cell>
          <cell r="E444" t="str">
            <v>ISBL</v>
          </cell>
          <cell r="J444" t="str">
            <v>3</v>
          </cell>
          <cell r="K444">
            <v>690</v>
          </cell>
          <cell r="L444" t="str">
            <v>AC</v>
          </cell>
          <cell r="M444" t="str">
            <v>F</v>
          </cell>
          <cell r="N444" t="str">
            <v>N</v>
          </cell>
          <cell r="O444">
            <v>0</v>
          </cell>
          <cell r="P444" t="str">
            <v>4850-WDB-301A</v>
          </cell>
          <cell r="Q444" t="str">
            <v>I</v>
          </cell>
          <cell r="S444">
            <v>48</v>
          </cell>
          <cell r="T444">
            <v>60</v>
          </cell>
          <cell r="X444">
            <v>1</v>
          </cell>
          <cell r="Y444">
            <v>0.85</v>
          </cell>
        </row>
        <row r="445">
          <cell r="A445">
            <v>0</v>
          </cell>
          <cell r="B445" t="str">
            <v>1-WXS-807</v>
          </cell>
          <cell r="C445" t="str">
            <v>Welding Receptacle-Process Area</v>
          </cell>
          <cell r="D445">
            <v>0</v>
          </cell>
          <cell r="E445" t="str">
            <v>ISBL</v>
          </cell>
          <cell r="J445" t="str">
            <v>3</v>
          </cell>
          <cell r="K445">
            <v>690</v>
          </cell>
          <cell r="L445" t="str">
            <v>AC</v>
          </cell>
          <cell r="M445" t="str">
            <v>F</v>
          </cell>
          <cell r="N445" t="str">
            <v>N</v>
          </cell>
          <cell r="O445">
            <v>0</v>
          </cell>
          <cell r="P445" t="str">
            <v>4850-WDB-301A</v>
          </cell>
          <cell r="Q445" t="str">
            <v>I</v>
          </cell>
          <cell r="S445">
            <v>48</v>
          </cell>
          <cell r="T445">
            <v>60</v>
          </cell>
          <cell r="X445">
            <v>1</v>
          </cell>
          <cell r="Y445">
            <v>0.85</v>
          </cell>
        </row>
        <row r="446">
          <cell r="A446">
            <v>0</v>
          </cell>
          <cell r="B446" t="str">
            <v>1-WXS-808</v>
          </cell>
          <cell r="C446" t="str">
            <v>Welding Receptacle-Process Area</v>
          </cell>
          <cell r="D446">
            <v>0</v>
          </cell>
          <cell r="E446" t="str">
            <v>ISBL</v>
          </cell>
          <cell r="J446" t="str">
            <v>3</v>
          </cell>
          <cell r="K446">
            <v>690</v>
          </cell>
          <cell r="L446" t="str">
            <v>AC</v>
          </cell>
          <cell r="M446" t="str">
            <v>F</v>
          </cell>
          <cell r="N446" t="str">
            <v>N</v>
          </cell>
          <cell r="O446">
            <v>0</v>
          </cell>
          <cell r="P446" t="str">
            <v>4850-WDB-301A</v>
          </cell>
          <cell r="Q446" t="str">
            <v>I</v>
          </cell>
          <cell r="S446">
            <v>48</v>
          </cell>
          <cell r="T446">
            <v>60</v>
          </cell>
          <cell r="X446">
            <v>1</v>
          </cell>
          <cell r="Y446">
            <v>0.85</v>
          </cell>
        </row>
        <row r="447">
          <cell r="A447">
            <v>0</v>
          </cell>
          <cell r="B447" t="str">
            <v>1-WXS-809</v>
          </cell>
          <cell r="C447" t="str">
            <v>Welding Receptacle-Process Area</v>
          </cell>
          <cell r="D447">
            <v>0</v>
          </cell>
          <cell r="E447" t="str">
            <v>ISBL</v>
          </cell>
          <cell r="J447" t="str">
            <v>3</v>
          </cell>
          <cell r="K447">
            <v>690</v>
          </cell>
          <cell r="L447" t="str">
            <v>AC</v>
          </cell>
          <cell r="M447" t="str">
            <v>F</v>
          </cell>
          <cell r="N447" t="str">
            <v>N</v>
          </cell>
          <cell r="O447">
            <v>0</v>
          </cell>
          <cell r="P447" t="str">
            <v>4850-WDB-301A</v>
          </cell>
          <cell r="Q447" t="str">
            <v>I</v>
          </cell>
          <cell r="S447">
            <v>48</v>
          </cell>
          <cell r="T447">
            <v>60</v>
          </cell>
          <cell r="X447">
            <v>1</v>
          </cell>
          <cell r="Y447">
            <v>0.85</v>
          </cell>
        </row>
        <row r="448">
          <cell r="A448">
            <v>0</v>
          </cell>
          <cell r="B448" t="str">
            <v>1-WXS-810</v>
          </cell>
          <cell r="C448" t="str">
            <v>Welding Receptacle-Process Area</v>
          </cell>
          <cell r="D448">
            <v>0</v>
          </cell>
          <cell r="E448" t="str">
            <v>ISBL</v>
          </cell>
          <cell r="J448" t="str">
            <v>3</v>
          </cell>
          <cell r="K448">
            <v>690</v>
          </cell>
          <cell r="L448" t="str">
            <v>AC</v>
          </cell>
          <cell r="M448" t="str">
            <v>F</v>
          </cell>
          <cell r="N448" t="str">
            <v>N</v>
          </cell>
          <cell r="O448">
            <v>0</v>
          </cell>
          <cell r="P448" t="str">
            <v>4850-WDB-301A</v>
          </cell>
          <cell r="Q448" t="str">
            <v>I</v>
          </cell>
          <cell r="S448">
            <v>48</v>
          </cell>
          <cell r="T448">
            <v>60</v>
          </cell>
          <cell r="X448">
            <v>1</v>
          </cell>
          <cell r="Y448">
            <v>0.85</v>
          </cell>
        </row>
        <row r="449">
          <cell r="A449">
            <v>0</v>
          </cell>
          <cell r="B449" t="str">
            <v>1-WXS-811</v>
          </cell>
          <cell r="C449" t="str">
            <v>Welding Receptacle-Process Area</v>
          </cell>
          <cell r="D449">
            <v>0</v>
          </cell>
          <cell r="E449" t="str">
            <v>ISBL</v>
          </cell>
          <cell r="J449" t="str">
            <v>3</v>
          </cell>
          <cell r="K449">
            <v>690</v>
          </cell>
          <cell r="L449" t="str">
            <v>AC</v>
          </cell>
          <cell r="M449" t="str">
            <v>F</v>
          </cell>
          <cell r="N449" t="str">
            <v>N</v>
          </cell>
          <cell r="O449">
            <v>0</v>
          </cell>
          <cell r="P449" t="str">
            <v>4850-WDB-301A</v>
          </cell>
          <cell r="Q449" t="str">
            <v>I</v>
          </cell>
          <cell r="S449">
            <v>48</v>
          </cell>
          <cell r="T449">
            <v>60</v>
          </cell>
          <cell r="X449">
            <v>1</v>
          </cell>
          <cell r="Y449">
            <v>0.85</v>
          </cell>
        </row>
        <row r="450">
          <cell r="A450">
            <v>0</v>
          </cell>
          <cell r="B450" t="str">
            <v>1-WXS-812</v>
          </cell>
          <cell r="C450" t="str">
            <v>Welding Receptacle-Substation TR Yard</v>
          </cell>
          <cell r="D450">
            <v>0</v>
          </cell>
          <cell r="E450" t="str">
            <v>ISBL</v>
          </cell>
          <cell r="J450" t="str">
            <v>3</v>
          </cell>
          <cell r="K450">
            <v>690</v>
          </cell>
          <cell r="L450" t="str">
            <v>AC</v>
          </cell>
          <cell r="M450" t="str">
            <v>F</v>
          </cell>
          <cell r="N450" t="str">
            <v>N</v>
          </cell>
          <cell r="O450">
            <v>0</v>
          </cell>
          <cell r="P450" t="str">
            <v>4850-WDB-301A</v>
          </cell>
          <cell r="Q450" t="str">
            <v>I</v>
          </cell>
          <cell r="S450">
            <v>48</v>
          </cell>
          <cell r="T450">
            <v>60</v>
          </cell>
          <cell r="X450">
            <v>1</v>
          </cell>
          <cell r="Y450">
            <v>0.85</v>
          </cell>
        </row>
        <row r="451">
          <cell r="A451">
            <v>0</v>
          </cell>
          <cell r="B451" t="str">
            <v>1-WXS-813</v>
          </cell>
          <cell r="C451" t="str">
            <v>Welding Receptacle-Substation TR Yard</v>
          </cell>
          <cell r="D451">
            <v>0</v>
          </cell>
          <cell r="E451" t="str">
            <v>ISBL</v>
          </cell>
          <cell r="J451" t="str">
            <v>3</v>
          </cell>
          <cell r="K451">
            <v>690</v>
          </cell>
          <cell r="L451" t="str">
            <v>AC</v>
          </cell>
          <cell r="M451" t="str">
            <v>F</v>
          </cell>
          <cell r="N451" t="str">
            <v>N</v>
          </cell>
          <cell r="O451">
            <v>0</v>
          </cell>
          <cell r="P451" t="str">
            <v>4850-WDB-301A</v>
          </cell>
          <cell r="Q451" t="str">
            <v>I</v>
          </cell>
          <cell r="S451">
            <v>48</v>
          </cell>
          <cell r="T451">
            <v>60</v>
          </cell>
          <cell r="X451">
            <v>1</v>
          </cell>
          <cell r="Y451">
            <v>0.85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0</v>
          </cell>
          <cell r="E452" t="str">
            <v>ISBL</v>
          </cell>
          <cell r="J452" t="str">
            <v>3</v>
          </cell>
          <cell r="K452">
            <v>0</v>
          </cell>
          <cell r="L452" t="str">
            <v>AC</v>
          </cell>
          <cell r="M452" t="str">
            <v>F</v>
          </cell>
          <cell r="N452" t="str">
            <v>N</v>
          </cell>
          <cell r="O452">
            <v>0</v>
          </cell>
          <cell r="P452">
            <v>0</v>
          </cell>
          <cell r="Q452" t="str">
            <v>I</v>
          </cell>
          <cell r="S452">
            <v>48</v>
          </cell>
          <cell r="T452">
            <v>60</v>
          </cell>
          <cell r="X452">
            <v>1</v>
          </cell>
          <cell r="Y452">
            <v>0.85</v>
          </cell>
        </row>
        <row r="453">
          <cell r="A453" t="str">
            <v>LAO</v>
          </cell>
          <cell r="B453" t="str">
            <v>1-WXS-B01</v>
          </cell>
          <cell r="C453" t="str">
            <v>Welding Receptacle-ButeneArea</v>
          </cell>
          <cell r="D453">
            <v>0</v>
          </cell>
          <cell r="E453" t="str">
            <v>ISBL</v>
          </cell>
          <cell r="J453" t="str">
            <v>3</v>
          </cell>
          <cell r="K453">
            <v>690</v>
          </cell>
          <cell r="L453" t="str">
            <v>AC</v>
          </cell>
          <cell r="M453" t="str">
            <v>F</v>
          </cell>
          <cell r="N453" t="str">
            <v>N</v>
          </cell>
          <cell r="O453">
            <v>0</v>
          </cell>
          <cell r="P453" t="str">
            <v>4850-WDB-301A</v>
          </cell>
          <cell r="Q453" t="str">
            <v>I</v>
          </cell>
          <cell r="S453">
            <v>48</v>
          </cell>
          <cell r="T453">
            <v>60</v>
          </cell>
          <cell r="X453">
            <v>1</v>
          </cell>
          <cell r="Y453">
            <v>0.85</v>
          </cell>
        </row>
        <row r="454">
          <cell r="A454" t="str">
            <v>LAO</v>
          </cell>
          <cell r="B454" t="str">
            <v>1-WXS-B02</v>
          </cell>
          <cell r="C454" t="str">
            <v>Welding Receptacle-ButeneArea</v>
          </cell>
          <cell r="D454">
            <v>0</v>
          </cell>
          <cell r="E454" t="str">
            <v>ISBL</v>
          </cell>
          <cell r="J454" t="str">
            <v>3</v>
          </cell>
          <cell r="K454">
            <v>690</v>
          </cell>
          <cell r="L454" t="str">
            <v>AC</v>
          </cell>
          <cell r="M454" t="str">
            <v>F</v>
          </cell>
          <cell r="N454" t="str">
            <v>N</v>
          </cell>
          <cell r="O454">
            <v>0</v>
          </cell>
          <cell r="P454" t="str">
            <v>4850-WDB-301A</v>
          </cell>
          <cell r="Q454" t="str">
            <v>I</v>
          </cell>
          <cell r="S454">
            <v>48</v>
          </cell>
          <cell r="T454">
            <v>60</v>
          </cell>
          <cell r="X454">
            <v>1</v>
          </cell>
          <cell r="Y454">
            <v>0.85</v>
          </cell>
        </row>
        <row r="455">
          <cell r="A455" t="str">
            <v>LAO</v>
          </cell>
          <cell r="B455" t="str">
            <v>1-WXS-B03</v>
          </cell>
          <cell r="C455" t="str">
            <v>Welding Receptacle-ButeneArea</v>
          </cell>
          <cell r="D455">
            <v>0</v>
          </cell>
          <cell r="E455" t="str">
            <v>ISBL</v>
          </cell>
          <cell r="J455" t="str">
            <v>3</v>
          </cell>
          <cell r="K455">
            <v>690</v>
          </cell>
          <cell r="L455" t="str">
            <v>AC</v>
          </cell>
          <cell r="M455" t="str">
            <v>F</v>
          </cell>
          <cell r="N455" t="str">
            <v>N</v>
          </cell>
          <cell r="O455">
            <v>0</v>
          </cell>
          <cell r="P455" t="str">
            <v>4850-WDB-301A</v>
          </cell>
          <cell r="Q455" t="str">
            <v>I</v>
          </cell>
          <cell r="S455">
            <v>48</v>
          </cell>
          <cell r="T455">
            <v>60</v>
          </cell>
          <cell r="X455">
            <v>1</v>
          </cell>
          <cell r="Y455">
            <v>0.85</v>
          </cell>
        </row>
        <row r="456">
          <cell r="A456" t="str">
            <v>LAO</v>
          </cell>
          <cell r="B456" t="str">
            <v>1-WXS-B04</v>
          </cell>
          <cell r="C456" t="str">
            <v>Welding Receptacle-ButeneArea</v>
          </cell>
          <cell r="D456">
            <v>0</v>
          </cell>
          <cell r="E456" t="str">
            <v>ISBL</v>
          </cell>
          <cell r="J456" t="str">
            <v>3</v>
          </cell>
          <cell r="K456">
            <v>690</v>
          </cell>
          <cell r="L456" t="str">
            <v>AC</v>
          </cell>
          <cell r="M456" t="str">
            <v>F</v>
          </cell>
          <cell r="N456" t="str">
            <v>N</v>
          </cell>
          <cell r="O456">
            <v>0</v>
          </cell>
          <cell r="P456" t="str">
            <v>4850-WDB-301A</v>
          </cell>
          <cell r="Q456" t="str">
            <v>I</v>
          </cell>
          <cell r="S456">
            <v>48</v>
          </cell>
          <cell r="T456">
            <v>60</v>
          </cell>
          <cell r="X456">
            <v>1</v>
          </cell>
          <cell r="Y456">
            <v>0.85</v>
          </cell>
        </row>
        <row r="457">
          <cell r="A457" t="str">
            <v>LAO</v>
          </cell>
          <cell r="B457" t="str">
            <v>1-WXS-B05</v>
          </cell>
          <cell r="C457" t="str">
            <v>Welding Receptacle-ButeneArea</v>
          </cell>
          <cell r="D457">
            <v>0</v>
          </cell>
          <cell r="E457" t="str">
            <v>ISBL</v>
          </cell>
          <cell r="J457" t="str">
            <v>3</v>
          </cell>
          <cell r="K457">
            <v>690</v>
          </cell>
          <cell r="L457" t="str">
            <v>AC</v>
          </cell>
          <cell r="M457" t="str">
            <v>F</v>
          </cell>
          <cell r="N457" t="str">
            <v>N</v>
          </cell>
          <cell r="O457">
            <v>0</v>
          </cell>
          <cell r="P457" t="str">
            <v>4850-WDB-301A</v>
          </cell>
          <cell r="Q457" t="str">
            <v>I</v>
          </cell>
          <cell r="S457">
            <v>48</v>
          </cell>
          <cell r="T457">
            <v>60</v>
          </cell>
          <cell r="X457">
            <v>1</v>
          </cell>
          <cell r="Y457">
            <v>0.85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 t="str">
            <v>ISBL</v>
          </cell>
          <cell r="J458" t="str">
            <v>3</v>
          </cell>
          <cell r="K458">
            <v>0</v>
          </cell>
          <cell r="L458" t="str">
            <v>AC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S458">
            <v>0</v>
          </cell>
          <cell r="T458">
            <v>0</v>
          </cell>
          <cell r="X458">
            <v>0</v>
          </cell>
          <cell r="Y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 t="str">
            <v>ISBL</v>
          </cell>
          <cell r="J459" t="str">
            <v>3</v>
          </cell>
          <cell r="K459">
            <v>0</v>
          </cell>
          <cell r="L459" t="str">
            <v>AC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S459">
            <v>0</v>
          </cell>
          <cell r="T459">
            <v>0</v>
          </cell>
          <cell r="X459">
            <v>0</v>
          </cell>
          <cell r="Y459">
            <v>0</v>
          </cell>
        </row>
        <row r="460">
          <cell r="A460" t="str">
            <v>PEU-2</v>
          </cell>
          <cell r="B460" t="str">
            <v>4850-NEH-301</v>
          </cell>
          <cell r="C460" t="str">
            <v>Electrical Heat Tracing Panel 1</v>
          </cell>
          <cell r="D460">
            <v>0</v>
          </cell>
          <cell r="E460" t="str">
            <v>ISBL</v>
          </cell>
          <cell r="J460" t="str">
            <v>3</v>
          </cell>
          <cell r="K460">
            <v>690</v>
          </cell>
          <cell r="L460" t="str">
            <v>AC</v>
          </cell>
          <cell r="M460" t="str">
            <v>F</v>
          </cell>
          <cell r="N460" t="str">
            <v>N</v>
          </cell>
          <cell r="O460">
            <v>0</v>
          </cell>
          <cell r="P460" t="str">
            <v>4850-NDB-302A</v>
          </cell>
          <cell r="Q460" t="str">
            <v>C</v>
          </cell>
          <cell r="S460">
            <v>80</v>
          </cell>
          <cell r="T460">
            <v>100</v>
          </cell>
          <cell r="X460">
            <v>1</v>
          </cell>
          <cell r="Y460">
            <v>0.85</v>
          </cell>
        </row>
        <row r="461">
          <cell r="A461" t="str">
            <v>PEU-2</v>
          </cell>
          <cell r="B461" t="str">
            <v>4850-NEH-302</v>
          </cell>
          <cell r="C461" t="str">
            <v>Electrical Heat Tracing Panel 2</v>
          </cell>
          <cell r="D461">
            <v>0</v>
          </cell>
          <cell r="E461" t="str">
            <v>ISBL</v>
          </cell>
          <cell r="J461" t="str">
            <v>3</v>
          </cell>
          <cell r="K461">
            <v>690</v>
          </cell>
          <cell r="L461" t="str">
            <v>AC</v>
          </cell>
          <cell r="M461" t="str">
            <v>F</v>
          </cell>
          <cell r="N461" t="str">
            <v>N</v>
          </cell>
          <cell r="O461">
            <v>0</v>
          </cell>
          <cell r="P461" t="str">
            <v>4850-NDB-302A</v>
          </cell>
          <cell r="Q461" t="str">
            <v>C</v>
          </cell>
          <cell r="S461">
            <v>80</v>
          </cell>
          <cell r="T461">
            <v>100</v>
          </cell>
          <cell r="X461">
            <v>1</v>
          </cell>
          <cell r="Y461">
            <v>0.85</v>
          </cell>
        </row>
        <row r="462">
          <cell r="A462" t="str">
            <v>PEU-2</v>
          </cell>
          <cell r="B462" t="str">
            <v>4850-NEH-303</v>
          </cell>
          <cell r="C462" t="str">
            <v>Electrical Heat Tracing Panel 3</v>
          </cell>
          <cell r="D462">
            <v>0</v>
          </cell>
          <cell r="E462" t="str">
            <v>ISBL</v>
          </cell>
          <cell r="J462" t="str">
            <v>3</v>
          </cell>
          <cell r="K462">
            <v>690</v>
          </cell>
          <cell r="L462" t="str">
            <v>AC</v>
          </cell>
          <cell r="M462" t="str">
            <v>F</v>
          </cell>
          <cell r="N462" t="str">
            <v>N</v>
          </cell>
          <cell r="O462">
            <v>0</v>
          </cell>
          <cell r="P462" t="str">
            <v>4850-NDB-302A</v>
          </cell>
          <cell r="Q462" t="str">
            <v>C</v>
          </cell>
          <cell r="S462">
            <v>80</v>
          </cell>
          <cell r="T462">
            <v>100</v>
          </cell>
          <cell r="X462">
            <v>1</v>
          </cell>
          <cell r="Y462">
            <v>0.85</v>
          </cell>
        </row>
        <row r="463">
          <cell r="A463" t="str">
            <v>PEU-2</v>
          </cell>
          <cell r="B463" t="str">
            <v>4850-NEH-304</v>
          </cell>
          <cell r="C463" t="str">
            <v>Electrical Heat Tracing Panel 4</v>
          </cell>
          <cell r="D463">
            <v>0</v>
          </cell>
          <cell r="E463" t="str">
            <v>ISBL</v>
          </cell>
          <cell r="J463" t="str">
            <v>3</v>
          </cell>
          <cell r="K463">
            <v>690</v>
          </cell>
          <cell r="L463" t="str">
            <v>AC</v>
          </cell>
          <cell r="M463" t="str">
            <v>F</v>
          </cell>
          <cell r="N463" t="str">
            <v>N</v>
          </cell>
          <cell r="O463">
            <v>0</v>
          </cell>
          <cell r="P463" t="str">
            <v>4850-NDB-302A</v>
          </cell>
          <cell r="Q463" t="str">
            <v>C</v>
          </cell>
          <cell r="S463">
            <v>80</v>
          </cell>
          <cell r="T463">
            <v>100</v>
          </cell>
          <cell r="X463">
            <v>1</v>
          </cell>
          <cell r="Y463">
            <v>0.85</v>
          </cell>
        </row>
        <row r="464">
          <cell r="A464" t="str">
            <v>PEU-2</v>
          </cell>
          <cell r="B464" t="str">
            <v>4850-NEH-305</v>
          </cell>
          <cell r="C464" t="str">
            <v>Electrical Heat Tracing Panel 5</v>
          </cell>
          <cell r="D464">
            <v>0</v>
          </cell>
          <cell r="E464" t="str">
            <v>ISBL</v>
          </cell>
          <cell r="J464" t="str">
            <v>3</v>
          </cell>
          <cell r="K464">
            <v>690</v>
          </cell>
          <cell r="L464" t="str">
            <v>AC</v>
          </cell>
          <cell r="M464" t="str">
            <v>F</v>
          </cell>
          <cell r="N464" t="str">
            <v>N</v>
          </cell>
          <cell r="O464">
            <v>0</v>
          </cell>
          <cell r="P464" t="str">
            <v>4850-NDB-302A</v>
          </cell>
          <cell r="Q464" t="str">
            <v>C</v>
          </cell>
          <cell r="S464">
            <v>80</v>
          </cell>
          <cell r="T464">
            <v>100</v>
          </cell>
          <cell r="X464">
            <v>1</v>
          </cell>
          <cell r="Y464">
            <v>0.85</v>
          </cell>
        </row>
        <row r="465">
          <cell r="A465" t="str">
            <v>PEU-2</v>
          </cell>
          <cell r="B465" t="str">
            <v>4850-NEH-306</v>
          </cell>
          <cell r="C465" t="str">
            <v>Electrical Heat Tracing Panel 6</v>
          </cell>
          <cell r="D465">
            <v>0</v>
          </cell>
          <cell r="E465" t="str">
            <v>ISBL</v>
          </cell>
          <cell r="J465" t="str">
            <v>3</v>
          </cell>
          <cell r="K465">
            <v>690</v>
          </cell>
          <cell r="L465" t="str">
            <v>AC</v>
          </cell>
          <cell r="M465" t="str">
            <v>F</v>
          </cell>
          <cell r="N465" t="str">
            <v>N</v>
          </cell>
          <cell r="O465">
            <v>0</v>
          </cell>
          <cell r="P465" t="str">
            <v>4850-NDB-302A</v>
          </cell>
          <cell r="Q465" t="str">
            <v>C</v>
          </cell>
          <cell r="S465">
            <v>80</v>
          </cell>
          <cell r="T465">
            <v>100</v>
          </cell>
          <cell r="X465">
            <v>1</v>
          </cell>
          <cell r="Y465">
            <v>0.85</v>
          </cell>
        </row>
        <row r="466">
          <cell r="A466" t="str">
            <v>PEU-2</v>
          </cell>
          <cell r="B466" t="str">
            <v>4850-NEH-307</v>
          </cell>
          <cell r="C466" t="str">
            <v>Electrical Heat Tracing Panel 7</v>
          </cell>
          <cell r="D466">
            <v>0</v>
          </cell>
          <cell r="E466" t="str">
            <v>ISBL</v>
          </cell>
          <cell r="J466" t="str">
            <v>3</v>
          </cell>
          <cell r="K466">
            <v>690</v>
          </cell>
          <cell r="L466" t="str">
            <v>AC</v>
          </cell>
          <cell r="M466" t="str">
            <v>F</v>
          </cell>
          <cell r="N466" t="str">
            <v>N</v>
          </cell>
          <cell r="O466">
            <v>0</v>
          </cell>
          <cell r="P466" t="str">
            <v>4850-NDB-302A</v>
          </cell>
          <cell r="Q466" t="str">
            <v>C</v>
          </cell>
          <cell r="S466">
            <v>80</v>
          </cell>
          <cell r="T466">
            <v>100</v>
          </cell>
          <cell r="X466">
            <v>1</v>
          </cell>
          <cell r="Y466">
            <v>0.85</v>
          </cell>
        </row>
        <row r="467">
          <cell r="A467" t="str">
            <v>PEU-2</v>
          </cell>
          <cell r="B467" t="str">
            <v>4850-NEH-308</v>
          </cell>
          <cell r="C467" t="str">
            <v>Electrical Heat Tracing Panel 8</v>
          </cell>
          <cell r="D467">
            <v>0</v>
          </cell>
          <cell r="E467" t="str">
            <v>ISBL</v>
          </cell>
          <cell r="J467" t="str">
            <v>3</v>
          </cell>
          <cell r="K467">
            <v>690</v>
          </cell>
          <cell r="L467" t="str">
            <v>AC</v>
          </cell>
          <cell r="M467" t="str">
            <v>F</v>
          </cell>
          <cell r="N467" t="str">
            <v>N</v>
          </cell>
          <cell r="O467">
            <v>0</v>
          </cell>
          <cell r="P467" t="str">
            <v>4850-NDB-302A</v>
          </cell>
          <cell r="Q467" t="str">
            <v>C</v>
          </cell>
          <cell r="S467">
            <v>80</v>
          </cell>
          <cell r="T467">
            <v>100</v>
          </cell>
          <cell r="X467">
            <v>1</v>
          </cell>
          <cell r="Y467">
            <v>0.85</v>
          </cell>
        </row>
        <row r="468">
          <cell r="A468" t="str">
            <v>PEU-2</v>
          </cell>
          <cell r="B468" t="str">
            <v>4850-NEH-309</v>
          </cell>
          <cell r="C468" t="str">
            <v>Electrical Heat Tracing Panel 9</v>
          </cell>
          <cell r="D468">
            <v>0</v>
          </cell>
          <cell r="E468" t="str">
            <v>ISBL</v>
          </cell>
          <cell r="J468" t="str">
            <v>3</v>
          </cell>
          <cell r="K468">
            <v>690</v>
          </cell>
          <cell r="L468" t="str">
            <v>AC</v>
          </cell>
          <cell r="M468" t="str">
            <v>F</v>
          </cell>
          <cell r="N468" t="str">
            <v>N</v>
          </cell>
          <cell r="O468">
            <v>0</v>
          </cell>
          <cell r="P468" t="str">
            <v>4850-NDB-302A</v>
          </cell>
          <cell r="Q468" t="str">
            <v>C</v>
          </cell>
          <cell r="S468">
            <v>80</v>
          </cell>
          <cell r="T468">
            <v>100</v>
          </cell>
          <cell r="X468">
            <v>1</v>
          </cell>
          <cell r="Y468">
            <v>0.85</v>
          </cell>
        </row>
        <row r="469">
          <cell r="A469" t="str">
            <v>PEU-2</v>
          </cell>
          <cell r="B469" t="str">
            <v>4850-NEH-310</v>
          </cell>
          <cell r="C469" t="str">
            <v>Electrical Heat Tracing Panel 10</v>
          </cell>
          <cell r="D469">
            <v>0</v>
          </cell>
          <cell r="E469" t="str">
            <v>ISBL</v>
          </cell>
          <cell r="J469" t="str">
            <v>3</v>
          </cell>
          <cell r="K469">
            <v>690</v>
          </cell>
          <cell r="L469" t="str">
            <v>AC</v>
          </cell>
          <cell r="M469" t="str">
            <v>F</v>
          </cell>
          <cell r="N469" t="str">
            <v>N</v>
          </cell>
          <cell r="O469">
            <v>0</v>
          </cell>
          <cell r="P469" t="str">
            <v>4850-NDB-302A</v>
          </cell>
          <cell r="Q469" t="str">
            <v>C</v>
          </cell>
          <cell r="S469">
            <v>40</v>
          </cell>
          <cell r="T469">
            <v>50</v>
          </cell>
          <cell r="X469">
            <v>1</v>
          </cell>
          <cell r="Y469">
            <v>0.85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 t="str">
            <v>ISBL</v>
          </cell>
          <cell r="J470" t="str">
            <v>3</v>
          </cell>
          <cell r="K470">
            <v>0</v>
          </cell>
          <cell r="L470" t="str">
            <v>AC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S470">
            <v>0</v>
          </cell>
          <cell r="T470">
            <v>0</v>
          </cell>
          <cell r="X470">
            <v>0</v>
          </cell>
          <cell r="Y470">
            <v>0</v>
          </cell>
        </row>
        <row r="471">
          <cell r="A471" t="str">
            <v>PEU-2</v>
          </cell>
          <cell r="B471" t="str">
            <v>4850-NEH-311</v>
          </cell>
          <cell r="C471" t="str">
            <v>Electrical Heat Tracing Panel 11</v>
          </cell>
          <cell r="D471">
            <v>0</v>
          </cell>
          <cell r="E471" t="str">
            <v>ISBL</v>
          </cell>
          <cell r="J471" t="str">
            <v>3</v>
          </cell>
          <cell r="K471">
            <v>690</v>
          </cell>
          <cell r="L471" t="str">
            <v>AC</v>
          </cell>
          <cell r="M471" t="str">
            <v>F</v>
          </cell>
          <cell r="N471" t="str">
            <v>N</v>
          </cell>
          <cell r="O471">
            <v>0</v>
          </cell>
          <cell r="P471" t="str">
            <v>4850-NDB-302B</v>
          </cell>
          <cell r="Q471" t="str">
            <v>C</v>
          </cell>
          <cell r="S471">
            <v>80</v>
          </cell>
          <cell r="T471">
            <v>100</v>
          </cell>
          <cell r="X471">
            <v>1</v>
          </cell>
          <cell r="Y471">
            <v>0.85</v>
          </cell>
        </row>
        <row r="472">
          <cell r="A472" t="str">
            <v>PEU-2</v>
          </cell>
          <cell r="B472" t="str">
            <v>4850-NEH-312</v>
          </cell>
          <cell r="C472" t="str">
            <v>Electrical Heat Tracing Panel 12</v>
          </cell>
          <cell r="D472">
            <v>0</v>
          </cell>
          <cell r="E472" t="str">
            <v>ISBL</v>
          </cell>
          <cell r="J472" t="str">
            <v>3</v>
          </cell>
          <cell r="K472">
            <v>690</v>
          </cell>
          <cell r="L472" t="str">
            <v>AC</v>
          </cell>
          <cell r="M472" t="str">
            <v>F</v>
          </cell>
          <cell r="N472" t="str">
            <v>N</v>
          </cell>
          <cell r="O472">
            <v>0</v>
          </cell>
          <cell r="P472" t="str">
            <v>4850-NDB-302B</v>
          </cell>
          <cell r="Q472" t="str">
            <v>C</v>
          </cell>
          <cell r="S472">
            <v>80</v>
          </cell>
          <cell r="T472">
            <v>100</v>
          </cell>
          <cell r="X472">
            <v>1</v>
          </cell>
          <cell r="Y472">
            <v>0.85</v>
          </cell>
        </row>
        <row r="473">
          <cell r="A473" t="str">
            <v>PEU-2</v>
          </cell>
          <cell r="B473" t="str">
            <v>4850-NEH-313</v>
          </cell>
          <cell r="C473" t="str">
            <v>Electrical Heat Tracing Panel 13</v>
          </cell>
          <cell r="D473">
            <v>0</v>
          </cell>
          <cell r="E473" t="str">
            <v>ISBL</v>
          </cell>
          <cell r="J473" t="str">
            <v>3</v>
          </cell>
          <cell r="K473">
            <v>690</v>
          </cell>
          <cell r="L473" t="str">
            <v>AC</v>
          </cell>
          <cell r="M473" t="str">
            <v>F</v>
          </cell>
          <cell r="N473" t="str">
            <v>N</v>
          </cell>
          <cell r="O473">
            <v>0</v>
          </cell>
          <cell r="P473" t="str">
            <v>4850-NDB-302B</v>
          </cell>
          <cell r="Q473" t="str">
            <v>C</v>
          </cell>
          <cell r="S473">
            <v>80</v>
          </cell>
          <cell r="T473">
            <v>100</v>
          </cell>
          <cell r="X473">
            <v>1</v>
          </cell>
          <cell r="Y473">
            <v>0.85</v>
          </cell>
        </row>
        <row r="474">
          <cell r="A474" t="str">
            <v>PEU-2</v>
          </cell>
          <cell r="B474" t="str">
            <v>4850-NEH-314</v>
          </cell>
          <cell r="C474" t="str">
            <v>Electrical Heat Tracing Panel 14</v>
          </cell>
          <cell r="D474">
            <v>0</v>
          </cell>
          <cell r="E474" t="str">
            <v>ISBL</v>
          </cell>
          <cell r="J474" t="str">
            <v>3</v>
          </cell>
          <cell r="K474">
            <v>690</v>
          </cell>
          <cell r="L474" t="str">
            <v>AC</v>
          </cell>
          <cell r="M474" t="str">
            <v>F</v>
          </cell>
          <cell r="N474" t="str">
            <v>N</v>
          </cell>
          <cell r="O474">
            <v>0</v>
          </cell>
          <cell r="P474" t="str">
            <v>4850-NDB-302B</v>
          </cell>
          <cell r="Q474" t="str">
            <v>C</v>
          </cell>
          <cell r="S474">
            <v>80</v>
          </cell>
          <cell r="T474">
            <v>100</v>
          </cell>
          <cell r="X474">
            <v>1</v>
          </cell>
          <cell r="Y474">
            <v>0.85</v>
          </cell>
        </row>
        <row r="475">
          <cell r="A475" t="str">
            <v>PEU-2</v>
          </cell>
          <cell r="B475" t="str">
            <v>4850-NEH-315</v>
          </cell>
          <cell r="C475" t="str">
            <v>Electrical Heat Tracing Panel 15</v>
          </cell>
          <cell r="D475">
            <v>0</v>
          </cell>
          <cell r="E475" t="str">
            <v>ISBL</v>
          </cell>
          <cell r="J475" t="str">
            <v>3</v>
          </cell>
          <cell r="K475">
            <v>690</v>
          </cell>
          <cell r="L475" t="str">
            <v>AC</v>
          </cell>
          <cell r="M475" t="str">
            <v>F</v>
          </cell>
          <cell r="N475" t="str">
            <v>N</v>
          </cell>
          <cell r="O475">
            <v>0</v>
          </cell>
          <cell r="P475" t="str">
            <v>4850-NDB-302B</v>
          </cell>
          <cell r="Q475" t="str">
            <v>C</v>
          </cell>
          <cell r="S475">
            <v>80</v>
          </cell>
          <cell r="T475">
            <v>100</v>
          </cell>
          <cell r="X475">
            <v>1</v>
          </cell>
          <cell r="Y475">
            <v>0.85</v>
          </cell>
        </row>
        <row r="476">
          <cell r="A476" t="str">
            <v>PEU-2</v>
          </cell>
          <cell r="B476" t="str">
            <v>4850-NEH-316</v>
          </cell>
          <cell r="C476" t="str">
            <v>Electrical Heat Tracing Panel 16</v>
          </cell>
          <cell r="D476">
            <v>0</v>
          </cell>
          <cell r="E476" t="str">
            <v>ISBL</v>
          </cell>
          <cell r="J476" t="str">
            <v>3</v>
          </cell>
          <cell r="K476">
            <v>690</v>
          </cell>
          <cell r="L476" t="str">
            <v>AC</v>
          </cell>
          <cell r="M476" t="str">
            <v>F</v>
          </cell>
          <cell r="N476" t="str">
            <v>N</v>
          </cell>
          <cell r="O476">
            <v>0</v>
          </cell>
          <cell r="P476" t="str">
            <v>4850-NDB-302B</v>
          </cell>
          <cell r="Q476" t="str">
            <v>C</v>
          </cell>
          <cell r="S476">
            <v>80</v>
          </cell>
          <cell r="T476">
            <v>100</v>
          </cell>
          <cell r="X476">
            <v>1</v>
          </cell>
          <cell r="Y476">
            <v>0.85</v>
          </cell>
        </row>
        <row r="477">
          <cell r="A477" t="str">
            <v>PEU-2</v>
          </cell>
          <cell r="B477" t="str">
            <v>4850-NEH-317</v>
          </cell>
          <cell r="C477" t="str">
            <v>Electrical Heat Tracing Panel 17</v>
          </cell>
          <cell r="D477">
            <v>0</v>
          </cell>
          <cell r="E477" t="str">
            <v>ISBL</v>
          </cell>
          <cell r="J477" t="str">
            <v>3</v>
          </cell>
          <cell r="K477">
            <v>690</v>
          </cell>
          <cell r="L477" t="str">
            <v>AC</v>
          </cell>
          <cell r="M477" t="str">
            <v>F</v>
          </cell>
          <cell r="N477" t="str">
            <v>N</v>
          </cell>
          <cell r="O477">
            <v>0</v>
          </cell>
          <cell r="P477" t="str">
            <v>4850-NDB-302B</v>
          </cell>
          <cell r="Q477" t="str">
            <v>C</v>
          </cell>
          <cell r="S477">
            <v>80</v>
          </cell>
          <cell r="T477">
            <v>100</v>
          </cell>
          <cell r="X477">
            <v>1</v>
          </cell>
          <cell r="Y477">
            <v>0.85</v>
          </cell>
        </row>
        <row r="478">
          <cell r="A478" t="str">
            <v>PEU-2</v>
          </cell>
          <cell r="B478" t="str">
            <v>4850-NEH-318</v>
          </cell>
          <cell r="C478" t="str">
            <v>Electrical Heat Tracing Panel 18</v>
          </cell>
          <cell r="D478">
            <v>0</v>
          </cell>
          <cell r="E478" t="str">
            <v>ISBL</v>
          </cell>
          <cell r="J478" t="str">
            <v>3</v>
          </cell>
          <cell r="K478">
            <v>690</v>
          </cell>
          <cell r="L478" t="str">
            <v>AC</v>
          </cell>
          <cell r="M478" t="str">
            <v>F</v>
          </cell>
          <cell r="N478" t="str">
            <v>N</v>
          </cell>
          <cell r="O478">
            <v>0</v>
          </cell>
          <cell r="P478" t="str">
            <v>4850-NDB-302B</v>
          </cell>
          <cell r="Q478" t="str">
            <v>C</v>
          </cell>
          <cell r="S478">
            <v>80</v>
          </cell>
          <cell r="T478">
            <v>100</v>
          </cell>
          <cell r="X478">
            <v>1</v>
          </cell>
          <cell r="Y478">
            <v>0.85</v>
          </cell>
        </row>
        <row r="479">
          <cell r="A479" t="str">
            <v>PEU-2</v>
          </cell>
          <cell r="B479" t="str">
            <v>4850-NEH-319</v>
          </cell>
          <cell r="C479" t="str">
            <v>Electrical Heat Tracing Panel 19</v>
          </cell>
          <cell r="D479">
            <v>0</v>
          </cell>
          <cell r="E479" t="str">
            <v>ISBL</v>
          </cell>
          <cell r="J479" t="str">
            <v>3</v>
          </cell>
          <cell r="K479">
            <v>690</v>
          </cell>
          <cell r="L479" t="str">
            <v>AC</v>
          </cell>
          <cell r="M479" t="str">
            <v>F</v>
          </cell>
          <cell r="N479" t="str">
            <v>N</v>
          </cell>
          <cell r="O479">
            <v>0</v>
          </cell>
          <cell r="P479" t="str">
            <v>4850-NDB-302B</v>
          </cell>
          <cell r="Q479" t="str">
            <v>C</v>
          </cell>
          <cell r="S479">
            <v>80</v>
          </cell>
          <cell r="T479">
            <v>100</v>
          </cell>
          <cell r="X479">
            <v>1</v>
          </cell>
          <cell r="Y479">
            <v>0.85</v>
          </cell>
        </row>
        <row r="480">
          <cell r="A480" t="str">
            <v>PEU-2</v>
          </cell>
          <cell r="B480" t="str">
            <v>4850-NEH-320</v>
          </cell>
          <cell r="C480" t="str">
            <v>Electrical Heat Tracing Panel 20</v>
          </cell>
          <cell r="D480">
            <v>0</v>
          </cell>
          <cell r="E480" t="str">
            <v>ISBL</v>
          </cell>
          <cell r="J480" t="str">
            <v>3</v>
          </cell>
          <cell r="K480">
            <v>690</v>
          </cell>
          <cell r="L480" t="str">
            <v>AC</v>
          </cell>
          <cell r="M480" t="str">
            <v>F</v>
          </cell>
          <cell r="N480" t="str">
            <v>N</v>
          </cell>
          <cell r="O480">
            <v>0</v>
          </cell>
          <cell r="P480" t="str">
            <v>4850-NDB-302B</v>
          </cell>
          <cell r="Q480" t="str">
            <v>C</v>
          </cell>
          <cell r="S480">
            <v>40</v>
          </cell>
          <cell r="T480">
            <v>50</v>
          </cell>
          <cell r="X480">
            <v>1</v>
          </cell>
          <cell r="Y480">
            <v>0.85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 t="str">
            <v>ISBL</v>
          </cell>
          <cell r="J481" t="str">
            <v>3</v>
          </cell>
          <cell r="K481">
            <v>0</v>
          </cell>
          <cell r="L481" t="str">
            <v>AC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S481">
            <v>0</v>
          </cell>
          <cell r="T481">
            <v>0</v>
          </cell>
          <cell r="X481">
            <v>0</v>
          </cell>
          <cell r="Y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 t="str">
            <v>ISBL</v>
          </cell>
          <cell r="J482" t="str">
            <v>3</v>
          </cell>
          <cell r="K482">
            <v>0</v>
          </cell>
          <cell r="L482" t="str">
            <v>AC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S482">
            <v>0</v>
          </cell>
          <cell r="T482">
            <v>0</v>
          </cell>
          <cell r="X482">
            <v>0</v>
          </cell>
          <cell r="Y482">
            <v>0</v>
          </cell>
        </row>
        <row r="483">
          <cell r="A483">
            <v>0</v>
          </cell>
          <cell r="B483" t="str">
            <v>4850-NEH-321</v>
          </cell>
          <cell r="C483" t="str">
            <v>Electrical Heat Tracing Panel 1</v>
          </cell>
          <cell r="D483">
            <v>0</v>
          </cell>
          <cell r="E483" t="str">
            <v>ISBL</v>
          </cell>
          <cell r="J483" t="str">
            <v>3</v>
          </cell>
          <cell r="K483">
            <v>690</v>
          </cell>
          <cell r="L483" t="str">
            <v>AC</v>
          </cell>
          <cell r="M483" t="str">
            <v>F</v>
          </cell>
          <cell r="N483" t="str">
            <v>N</v>
          </cell>
          <cell r="O483">
            <v>0</v>
          </cell>
          <cell r="P483" t="str">
            <v>4850-NDB-303A</v>
          </cell>
          <cell r="Q483" t="str">
            <v>C</v>
          </cell>
          <cell r="S483">
            <v>80</v>
          </cell>
          <cell r="T483">
            <v>100</v>
          </cell>
          <cell r="X483">
            <v>1</v>
          </cell>
          <cell r="Y483">
            <v>0.85</v>
          </cell>
        </row>
        <row r="484">
          <cell r="A484">
            <v>0</v>
          </cell>
          <cell r="B484" t="str">
            <v>4850-NEH-322</v>
          </cell>
          <cell r="C484" t="str">
            <v>Electrical Heat Tracing Panel 2</v>
          </cell>
          <cell r="D484">
            <v>0</v>
          </cell>
          <cell r="E484" t="str">
            <v>ISBL</v>
          </cell>
          <cell r="J484" t="str">
            <v>3</v>
          </cell>
          <cell r="K484">
            <v>690</v>
          </cell>
          <cell r="L484" t="str">
            <v>AC</v>
          </cell>
          <cell r="M484" t="str">
            <v>F</v>
          </cell>
          <cell r="N484" t="str">
            <v>N</v>
          </cell>
          <cell r="O484">
            <v>0</v>
          </cell>
          <cell r="P484" t="str">
            <v>4850-NDB-303B</v>
          </cell>
          <cell r="Q484" t="str">
            <v>C</v>
          </cell>
          <cell r="S484">
            <v>80</v>
          </cell>
          <cell r="T484">
            <v>100</v>
          </cell>
          <cell r="X484">
            <v>1</v>
          </cell>
          <cell r="Y484">
            <v>0.85</v>
          </cell>
        </row>
        <row r="485">
          <cell r="A485">
            <v>0</v>
          </cell>
          <cell r="B485" t="str">
            <v>4850-NEH-323</v>
          </cell>
          <cell r="C485" t="str">
            <v>Electrical Heat Tracing Panel 3</v>
          </cell>
          <cell r="D485">
            <v>0</v>
          </cell>
          <cell r="E485" t="str">
            <v>ISBL</v>
          </cell>
          <cell r="J485" t="str">
            <v>3</v>
          </cell>
          <cell r="K485">
            <v>690</v>
          </cell>
          <cell r="L485" t="str">
            <v>AC</v>
          </cell>
          <cell r="M485" t="str">
            <v>F</v>
          </cell>
          <cell r="N485" t="str">
            <v>N</v>
          </cell>
          <cell r="O485">
            <v>0</v>
          </cell>
          <cell r="P485" t="str">
            <v>4850-NDB-303A</v>
          </cell>
          <cell r="Q485" t="str">
            <v>C</v>
          </cell>
          <cell r="S485">
            <v>80</v>
          </cell>
          <cell r="T485">
            <v>100</v>
          </cell>
          <cell r="X485">
            <v>1</v>
          </cell>
          <cell r="Y485">
            <v>0.85</v>
          </cell>
        </row>
        <row r="486">
          <cell r="A486">
            <v>0</v>
          </cell>
          <cell r="B486" t="str">
            <v>4850-NEH-324</v>
          </cell>
          <cell r="C486" t="str">
            <v>Electrical Heat Tracing Panel 4</v>
          </cell>
          <cell r="D486">
            <v>0</v>
          </cell>
          <cell r="E486" t="str">
            <v>ISBL</v>
          </cell>
          <cell r="J486" t="str">
            <v>3</v>
          </cell>
          <cell r="K486">
            <v>690</v>
          </cell>
          <cell r="L486" t="str">
            <v>AC</v>
          </cell>
          <cell r="M486" t="str">
            <v>F</v>
          </cell>
          <cell r="N486" t="str">
            <v>N</v>
          </cell>
          <cell r="O486">
            <v>0</v>
          </cell>
          <cell r="P486" t="str">
            <v>4850-NDB-303B</v>
          </cell>
          <cell r="Q486" t="str">
            <v>C</v>
          </cell>
          <cell r="S486">
            <v>80</v>
          </cell>
          <cell r="T486">
            <v>100</v>
          </cell>
          <cell r="X486">
            <v>1</v>
          </cell>
          <cell r="Y486">
            <v>0.85</v>
          </cell>
        </row>
        <row r="487">
          <cell r="A487">
            <v>0</v>
          </cell>
          <cell r="B487" t="str">
            <v>4850-NEH-325</v>
          </cell>
          <cell r="C487" t="str">
            <v>Electrical Heat Tracing Panel 5</v>
          </cell>
          <cell r="D487">
            <v>0</v>
          </cell>
          <cell r="E487" t="str">
            <v>ISBL</v>
          </cell>
          <cell r="J487" t="str">
            <v>3</v>
          </cell>
          <cell r="K487">
            <v>690</v>
          </cell>
          <cell r="L487" t="str">
            <v>AC</v>
          </cell>
          <cell r="M487" t="str">
            <v>F</v>
          </cell>
          <cell r="N487" t="str">
            <v>N</v>
          </cell>
          <cell r="O487">
            <v>0</v>
          </cell>
          <cell r="P487" t="str">
            <v>4850-NDB-303A</v>
          </cell>
          <cell r="Q487" t="str">
            <v>C</v>
          </cell>
          <cell r="S487">
            <v>80</v>
          </cell>
          <cell r="T487">
            <v>100</v>
          </cell>
          <cell r="X487">
            <v>1</v>
          </cell>
          <cell r="Y487">
            <v>0.85</v>
          </cell>
        </row>
        <row r="488">
          <cell r="A488">
            <v>0</v>
          </cell>
          <cell r="B488" t="str">
            <v>4850-NEH-326</v>
          </cell>
          <cell r="C488" t="str">
            <v>Electrical Heat Tracing Panel 6</v>
          </cell>
          <cell r="D488">
            <v>0</v>
          </cell>
          <cell r="E488" t="str">
            <v>ISBL</v>
          </cell>
          <cell r="J488" t="str">
            <v>3</v>
          </cell>
          <cell r="K488">
            <v>690</v>
          </cell>
          <cell r="L488" t="str">
            <v>AC</v>
          </cell>
          <cell r="M488" t="str">
            <v>F</v>
          </cell>
          <cell r="N488" t="str">
            <v>N</v>
          </cell>
          <cell r="O488">
            <v>0</v>
          </cell>
          <cell r="P488" t="str">
            <v>4850-NDB-303B</v>
          </cell>
          <cell r="Q488" t="str">
            <v>C</v>
          </cell>
          <cell r="S488">
            <v>80</v>
          </cell>
          <cell r="T488">
            <v>100</v>
          </cell>
          <cell r="X488">
            <v>1</v>
          </cell>
          <cell r="Y488">
            <v>0.85</v>
          </cell>
        </row>
        <row r="489">
          <cell r="A489">
            <v>0</v>
          </cell>
          <cell r="B489" t="str">
            <v>4850-NEH-327</v>
          </cell>
          <cell r="C489" t="str">
            <v>Electrical Heat Tracing Panel 7</v>
          </cell>
          <cell r="D489">
            <v>0</v>
          </cell>
          <cell r="E489" t="str">
            <v>ISBL</v>
          </cell>
          <cell r="J489" t="str">
            <v>3</v>
          </cell>
          <cell r="K489">
            <v>690</v>
          </cell>
          <cell r="L489" t="str">
            <v>AC</v>
          </cell>
          <cell r="M489" t="str">
            <v>F</v>
          </cell>
          <cell r="N489" t="str">
            <v>N</v>
          </cell>
          <cell r="O489">
            <v>0</v>
          </cell>
          <cell r="P489" t="str">
            <v>4850-NDB-303A</v>
          </cell>
          <cell r="Q489" t="str">
            <v>C</v>
          </cell>
          <cell r="S489">
            <v>80</v>
          </cell>
          <cell r="T489">
            <v>100</v>
          </cell>
          <cell r="X489">
            <v>1</v>
          </cell>
          <cell r="Y489">
            <v>0.85</v>
          </cell>
        </row>
        <row r="490">
          <cell r="A490">
            <v>0</v>
          </cell>
          <cell r="B490" t="str">
            <v>4850-NEH-328</v>
          </cell>
          <cell r="C490" t="str">
            <v>Electrical Heat Tracing Panel 8</v>
          </cell>
          <cell r="D490">
            <v>0</v>
          </cell>
          <cell r="E490" t="str">
            <v>ISBL</v>
          </cell>
          <cell r="J490" t="str">
            <v>3</v>
          </cell>
          <cell r="K490">
            <v>690</v>
          </cell>
          <cell r="L490" t="str">
            <v>AC</v>
          </cell>
          <cell r="M490" t="str">
            <v>F</v>
          </cell>
          <cell r="N490" t="str">
            <v>N</v>
          </cell>
          <cell r="O490">
            <v>0</v>
          </cell>
          <cell r="P490" t="str">
            <v>4850-NDB-303B</v>
          </cell>
          <cell r="Q490" t="str">
            <v>C</v>
          </cell>
          <cell r="S490">
            <v>80</v>
          </cell>
          <cell r="T490">
            <v>100</v>
          </cell>
          <cell r="X490">
            <v>1</v>
          </cell>
          <cell r="Y490">
            <v>0.85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 t="str">
            <v>ISBL</v>
          </cell>
          <cell r="J491" t="str">
            <v>3</v>
          </cell>
          <cell r="K491">
            <v>0</v>
          </cell>
          <cell r="L491" t="str">
            <v>AC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S491">
            <v>0</v>
          </cell>
          <cell r="T491">
            <v>0</v>
          </cell>
          <cell r="X491">
            <v>0</v>
          </cell>
          <cell r="Y491">
            <v>0</v>
          </cell>
        </row>
        <row r="492">
          <cell r="A492">
            <v>0</v>
          </cell>
          <cell r="B492" t="str">
            <v>41-PK-6040-34</v>
          </cell>
          <cell r="C492" t="str">
            <v>Hot Oil Heater for Gear Pump &amp; S/C Heating</v>
          </cell>
          <cell r="D492">
            <v>0</v>
          </cell>
          <cell r="E492" t="str">
            <v>ISBL</v>
          </cell>
          <cell r="J492" t="str">
            <v>3</v>
          </cell>
          <cell r="K492">
            <v>690</v>
          </cell>
          <cell r="L492" t="str">
            <v>AC</v>
          </cell>
          <cell r="M492" t="str">
            <v>M</v>
          </cell>
          <cell r="N492" t="str">
            <v>N</v>
          </cell>
          <cell r="O492">
            <v>0</v>
          </cell>
          <cell r="P492" t="str">
            <v>4850-NDB-303A</v>
          </cell>
          <cell r="Q492" t="str">
            <v>C</v>
          </cell>
          <cell r="S492">
            <v>504</v>
          </cell>
          <cell r="T492">
            <v>560</v>
          </cell>
          <cell r="X492">
            <v>0.93</v>
          </cell>
          <cell r="Y492">
            <v>0.85</v>
          </cell>
        </row>
        <row r="493">
          <cell r="A493">
            <v>0</v>
          </cell>
          <cell r="B493" t="str">
            <v>41-PK-6040-35</v>
          </cell>
          <cell r="C493" t="str">
            <v>Hot Oil Heater for Gear Mixer Chamber Heating</v>
          </cell>
          <cell r="D493">
            <v>0</v>
          </cell>
          <cell r="E493" t="str">
            <v>ISBL</v>
          </cell>
          <cell r="J493" t="str">
            <v>3</v>
          </cell>
          <cell r="K493">
            <v>690</v>
          </cell>
          <cell r="L493" t="str">
            <v>AC</v>
          </cell>
          <cell r="M493" t="str">
            <v>M</v>
          </cell>
          <cell r="N493" t="str">
            <v>N</v>
          </cell>
          <cell r="O493">
            <v>0</v>
          </cell>
          <cell r="P493" t="str">
            <v>4850-NDB-303B</v>
          </cell>
          <cell r="Q493" t="str">
            <v>C</v>
          </cell>
          <cell r="S493">
            <v>324</v>
          </cell>
          <cell r="T493">
            <v>360</v>
          </cell>
          <cell r="X493">
            <v>0.93</v>
          </cell>
          <cell r="Y493">
            <v>0.85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 t="str">
            <v>ISBL</v>
          </cell>
          <cell r="J494" t="str">
            <v>3</v>
          </cell>
          <cell r="K494">
            <v>0</v>
          </cell>
          <cell r="L494" t="str">
            <v>AC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S494">
            <v>0</v>
          </cell>
          <cell r="T494">
            <v>0</v>
          </cell>
          <cell r="X494">
            <v>0</v>
          </cell>
          <cell r="Y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 t="str">
            <v>ISBL</v>
          </cell>
          <cell r="J495" t="str">
            <v>3</v>
          </cell>
          <cell r="K495">
            <v>0</v>
          </cell>
          <cell r="L495" t="str">
            <v>AC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X495">
            <v>0</v>
          </cell>
          <cell r="Y495">
            <v>0</v>
          </cell>
        </row>
        <row r="496">
          <cell r="A496" t="str">
            <v>PEU-2</v>
          </cell>
          <cell r="B496" t="str">
            <v>VDB-301</v>
          </cell>
          <cell r="C496" t="str">
            <v>HVAC Load 1</v>
          </cell>
          <cell r="D496">
            <v>0</v>
          </cell>
          <cell r="E496" t="str">
            <v>ISBL</v>
          </cell>
          <cell r="J496" t="str">
            <v>3</v>
          </cell>
          <cell r="K496">
            <v>690</v>
          </cell>
          <cell r="L496" t="str">
            <v>AC</v>
          </cell>
          <cell r="M496" t="str">
            <v>F</v>
          </cell>
          <cell r="N496" t="str">
            <v>N</v>
          </cell>
          <cell r="O496">
            <v>0</v>
          </cell>
          <cell r="P496" t="str">
            <v>4850-NDB-304A</v>
          </cell>
          <cell r="Q496" t="str">
            <v>C</v>
          </cell>
          <cell r="S496">
            <v>80</v>
          </cell>
          <cell r="T496">
            <v>100</v>
          </cell>
          <cell r="X496">
            <v>1</v>
          </cell>
          <cell r="Y496">
            <v>0.85</v>
          </cell>
        </row>
        <row r="497">
          <cell r="A497" t="str">
            <v>PEU-2</v>
          </cell>
          <cell r="B497" t="str">
            <v>VDB-302</v>
          </cell>
          <cell r="C497" t="str">
            <v>HVAC Load 2</v>
          </cell>
          <cell r="D497">
            <v>0</v>
          </cell>
          <cell r="E497" t="str">
            <v>ISBL</v>
          </cell>
          <cell r="J497" t="str">
            <v>3</v>
          </cell>
          <cell r="K497">
            <v>690</v>
          </cell>
          <cell r="L497" t="str">
            <v>AC</v>
          </cell>
          <cell r="M497" t="str">
            <v>F</v>
          </cell>
          <cell r="N497" t="str">
            <v>N</v>
          </cell>
          <cell r="O497">
            <v>0</v>
          </cell>
          <cell r="P497" t="str">
            <v>4850-NDB-304A</v>
          </cell>
          <cell r="Q497" t="str">
            <v>C</v>
          </cell>
          <cell r="S497">
            <v>80</v>
          </cell>
          <cell r="T497">
            <v>100</v>
          </cell>
          <cell r="X497">
            <v>1</v>
          </cell>
          <cell r="Y497">
            <v>0.85</v>
          </cell>
        </row>
        <row r="498">
          <cell r="A498" t="str">
            <v>PEU-2</v>
          </cell>
          <cell r="B498" t="str">
            <v>VDB-303</v>
          </cell>
          <cell r="C498" t="str">
            <v>HVAC Load 3</v>
          </cell>
          <cell r="D498">
            <v>0</v>
          </cell>
          <cell r="E498" t="str">
            <v>ISBL</v>
          </cell>
          <cell r="J498" t="str">
            <v>3</v>
          </cell>
          <cell r="K498">
            <v>690</v>
          </cell>
          <cell r="L498" t="str">
            <v>AC</v>
          </cell>
          <cell r="M498" t="str">
            <v>F</v>
          </cell>
          <cell r="N498" t="str">
            <v>N</v>
          </cell>
          <cell r="O498">
            <v>0</v>
          </cell>
          <cell r="P498" t="str">
            <v>4850-NDB-304A</v>
          </cell>
          <cell r="Q498" t="str">
            <v>C</v>
          </cell>
          <cell r="S498">
            <v>80</v>
          </cell>
          <cell r="T498">
            <v>100</v>
          </cell>
          <cell r="X498">
            <v>1</v>
          </cell>
          <cell r="Y498">
            <v>0.85</v>
          </cell>
        </row>
        <row r="499">
          <cell r="A499" t="str">
            <v>PEU-2</v>
          </cell>
          <cell r="B499" t="str">
            <v>VDB-304</v>
          </cell>
          <cell r="C499" t="str">
            <v>HVAC Load 4</v>
          </cell>
          <cell r="D499">
            <v>0</v>
          </cell>
          <cell r="E499" t="str">
            <v>ISBL</v>
          </cell>
          <cell r="J499" t="str">
            <v>3</v>
          </cell>
          <cell r="K499">
            <v>690</v>
          </cell>
          <cell r="L499" t="str">
            <v>AC</v>
          </cell>
          <cell r="M499" t="str">
            <v>F</v>
          </cell>
          <cell r="N499" t="str">
            <v>N</v>
          </cell>
          <cell r="O499">
            <v>0</v>
          </cell>
          <cell r="P499" t="str">
            <v>4850-NDB-304A</v>
          </cell>
          <cell r="Q499" t="str">
            <v>C</v>
          </cell>
          <cell r="S499">
            <v>80</v>
          </cell>
          <cell r="T499">
            <v>100</v>
          </cell>
          <cell r="X499">
            <v>1</v>
          </cell>
          <cell r="Y499">
            <v>0.85</v>
          </cell>
        </row>
        <row r="500">
          <cell r="A500" t="str">
            <v>PEU-2</v>
          </cell>
          <cell r="B500" t="str">
            <v>VDB-305</v>
          </cell>
          <cell r="C500" t="str">
            <v>HVAC Load 5</v>
          </cell>
          <cell r="D500">
            <v>0</v>
          </cell>
          <cell r="E500" t="str">
            <v>ISBL</v>
          </cell>
          <cell r="J500" t="str">
            <v>3</v>
          </cell>
          <cell r="K500">
            <v>690</v>
          </cell>
          <cell r="L500" t="str">
            <v>AC</v>
          </cell>
          <cell r="M500" t="str">
            <v>F</v>
          </cell>
          <cell r="N500" t="str">
            <v>N</v>
          </cell>
          <cell r="O500">
            <v>0</v>
          </cell>
          <cell r="P500" t="str">
            <v>4850-NDB-304A</v>
          </cell>
          <cell r="Q500" t="str">
            <v>C</v>
          </cell>
          <cell r="S500">
            <v>80</v>
          </cell>
          <cell r="T500">
            <v>100</v>
          </cell>
          <cell r="X500">
            <v>1</v>
          </cell>
          <cell r="Y500">
            <v>0.85</v>
          </cell>
        </row>
        <row r="501">
          <cell r="A501" t="str">
            <v>PEU-2</v>
          </cell>
          <cell r="B501" t="str">
            <v>VDB-306</v>
          </cell>
          <cell r="C501" t="str">
            <v>HVAC Load 6</v>
          </cell>
          <cell r="D501">
            <v>0</v>
          </cell>
          <cell r="E501" t="str">
            <v>ISBL</v>
          </cell>
          <cell r="J501" t="str">
            <v>3</v>
          </cell>
          <cell r="K501">
            <v>690</v>
          </cell>
          <cell r="L501" t="str">
            <v>AC</v>
          </cell>
          <cell r="M501" t="str">
            <v>F</v>
          </cell>
          <cell r="N501" t="str">
            <v>N</v>
          </cell>
          <cell r="O501">
            <v>0</v>
          </cell>
          <cell r="P501" t="str">
            <v>4850-NDB-304A</v>
          </cell>
          <cell r="Q501" t="str">
            <v>C</v>
          </cell>
          <cell r="S501">
            <v>80</v>
          </cell>
          <cell r="T501">
            <v>100</v>
          </cell>
          <cell r="X501">
            <v>1</v>
          </cell>
          <cell r="Y501">
            <v>0.85</v>
          </cell>
        </row>
        <row r="502">
          <cell r="A502" t="str">
            <v>PEU-2</v>
          </cell>
          <cell r="B502" t="str">
            <v>VDB-307</v>
          </cell>
          <cell r="C502" t="str">
            <v>HVAC Load 7</v>
          </cell>
          <cell r="D502">
            <v>0</v>
          </cell>
          <cell r="E502" t="str">
            <v>ISBL</v>
          </cell>
          <cell r="J502" t="str">
            <v>3</v>
          </cell>
          <cell r="K502">
            <v>690</v>
          </cell>
          <cell r="L502" t="str">
            <v>AC</v>
          </cell>
          <cell r="M502" t="str">
            <v>F</v>
          </cell>
          <cell r="N502" t="str">
            <v>N</v>
          </cell>
          <cell r="O502">
            <v>0</v>
          </cell>
          <cell r="P502" t="str">
            <v>4850-NDB-304A</v>
          </cell>
          <cell r="Q502" t="str">
            <v>C</v>
          </cell>
          <cell r="S502">
            <v>80</v>
          </cell>
          <cell r="T502">
            <v>100</v>
          </cell>
          <cell r="X502">
            <v>1</v>
          </cell>
          <cell r="Y502">
            <v>0.85</v>
          </cell>
        </row>
        <row r="503">
          <cell r="A503" t="str">
            <v>PEU-2</v>
          </cell>
          <cell r="B503" t="str">
            <v>VDB-308</v>
          </cell>
          <cell r="C503" t="str">
            <v>HVAC Load 8</v>
          </cell>
          <cell r="D503">
            <v>0</v>
          </cell>
          <cell r="E503" t="str">
            <v>ISBL</v>
          </cell>
          <cell r="J503" t="str">
            <v>3</v>
          </cell>
          <cell r="K503">
            <v>690</v>
          </cell>
          <cell r="L503" t="str">
            <v>AC</v>
          </cell>
          <cell r="M503" t="str">
            <v>F</v>
          </cell>
          <cell r="N503" t="str">
            <v>N</v>
          </cell>
          <cell r="O503">
            <v>0</v>
          </cell>
          <cell r="P503" t="str">
            <v>4850-NDB-304A</v>
          </cell>
          <cell r="Q503" t="str">
            <v>C</v>
          </cell>
          <cell r="S503">
            <v>80</v>
          </cell>
          <cell r="T503">
            <v>100</v>
          </cell>
          <cell r="X503">
            <v>1</v>
          </cell>
          <cell r="Y503">
            <v>0.85</v>
          </cell>
        </row>
        <row r="504">
          <cell r="A504" t="str">
            <v>PEU-2</v>
          </cell>
          <cell r="B504" t="str">
            <v>VDB-309</v>
          </cell>
          <cell r="C504" t="str">
            <v>HVAC Load 9</v>
          </cell>
          <cell r="D504">
            <v>0</v>
          </cell>
          <cell r="E504" t="str">
            <v>ISBL</v>
          </cell>
          <cell r="J504" t="str">
            <v>3</v>
          </cell>
          <cell r="K504">
            <v>690</v>
          </cell>
          <cell r="L504" t="str">
            <v>AC</v>
          </cell>
          <cell r="M504" t="str">
            <v>F</v>
          </cell>
          <cell r="N504" t="str">
            <v>N</v>
          </cell>
          <cell r="O504">
            <v>0</v>
          </cell>
          <cell r="P504" t="str">
            <v>4850-NDB-304A</v>
          </cell>
          <cell r="Q504" t="str">
            <v>C</v>
          </cell>
          <cell r="S504">
            <v>80</v>
          </cell>
          <cell r="T504">
            <v>100</v>
          </cell>
          <cell r="X504">
            <v>1</v>
          </cell>
          <cell r="Y504">
            <v>0.85</v>
          </cell>
        </row>
        <row r="505">
          <cell r="A505" t="str">
            <v>PEU-2</v>
          </cell>
          <cell r="B505" t="str">
            <v>VDB-310</v>
          </cell>
          <cell r="C505" t="str">
            <v>HVAC Load 10</v>
          </cell>
          <cell r="D505">
            <v>0</v>
          </cell>
          <cell r="E505" t="str">
            <v>ISBL</v>
          </cell>
          <cell r="J505" t="str">
            <v>3</v>
          </cell>
          <cell r="K505">
            <v>690</v>
          </cell>
          <cell r="L505" t="str">
            <v>AC</v>
          </cell>
          <cell r="M505" t="str">
            <v>F</v>
          </cell>
          <cell r="N505" t="str">
            <v>N</v>
          </cell>
          <cell r="O505">
            <v>0</v>
          </cell>
          <cell r="P505" t="str">
            <v>4850-NDB-304A</v>
          </cell>
          <cell r="Q505" t="str">
            <v>C</v>
          </cell>
          <cell r="S505">
            <v>24</v>
          </cell>
          <cell r="T505">
            <v>30</v>
          </cell>
          <cell r="X505">
            <v>1</v>
          </cell>
          <cell r="Y505">
            <v>0.85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 t="str">
            <v>ISBL</v>
          </cell>
          <cell r="J506" t="str">
            <v>3</v>
          </cell>
          <cell r="K506">
            <v>0</v>
          </cell>
          <cell r="L506" t="str">
            <v>AC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S506">
            <v>0</v>
          </cell>
          <cell r="T506">
            <v>0</v>
          </cell>
          <cell r="X506">
            <v>0</v>
          </cell>
          <cell r="Y506">
            <v>0</v>
          </cell>
        </row>
        <row r="507">
          <cell r="A507" t="str">
            <v>PEU-2</v>
          </cell>
          <cell r="B507" t="str">
            <v>VDB-311</v>
          </cell>
          <cell r="C507" t="str">
            <v>HVAC Load 11</v>
          </cell>
          <cell r="D507">
            <v>0</v>
          </cell>
          <cell r="E507" t="str">
            <v>ISBL</v>
          </cell>
          <cell r="J507" t="str">
            <v>3</v>
          </cell>
          <cell r="K507">
            <v>690</v>
          </cell>
          <cell r="L507" t="str">
            <v>AC</v>
          </cell>
          <cell r="M507" t="str">
            <v>F</v>
          </cell>
          <cell r="N507" t="str">
            <v>N</v>
          </cell>
          <cell r="O507">
            <v>0</v>
          </cell>
          <cell r="P507" t="str">
            <v>4850-NDB-304B</v>
          </cell>
          <cell r="Q507" t="str">
            <v>C</v>
          </cell>
          <cell r="S507">
            <v>80</v>
          </cell>
          <cell r="T507">
            <v>100</v>
          </cell>
          <cell r="X507">
            <v>1</v>
          </cell>
          <cell r="Y507">
            <v>0.85</v>
          </cell>
        </row>
        <row r="508">
          <cell r="A508" t="str">
            <v>PEU-2</v>
          </cell>
          <cell r="B508" t="str">
            <v>VDB-312</v>
          </cell>
          <cell r="C508" t="str">
            <v>HVAC Load 12</v>
          </cell>
          <cell r="D508">
            <v>0</v>
          </cell>
          <cell r="E508" t="str">
            <v>ISBL</v>
          </cell>
          <cell r="J508" t="str">
            <v>3</v>
          </cell>
          <cell r="K508">
            <v>690</v>
          </cell>
          <cell r="L508" t="str">
            <v>AC</v>
          </cell>
          <cell r="M508" t="str">
            <v>F</v>
          </cell>
          <cell r="N508" t="str">
            <v>N</v>
          </cell>
          <cell r="O508">
            <v>0</v>
          </cell>
          <cell r="P508" t="str">
            <v>4850-NDB-304B</v>
          </cell>
          <cell r="Q508" t="str">
            <v>C</v>
          </cell>
          <cell r="S508">
            <v>80</v>
          </cell>
          <cell r="T508">
            <v>100</v>
          </cell>
          <cell r="X508">
            <v>1</v>
          </cell>
          <cell r="Y508">
            <v>0.85</v>
          </cell>
        </row>
        <row r="509">
          <cell r="A509" t="str">
            <v>PEU-2</v>
          </cell>
          <cell r="B509" t="str">
            <v>VDB-313</v>
          </cell>
          <cell r="C509" t="str">
            <v>HVAC Load 13</v>
          </cell>
          <cell r="D509">
            <v>0</v>
          </cell>
          <cell r="E509" t="str">
            <v>ISBL</v>
          </cell>
          <cell r="J509" t="str">
            <v>3</v>
          </cell>
          <cell r="K509">
            <v>690</v>
          </cell>
          <cell r="L509" t="str">
            <v>AC</v>
          </cell>
          <cell r="M509" t="str">
            <v>F</v>
          </cell>
          <cell r="N509" t="str">
            <v>N</v>
          </cell>
          <cell r="O509">
            <v>0</v>
          </cell>
          <cell r="P509" t="str">
            <v>4850-NDB-304B</v>
          </cell>
          <cell r="Q509" t="str">
            <v>C</v>
          </cell>
          <cell r="S509">
            <v>80</v>
          </cell>
          <cell r="T509">
            <v>100</v>
          </cell>
          <cell r="X509">
            <v>1</v>
          </cell>
          <cell r="Y509">
            <v>0.85</v>
          </cell>
        </row>
        <row r="510">
          <cell r="A510" t="str">
            <v>PEU-2</v>
          </cell>
          <cell r="B510" t="str">
            <v>VDB-314</v>
          </cell>
          <cell r="C510" t="str">
            <v>HVAC Load 14</v>
          </cell>
          <cell r="D510">
            <v>0</v>
          </cell>
          <cell r="E510" t="str">
            <v>ISBL</v>
          </cell>
          <cell r="J510" t="str">
            <v>3</v>
          </cell>
          <cell r="K510">
            <v>690</v>
          </cell>
          <cell r="L510" t="str">
            <v>AC</v>
          </cell>
          <cell r="M510" t="str">
            <v>F</v>
          </cell>
          <cell r="N510" t="str">
            <v>N</v>
          </cell>
          <cell r="O510">
            <v>0</v>
          </cell>
          <cell r="P510" t="str">
            <v>4850-NDB-304B</v>
          </cell>
          <cell r="Q510" t="str">
            <v>C</v>
          </cell>
          <cell r="S510">
            <v>80</v>
          </cell>
          <cell r="T510">
            <v>100</v>
          </cell>
          <cell r="X510">
            <v>1</v>
          </cell>
          <cell r="Y510">
            <v>0.85</v>
          </cell>
        </row>
        <row r="511">
          <cell r="A511" t="str">
            <v>PEU-2</v>
          </cell>
          <cell r="B511" t="str">
            <v>VDB-315</v>
          </cell>
          <cell r="C511" t="str">
            <v>HVAC Load 15</v>
          </cell>
          <cell r="D511">
            <v>0</v>
          </cell>
          <cell r="E511" t="str">
            <v>ISBL</v>
          </cell>
          <cell r="J511" t="str">
            <v>3</v>
          </cell>
          <cell r="K511">
            <v>690</v>
          </cell>
          <cell r="L511" t="str">
            <v>AC</v>
          </cell>
          <cell r="M511" t="str">
            <v>F</v>
          </cell>
          <cell r="N511" t="str">
            <v>N</v>
          </cell>
          <cell r="O511">
            <v>0</v>
          </cell>
          <cell r="P511" t="str">
            <v>4850-NDB-304B</v>
          </cell>
          <cell r="Q511" t="str">
            <v>C</v>
          </cell>
          <cell r="S511">
            <v>80</v>
          </cell>
          <cell r="T511">
            <v>100</v>
          </cell>
          <cell r="X511">
            <v>1</v>
          </cell>
          <cell r="Y511">
            <v>0.85</v>
          </cell>
        </row>
        <row r="512">
          <cell r="A512" t="str">
            <v>PEU-2</v>
          </cell>
          <cell r="B512" t="str">
            <v>VDB-316</v>
          </cell>
          <cell r="C512" t="str">
            <v>HVAC Load 16</v>
          </cell>
          <cell r="D512">
            <v>0</v>
          </cell>
          <cell r="E512" t="str">
            <v>ISBL</v>
          </cell>
          <cell r="J512" t="str">
            <v>3</v>
          </cell>
          <cell r="K512">
            <v>690</v>
          </cell>
          <cell r="L512" t="str">
            <v>AC</v>
          </cell>
          <cell r="M512" t="str">
            <v>F</v>
          </cell>
          <cell r="N512" t="str">
            <v>N</v>
          </cell>
          <cell r="O512">
            <v>0</v>
          </cell>
          <cell r="P512" t="str">
            <v>4850-NDB-304B</v>
          </cell>
          <cell r="Q512" t="str">
            <v>C</v>
          </cell>
          <cell r="S512">
            <v>80</v>
          </cell>
          <cell r="T512">
            <v>100</v>
          </cell>
          <cell r="X512">
            <v>1</v>
          </cell>
          <cell r="Y512">
            <v>0.85</v>
          </cell>
        </row>
        <row r="513">
          <cell r="A513" t="str">
            <v>PEU-2</v>
          </cell>
          <cell r="B513" t="str">
            <v>VDB-317</v>
          </cell>
          <cell r="C513" t="str">
            <v>HVAC Load 17</v>
          </cell>
          <cell r="D513">
            <v>0</v>
          </cell>
          <cell r="E513" t="str">
            <v>ISBL</v>
          </cell>
          <cell r="J513" t="str">
            <v>3</v>
          </cell>
          <cell r="K513">
            <v>690</v>
          </cell>
          <cell r="L513" t="str">
            <v>AC</v>
          </cell>
          <cell r="M513" t="str">
            <v>F</v>
          </cell>
          <cell r="N513" t="str">
            <v>N</v>
          </cell>
          <cell r="O513">
            <v>0</v>
          </cell>
          <cell r="P513" t="str">
            <v>4850-NDB-304B</v>
          </cell>
          <cell r="Q513" t="str">
            <v>C</v>
          </cell>
          <cell r="S513">
            <v>80</v>
          </cell>
          <cell r="T513">
            <v>100</v>
          </cell>
          <cell r="X513">
            <v>1</v>
          </cell>
          <cell r="Y513">
            <v>0.85</v>
          </cell>
        </row>
        <row r="514">
          <cell r="A514" t="str">
            <v>PEU-2</v>
          </cell>
          <cell r="B514" t="str">
            <v>VDB-318</v>
          </cell>
          <cell r="C514" t="str">
            <v>HVAC Load 18</v>
          </cell>
          <cell r="D514">
            <v>0</v>
          </cell>
          <cell r="E514" t="str">
            <v>ISBL</v>
          </cell>
          <cell r="J514" t="str">
            <v>3</v>
          </cell>
          <cell r="K514">
            <v>690</v>
          </cell>
          <cell r="L514" t="str">
            <v>AC</v>
          </cell>
          <cell r="M514" t="str">
            <v>F</v>
          </cell>
          <cell r="N514" t="str">
            <v>N</v>
          </cell>
          <cell r="O514">
            <v>0</v>
          </cell>
          <cell r="P514" t="str">
            <v>4850-NDB-304B</v>
          </cell>
          <cell r="Q514" t="str">
            <v>C</v>
          </cell>
          <cell r="S514">
            <v>80</v>
          </cell>
          <cell r="T514">
            <v>100</v>
          </cell>
          <cell r="X514">
            <v>1</v>
          </cell>
          <cell r="Y514">
            <v>0.85</v>
          </cell>
        </row>
        <row r="515">
          <cell r="A515" t="str">
            <v>PEU-2</v>
          </cell>
          <cell r="B515" t="str">
            <v>VDB-319</v>
          </cell>
          <cell r="C515" t="str">
            <v>HVAC Load 19</v>
          </cell>
          <cell r="D515">
            <v>0</v>
          </cell>
          <cell r="E515" t="str">
            <v>ISBL</v>
          </cell>
          <cell r="J515" t="str">
            <v>3</v>
          </cell>
          <cell r="K515">
            <v>690</v>
          </cell>
          <cell r="L515" t="str">
            <v>AC</v>
          </cell>
          <cell r="M515" t="str">
            <v>F</v>
          </cell>
          <cell r="N515" t="str">
            <v>N</v>
          </cell>
          <cell r="O515">
            <v>0</v>
          </cell>
          <cell r="P515" t="str">
            <v>4850-NDB-304B</v>
          </cell>
          <cell r="Q515" t="str">
            <v>C</v>
          </cell>
          <cell r="S515">
            <v>80</v>
          </cell>
          <cell r="T515">
            <v>100</v>
          </cell>
          <cell r="X515">
            <v>1</v>
          </cell>
          <cell r="Y515">
            <v>0.85</v>
          </cell>
        </row>
        <row r="516">
          <cell r="A516" t="str">
            <v>PEU-2</v>
          </cell>
          <cell r="B516" t="str">
            <v>VDB-320</v>
          </cell>
          <cell r="C516" t="str">
            <v>HVAC Load 20</v>
          </cell>
          <cell r="D516">
            <v>0</v>
          </cell>
          <cell r="E516" t="str">
            <v>ISBL</v>
          </cell>
          <cell r="J516" t="str">
            <v>3</v>
          </cell>
          <cell r="K516">
            <v>690</v>
          </cell>
          <cell r="L516" t="str">
            <v>AC</v>
          </cell>
          <cell r="M516" t="str">
            <v>F</v>
          </cell>
          <cell r="N516" t="str">
            <v>N</v>
          </cell>
          <cell r="O516">
            <v>0</v>
          </cell>
          <cell r="P516" t="str">
            <v>4850-NDB-304B</v>
          </cell>
          <cell r="Q516" t="str">
            <v>C</v>
          </cell>
          <cell r="S516">
            <v>24</v>
          </cell>
          <cell r="T516">
            <v>30</v>
          </cell>
          <cell r="X516">
            <v>1</v>
          </cell>
          <cell r="Y516">
            <v>0.85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 t="str">
            <v>ISBL</v>
          </cell>
          <cell r="J517" t="str">
            <v>3</v>
          </cell>
          <cell r="K517">
            <v>0</v>
          </cell>
          <cell r="L517" t="str">
            <v>AC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S517">
            <v>0</v>
          </cell>
          <cell r="T517">
            <v>0</v>
          </cell>
          <cell r="X517">
            <v>0</v>
          </cell>
          <cell r="Y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 t="str">
            <v>ISBL</v>
          </cell>
          <cell r="J518" t="str">
            <v>3</v>
          </cell>
          <cell r="K518">
            <v>0</v>
          </cell>
          <cell r="L518" t="str">
            <v>AC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S518">
            <v>0</v>
          </cell>
          <cell r="T518">
            <v>0</v>
          </cell>
          <cell r="X518">
            <v>0</v>
          </cell>
          <cell r="Y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 t="str">
            <v>ISBL</v>
          </cell>
          <cell r="J519" t="str">
            <v>3</v>
          </cell>
          <cell r="K519">
            <v>0</v>
          </cell>
          <cell r="L519" t="str">
            <v>AC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S519">
            <v>0</v>
          </cell>
          <cell r="T519">
            <v>0</v>
          </cell>
          <cell r="X519">
            <v>0</v>
          </cell>
          <cell r="Y519">
            <v>0</v>
          </cell>
        </row>
        <row r="520">
          <cell r="A520" t="str">
            <v>PEU-2</v>
          </cell>
          <cell r="B520" t="str">
            <v>VDB-321</v>
          </cell>
          <cell r="C520" t="str">
            <v>HVAC Load 21</v>
          </cell>
          <cell r="D520">
            <v>0</v>
          </cell>
          <cell r="E520" t="str">
            <v>ISBL</v>
          </cell>
          <cell r="J520" t="str">
            <v>3</v>
          </cell>
          <cell r="K520">
            <v>690</v>
          </cell>
          <cell r="L520" t="str">
            <v>AC</v>
          </cell>
          <cell r="M520" t="str">
            <v>F</v>
          </cell>
          <cell r="N520" t="str">
            <v>N</v>
          </cell>
          <cell r="O520">
            <v>0</v>
          </cell>
          <cell r="P520" t="str">
            <v>4850-NDB-305A</v>
          </cell>
          <cell r="Q520" t="str">
            <v>C</v>
          </cell>
          <cell r="S520">
            <v>80</v>
          </cell>
          <cell r="T520">
            <v>100</v>
          </cell>
          <cell r="X520">
            <v>1</v>
          </cell>
          <cell r="Y520">
            <v>0.85</v>
          </cell>
        </row>
        <row r="521">
          <cell r="A521" t="str">
            <v>PEU-2</v>
          </cell>
          <cell r="B521" t="str">
            <v>VDB-322</v>
          </cell>
          <cell r="C521" t="str">
            <v>HVAC Load 22</v>
          </cell>
          <cell r="D521">
            <v>0</v>
          </cell>
          <cell r="E521" t="str">
            <v>ISBL</v>
          </cell>
          <cell r="J521" t="str">
            <v>3</v>
          </cell>
          <cell r="K521">
            <v>690</v>
          </cell>
          <cell r="L521" t="str">
            <v>AC</v>
          </cell>
          <cell r="M521" t="str">
            <v>F</v>
          </cell>
          <cell r="N521" t="str">
            <v>N</v>
          </cell>
          <cell r="O521">
            <v>0</v>
          </cell>
          <cell r="P521" t="str">
            <v>4850-NDB-305A</v>
          </cell>
          <cell r="Q521" t="str">
            <v>C</v>
          </cell>
          <cell r="S521">
            <v>80</v>
          </cell>
          <cell r="T521">
            <v>100</v>
          </cell>
          <cell r="X521">
            <v>1</v>
          </cell>
          <cell r="Y521">
            <v>0.85</v>
          </cell>
        </row>
        <row r="522">
          <cell r="A522" t="str">
            <v>PEU-2</v>
          </cell>
          <cell r="B522" t="str">
            <v>VDB-323</v>
          </cell>
          <cell r="C522" t="str">
            <v>HVAC Load 23</v>
          </cell>
          <cell r="D522">
            <v>0</v>
          </cell>
          <cell r="E522" t="str">
            <v>ISBL</v>
          </cell>
          <cell r="J522" t="str">
            <v>3</v>
          </cell>
          <cell r="K522">
            <v>690</v>
          </cell>
          <cell r="L522" t="str">
            <v>AC</v>
          </cell>
          <cell r="M522" t="str">
            <v>F</v>
          </cell>
          <cell r="N522" t="str">
            <v>N</v>
          </cell>
          <cell r="O522">
            <v>0</v>
          </cell>
          <cell r="P522" t="str">
            <v>4850-NDB-305A</v>
          </cell>
          <cell r="Q522" t="str">
            <v>C</v>
          </cell>
          <cell r="S522">
            <v>80</v>
          </cell>
          <cell r="T522">
            <v>100</v>
          </cell>
          <cell r="X522">
            <v>1</v>
          </cell>
          <cell r="Y522">
            <v>0.85</v>
          </cell>
        </row>
        <row r="523">
          <cell r="A523" t="str">
            <v>PEU-2</v>
          </cell>
          <cell r="B523" t="str">
            <v>VDB-324</v>
          </cell>
          <cell r="C523" t="str">
            <v>HVAC Load 24</v>
          </cell>
          <cell r="D523">
            <v>0</v>
          </cell>
          <cell r="E523" t="str">
            <v>ISBL</v>
          </cell>
          <cell r="J523" t="str">
            <v>3</v>
          </cell>
          <cell r="K523">
            <v>690</v>
          </cell>
          <cell r="L523" t="str">
            <v>AC</v>
          </cell>
          <cell r="M523" t="str">
            <v>F</v>
          </cell>
          <cell r="N523" t="str">
            <v>N</v>
          </cell>
          <cell r="O523">
            <v>0</v>
          </cell>
          <cell r="P523" t="str">
            <v>4850-NDB-305A</v>
          </cell>
          <cell r="Q523" t="str">
            <v>C</v>
          </cell>
          <cell r="S523">
            <v>80</v>
          </cell>
          <cell r="T523">
            <v>100</v>
          </cell>
          <cell r="X523">
            <v>1</v>
          </cell>
          <cell r="Y523">
            <v>0.85</v>
          </cell>
        </row>
        <row r="524">
          <cell r="A524" t="str">
            <v>PEU-2</v>
          </cell>
          <cell r="B524" t="str">
            <v>VDB-325</v>
          </cell>
          <cell r="C524" t="str">
            <v>HVAC Load 25</v>
          </cell>
          <cell r="D524">
            <v>0</v>
          </cell>
          <cell r="E524" t="str">
            <v>ISBL</v>
          </cell>
          <cell r="J524" t="str">
            <v>3</v>
          </cell>
          <cell r="K524">
            <v>690</v>
          </cell>
          <cell r="L524" t="str">
            <v>AC</v>
          </cell>
          <cell r="M524" t="str">
            <v>F</v>
          </cell>
          <cell r="N524" t="str">
            <v>N</v>
          </cell>
          <cell r="O524">
            <v>0</v>
          </cell>
          <cell r="P524" t="str">
            <v>4850-NDB-305A</v>
          </cell>
          <cell r="Q524" t="str">
            <v>C</v>
          </cell>
          <cell r="S524">
            <v>80</v>
          </cell>
          <cell r="T524">
            <v>100</v>
          </cell>
          <cell r="X524">
            <v>1</v>
          </cell>
          <cell r="Y524">
            <v>0.85</v>
          </cell>
        </row>
        <row r="525">
          <cell r="A525" t="str">
            <v>PEU-2</v>
          </cell>
          <cell r="B525" t="str">
            <v>VDB-326</v>
          </cell>
          <cell r="C525" t="str">
            <v>HVAC Load 26</v>
          </cell>
          <cell r="D525">
            <v>0</v>
          </cell>
          <cell r="E525" t="str">
            <v>ISBL</v>
          </cell>
          <cell r="J525" t="str">
            <v>3</v>
          </cell>
          <cell r="K525">
            <v>690</v>
          </cell>
          <cell r="L525" t="str">
            <v>AC</v>
          </cell>
          <cell r="M525" t="str">
            <v>F</v>
          </cell>
          <cell r="N525" t="str">
            <v>N</v>
          </cell>
          <cell r="O525">
            <v>0</v>
          </cell>
          <cell r="P525" t="str">
            <v>4850-NDB-305A</v>
          </cell>
          <cell r="Q525" t="str">
            <v>C</v>
          </cell>
          <cell r="S525">
            <v>80</v>
          </cell>
          <cell r="T525">
            <v>100</v>
          </cell>
          <cell r="X525">
            <v>1</v>
          </cell>
          <cell r="Y525">
            <v>0.85</v>
          </cell>
        </row>
        <row r="526">
          <cell r="A526" t="str">
            <v>PEU-2</v>
          </cell>
          <cell r="B526" t="str">
            <v>VDB-327</v>
          </cell>
          <cell r="C526" t="str">
            <v>HVAC Load 27</v>
          </cell>
          <cell r="D526">
            <v>0</v>
          </cell>
          <cell r="E526" t="str">
            <v>ISBL</v>
          </cell>
          <cell r="J526" t="str">
            <v>3</v>
          </cell>
          <cell r="K526">
            <v>690</v>
          </cell>
          <cell r="L526" t="str">
            <v>AC</v>
          </cell>
          <cell r="M526" t="str">
            <v>F</v>
          </cell>
          <cell r="N526" t="str">
            <v>N</v>
          </cell>
          <cell r="O526">
            <v>0</v>
          </cell>
          <cell r="P526" t="str">
            <v>4850-NDB-305A</v>
          </cell>
          <cell r="Q526" t="str">
            <v>C</v>
          </cell>
          <cell r="S526">
            <v>80</v>
          </cell>
          <cell r="T526">
            <v>100</v>
          </cell>
          <cell r="X526">
            <v>1</v>
          </cell>
          <cell r="Y526">
            <v>0.85</v>
          </cell>
        </row>
        <row r="527">
          <cell r="A527" t="str">
            <v>PEU-2</v>
          </cell>
          <cell r="B527" t="str">
            <v>VDB-328</v>
          </cell>
          <cell r="C527" t="str">
            <v>HVAC Load 28</v>
          </cell>
          <cell r="D527">
            <v>0</v>
          </cell>
          <cell r="E527" t="str">
            <v>ISBL</v>
          </cell>
          <cell r="J527" t="str">
            <v>3</v>
          </cell>
          <cell r="K527">
            <v>690</v>
          </cell>
          <cell r="L527" t="str">
            <v>AC</v>
          </cell>
          <cell r="M527" t="str">
            <v>F</v>
          </cell>
          <cell r="N527" t="str">
            <v>N</v>
          </cell>
          <cell r="O527">
            <v>0</v>
          </cell>
          <cell r="P527" t="str">
            <v>4850-NDB-305A</v>
          </cell>
          <cell r="Q527" t="str">
            <v>C</v>
          </cell>
          <cell r="S527">
            <v>80</v>
          </cell>
          <cell r="T527">
            <v>100</v>
          </cell>
          <cell r="X527">
            <v>1</v>
          </cell>
          <cell r="Y527">
            <v>0.85</v>
          </cell>
        </row>
        <row r="528">
          <cell r="A528" t="str">
            <v>PEU-2</v>
          </cell>
          <cell r="B528" t="str">
            <v>VDB-329</v>
          </cell>
          <cell r="C528" t="str">
            <v>HVAC Load 29</v>
          </cell>
          <cell r="D528">
            <v>0</v>
          </cell>
          <cell r="E528" t="str">
            <v>ISBL</v>
          </cell>
          <cell r="J528" t="str">
            <v>3</v>
          </cell>
          <cell r="K528">
            <v>690</v>
          </cell>
          <cell r="L528" t="str">
            <v>AC</v>
          </cell>
          <cell r="M528" t="str">
            <v>F</v>
          </cell>
          <cell r="N528" t="str">
            <v>N</v>
          </cell>
          <cell r="O528">
            <v>0</v>
          </cell>
          <cell r="P528" t="str">
            <v>4850-NDB-305A</v>
          </cell>
          <cell r="Q528" t="str">
            <v>C</v>
          </cell>
          <cell r="S528">
            <v>80</v>
          </cell>
          <cell r="T528">
            <v>100</v>
          </cell>
          <cell r="X528">
            <v>1</v>
          </cell>
          <cell r="Y528">
            <v>0.85</v>
          </cell>
        </row>
        <row r="529">
          <cell r="A529" t="str">
            <v>PEU-2</v>
          </cell>
          <cell r="B529" t="str">
            <v>VDB-330</v>
          </cell>
          <cell r="C529" t="str">
            <v>HVAC Load 30</v>
          </cell>
          <cell r="D529">
            <v>0</v>
          </cell>
          <cell r="E529" t="str">
            <v>ISBL</v>
          </cell>
          <cell r="J529" t="str">
            <v>3</v>
          </cell>
          <cell r="K529">
            <v>690</v>
          </cell>
          <cell r="L529" t="str">
            <v>AC</v>
          </cell>
          <cell r="M529" t="str">
            <v>F</v>
          </cell>
          <cell r="N529" t="str">
            <v>N</v>
          </cell>
          <cell r="O529">
            <v>0</v>
          </cell>
          <cell r="P529" t="str">
            <v>4850-NDB-305A</v>
          </cell>
          <cell r="Q529" t="str">
            <v>C</v>
          </cell>
          <cell r="S529">
            <v>24</v>
          </cell>
          <cell r="T529">
            <v>30</v>
          </cell>
          <cell r="X529">
            <v>1</v>
          </cell>
          <cell r="Y529">
            <v>0.85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 t="str">
            <v>ISBL</v>
          </cell>
          <cell r="J530" t="str">
            <v>3</v>
          </cell>
          <cell r="K530">
            <v>0</v>
          </cell>
          <cell r="L530" t="str">
            <v>AC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S530">
            <v>0</v>
          </cell>
          <cell r="T530">
            <v>0</v>
          </cell>
          <cell r="X530">
            <v>0</v>
          </cell>
          <cell r="Y530">
            <v>0</v>
          </cell>
        </row>
        <row r="531">
          <cell r="A531" t="str">
            <v>PEU-2</v>
          </cell>
          <cell r="B531" t="str">
            <v>VDB-331</v>
          </cell>
          <cell r="C531" t="str">
            <v>HVAC Load 31</v>
          </cell>
          <cell r="D531">
            <v>0</v>
          </cell>
          <cell r="E531" t="str">
            <v>ISBL</v>
          </cell>
          <cell r="J531" t="str">
            <v>3</v>
          </cell>
          <cell r="K531">
            <v>690</v>
          </cell>
          <cell r="L531" t="str">
            <v>AC</v>
          </cell>
          <cell r="M531" t="str">
            <v>F</v>
          </cell>
          <cell r="N531" t="str">
            <v>N</v>
          </cell>
          <cell r="O531">
            <v>0</v>
          </cell>
          <cell r="P531" t="str">
            <v>4850-NDB-305B</v>
          </cell>
          <cell r="Q531" t="str">
            <v>C</v>
          </cell>
          <cell r="S531">
            <v>80</v>
          </cell>
          <cell r="T531">
            <v>100</v>
          </cell>
          <cell r="X531">
            <v>1</v>
          </cell>
          <cell r="Y531">
            <v>0.85</v>
          </cell>
        </row>
        <row r="532">
          <cell r="A532" t="str">
            <v>PEU-2</v>
          </cell>
          <cell r="B532" t="str">
            <v>VDB-332</v>
          </cell>
          <cell r="C532" t="str">
            <v>HVAC Load 32</v>
          </cell>
          <cell r="D532">
            <v>0</v>
          </cell>
          <cell r="E532" t="str">
            <v>ISBL</v>
          </cell>
          <cell r="J532" t="str">
            <v>3</v>
          </cell>
          <cell r="K532">
            <v>690</v>
          </cell>
          <cell r="L532" t="str">
            <v>AC</v>
          </cell>
          <cell r="M532" t="str">
            <v>F</v>
          </cell>
          <cell r="N532" t="str">
            <v>N</v>
          </cell>
          <cell r="O532">
            <v>0</v>
          </cell>
          <cell r="P532" t="str">
            <v>4850-NDB-305B</v>
          </cell>
          <cell r="Q532" t="str">
            <v>C</v>
          </cell>
          <cell r="S532">
            <v>80</v>
          </cell>
          <cell r="T532">
            <v>100</v>
          </cell>
          <cell r="X532">
            <v>1</v>
          </cell>
          <cell r="Y532">
            <v>0.85</v>
          </cell>
        </row>
        <row r="533">
          <cell r="A533" t="str">
            <v>PEU-2</v>
          </cell>
          <cell r="B533" t="str">
            <v>VDB-333</v>
          </cell>
          <cell r="C533" t="str">
            <v>HVAC Load 33</v>
          </cell>
          <cell r="D533">
            <v>0</v>
          </cell>
          <cell r="E533" t="str">
            <v>ISBL</v>
          </cell>
          <cell r="J533" t="str">
            <v>3</v>
          </cell>
          <cell r="K533">
            <v>690</v>
          </cell>
          <cell r="L533" t="str">
            <v>AC</v>
          </cell>
          <cell r="M533" t="str">
            <v>F</v>
          </cell>
          <cell r="N533" t="str">
            <v>N</v>
          </cell>
          <cell r="O533">
            <v>0</v>
          </cell>
          <cell r="P533" t="str">
            <v>4850-NDB-305B</v>
          </cell>
          <cell r="Q533" t="str">
            <v>C</v>
          </cell>
          <cell r="S533">
            <v>80</v>
          </cell>
          <cell r="T533">
            <v>100</v>
          </cell>
          <cell r="X533">
            <v>1</v>
          </cell>
          <cell r="Y533">
            <v>0.85</v>
          </cell>
        </row>
        <row r="534">
          <cell r="A534" t="str">
            <v>PEU-2</v>
          </cell>
          <cell r="B534" t="str">
            <v>VDB-334</v>
          </cell>
          <cell r="C534" t="str">
            <v>HVAC Load 34</v>
          </cell>
          <cell r="D534">
            <v>0</v>
          </cell>
          <cell r="E534" t="str">
            <v>ISBL</v>
          </cell>
          <cell r="J534" t="str">
            <v>3</v>
          </cell>
          <cell r="K534">
            <v>690</v>
          </cell>
          <cell r="L534" t="str">
            <v>AC</v>
          </cell>
          <cell r="M534" t="str">
            <v>F</v>
          </cell>
          <cell r="N534" t="str">
            <v>N</v>
          </cell>
          <cell r="O534">
            <v>0</v>
          </cell>
          <cell r="P534" t="str">
            <v>4850-NDB-305B</v>
          </cell>
          <cell r="Q534" t="str">
            <v>C</v>
          </cell>
          <cell r="S534">
            <v>80</v>
          </cell>
          <cell r="T534">
            <v>100</v>
          </cell>
          <cell r="X534">
            <v>1</v>
          </cell>
          <cell r="Y534">
            <v>0.85</v>
          </cell>
        </row>
        <row r="535">
          <cell r="A535" t="str">
            <v>PEU-2</v>
          </cell>
          <cell r="B535" t="str">
            <v>VDB-335</v>
          </cell>
          <cell r="C535" t="str">
            <v>HVAC Load 35</v>
          </cell>
          <cell r="D535">
            <v>0</v>
          </cell>
          <cell r="E535" t="str">
            <v>ISBL</v>
          </cell>
          <cell r="J535" t="str">
            <v>3</v>
          </cell>
          <cell r="K535">
            <v>690</v>
          </cell>
          <cell r="L535" t="str">
            <v>AC</v>
          </cell>
          <cell r="M535" t="str">
            <v>F</v>
          </cell>
          <cell r="N535" t="str">
            <v>N</v>
          </cell>
          <cell r="O535">
            <v>0</v>
          </cell>
          <cell r="P535" t="str">
            <v>4850-NDB-305B</v>
          </cell>
          <cell r="Q535" t="str">
            <v>C</v>
          </cell>
          <cell r="S535">
            <v>80</v>
          </cell>
          <cell r="T535">
            <v>100</v>
          </cell>
          <cell r="X535">
            <v>1</v>
          </cell>
          <cell r="Y535">
            <v>0.85</v>
          </cell>
        </row>
        <row r="536">
          <cell r="A536" t="str">
            <v>PEU-2</v>
          </cell>
          <cell r="B536" t="str">
            <v>VDB-336</v>
          </cell>
          <cell r="C536" t="str">
            <v>HVAC Load 36</v>
          </cell>
          <cell r="D536">
            <v>0</v>
          </cell>
          <cell r="E536" t="str">
            <v>ISBL</v>
          </cell>
          <cell r="J536" t="str">
            <v>3</v>
          </cell>
          <cell r="K536">
            <v>690</v>
          </cell>
          <cell r="L536" t="str">
            <v>AC</v>
          </cell>
          <cell r="M536" t="str">
            <v>F</v>
          </cell>
          <cell r="N536" t="str">
            <v>N</v>
          </cell>
          <cell r="O536">
            <v>0</v>
          </cell>
          <cell r="P536" t="str">
            <v>4850-NDB-305B</v>
          </cell>
          <cell r="Q536" t="str">
            <v>C</v>
          </cell>
          <cell r="S536">
            <v>80</v>
          </cell>
          <cell r="T536">
            <v>100</v>
          </cell>
          <cell r="X536">
            <v>1</v>
          </cell>
          <cell r="Y536">
            <v>0.85</v>
          </cell>
        </row>
        <row r="537">
          <cell r="A537" t="str">
            <v>PEU-2</v>
          </cell>
          <cell r="B537" t="str">
            <v>VDB-337</v>
          </cell>
          <cell r="C537" t="str">
            <v>HVAC Load 37</v>
          </cell>
          <cell r="D537">
            <v>0</v>
          </cell>
          <cell r="E537" t="str">
            <v>ISBL</v>
          </cell>
          <cell r="J537" t="str">
            <v>3</v>
          </cell>
          <cell r="K537">
            <v>690</v>
          </cell>
          <cell r="L537" t="str">
            <v>AC</v>
          </cell>
          <cell r="M537" t="str">
            <v>F</v>
          </cell>
          <cell r="N537" t="str">
            <v>N</v>
          </cell>
          <cell r="O537">
            <v>0</v>
          </cell>
          <cell r="P537" t="str">
            <v>4850-NDB-305B</v>
          </cell>
          <cell r="Q537" t="str">
            <v>C</v>
          </cell>
          <cell r="S537">
            <v>80</v>
          </cell>
          <cell r="T537">
            <v>100</v>
          </cell>
          <cell r="X537">
            <v>1</v>
          </cell>
          <cell r="Y537">
            <v>0.85</v>
          </cell>
        </row>
        <row r="538">
          <cell r="A538" t="str">
            <v>PEU-2</v>
          </cell>
          <cell r="B538" t="str">
            <v>VDB-338</v>
          </cell>
          <cell r="C538" t="str">
            <v>HVAC Load 38</v>
          </cell>
          <cell r="D538">
            <v>0</v>
          </cell>
          <cell r="E538" t="str">
            <v>ISBL</v>
          </cell>
          <cell r="J538" t="str">
            <v>3</v>
          </cell>
          <cell r="K538">
            <v>690</v>
          </cell>
          <cell r="L538" t="str">
            <v>AC</v>
          </cell>
          <cell r="M538" t="str">
            <v>F</v>
          </cell>
          <cell r="N538" t="str">
            <v>N</v>
          </cell>
          <cell r="O538">
            <v>0</v>
          </cell>
          <cell r="P538" t="str">
            <v>4850-NDB-305B</v>
          </cell>
          <cell r="Q538" t="str">
            <v>C</v>
          </cell>
          <cell r="S538">
            <v>80</v>
          </cell>
          <cell r="T538">
            <v>100</v>
          </cell>
          <cell r="X538">
            <v>1</v>
          </cell>
          <cell r="Y538">
            <v>0.85</v>
          </cell>
        </row>
        <row r="539">
          <cell r="A539" t="str">
            <v>PEU-2</v>
          </cell>
          <cell r="B539" t="str">
            <v>VDB-339</v>
          </cell>
          <cell r="C539" t="str">
            <v>HVAC Load 39</v>
          </cell>
          <cell r="D539">
            <v>0</v>
          </cell>
          <cell r="E539" t="str">
            <v>ISBL</v>
          </cell>
          <cell r="J539" t="str">
            <v>3</v>
          </cell>
          <cell r="K539">
            <v>690</v>
          </cell>
          <cell r="L539" t="str">
            <v>AC</v>
          </cell>
          <cell r="M539" t="str">
            <v>F</v>
          </cell>
          <cell r="N539" t="str">
            <v>N</v>
          </cell>
          <cell r="O539">
            <v>0</v>
          </cell>
          <cell r="P539" t="str">
            <v>4850-NDB-305B</v>
          </cell>
          <cell r="Q539" t="str">
            <v>C</v>
          </cell>
          <cell r="S539">
            <v>80</v>
          </cell>
          <cell r="T539">
            <v>100</v>
          </cell>
          <cell r="X539">
            <v>1</v>
          </cell>
          <cell r="Y539">
            <v>0.85</v>
          </cell>
        </row>
        <row r="540">
          <cell r="A540" t="str">
            <v>PEU-2</v>
          </cell>
          <cell r="B540" t="str">
            <v>VDB-340</v>
          </cell>
          <cell r="C540" t="str">
            <v>HVAC Load 40</v>
          </cell>
          <cell r="D540">
            <v>0</v>
          </cell>
          <cell r="E540" t="str">
            <v>ISBL</v>
          </cell>
          <cell r="J540" t="str">
            <v>3</v>
          </cell>
          <cell r="K540">
            <v>690</v>
          </cell>
          <cell r="L540" t="str">
            <v>AC</v>
          </cell>
          <cell r="M540" t="str">
            <v>F</v>
          </cell>
          <cell r="N540" t="str">
            <v>N</v>
          </cell>
          <cell r="O540">
            <v>0</v>
          </cell>
          <cell r="P540" t="str">
            <v>4850-NDB-305B</v>
          </cell>
          <cell r="Q540" t="str">
            <v>C</v>
          </cell>
          <cell r="S540">
            <v>24</v>
          </cell>
          <cell r="T540">
            <v>30</v>
          </cell>
          <cell r="X540">
            <v>1</v>
          </cell>
          <cell r="Y540">
            <v>0.85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 t="str">
            <v>ISBL</v>
          </cell>
          <cell r="J541" t="str">
            <v>3</v>
          </cell>
          <cell r="K541">
            <v>0</v>
          </cell>
          <cell r="L541" t="str">
            <v>AC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S541">
            <v>0</v>
          </cell>
          <cell r="T541">
            <v>0</v>
          </cell>
          <cell r="X541">
            <v>0</v>
          </cell>
          <cell r="Y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 t="str">
            <v>ISBL</v>
          </cell>
          <cell r="J542" t="str">
            <v>3</v>
          </cell>
          <cell r="K542">
            <v>0</v>
          </cell>
          <cell r="L542" t="str">
            <v>AC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S542">
            <v>0</v>
          </cell>
          <cell r="T542">
            <v>0</v>
          </cell>
          <cell r="X542">
            <v>0</v>
          </cell>
          <cell r="Y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 t="str">
            <v>ISBL</v>
          </cell>
          <cell r="J543" t="str">
            <v>3</v>
          </cell>
          <cell r="K543">
            <v>0</v>
          </cell>
          <cell r="L543" t="str">
            <v>AC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S543">
            <v>0</v>
          </cell>
          <cell r="T543">
            <v>0</v>
          </cell>
          <cell r="X543">
            <v>0</v>
          </cell>
          <cell r="Y543">
            <v>0</v>
          </cell>
        </row>
        <row r="544">
          <cell r="A544" t="str">
            <v>LAO</v>
          </cell>
          <cell r="B544" t="str">
            <v>VDB-341</v>
          </cell>
          <cell r="C544" t="str">
            <v>HVAC Load 1</v>
          </cell>
          <cell r="D544">
            <v>0</v>
          </cell>
          <cell r="E544" t="str">
            <v>ISBL</v>
          </cell>
          <cell r="J544" t="str">
            <v>3</v>
          </cell>
          <cell r="K544">
            <v>690</v>
          </cell>
          <cell r="L544" t="str">
            <v>AC</v>
          </cell>
          <cell r="M544" t="str">
            <v>F</v>
          </cell>
          <cell r="N544" t="str">
            <v>N</v>
          </cell>
          <cell r="O544">
            <v>0</v>
          </cell>
          <cell r="P544" t="str">
            <v>4850-NDB-306A</v>
          </cell>
          <cell r="Q544" t="str">
            <v>C</v>
          </cell>
          <cell r="S544">
            <v>80</v>
          </cell>
          <cell r="T544">
            <v>100</v>
          </cell>
          <cell r="X544">
            <v>1</v>
          </cell>
          <cell r="Y544">
            <v>0.85</v>
          </cell>
        </row>
        <row r="545">
          <cell r="A545" t="str">
            <v>LAO</v>
          </cell>
          <cell r="B545" t="str">
            <v>VDB-342</v>
          </cell>
          <cell r="C545" t="str">
            <v>HVAC Load 2</v>
          </cell>
          <cell r="D545">
            <v>0</v>
          </cell>
          <cell r="E545" t="str">
            <v>ISBL</v>
          </cell>
          <cell r="J545" t="str">
            <v>3</v>
          </cell>
          <cell r="K545">
            <v>690</v>
          </cell>
          <cell r="L545" t="str">
            <v>AC</v>
          </cell>
          <cell r="M545" t="str">
            <v>F</v>
          </cell>
          <cell r="N545" t="str">
            <v>N</v>
          </cell>
          <cell r="O545">
            <v>0</v>
          </cell>
          <cell r="P545" t="str">
            <v>4850-NDB-306B</v>
          </cell>
          <cell r="Q545" t="str">
            <v>C</v>
          </cell>
          <cell r="S545">
            <v>80</v>
          </cell>
          <cell r="T545">
            <v>100</v>
          </cell>
          <cell r="X545">
            <v>1</v>
          </cell>
          <cell r="Y545">
            <v>0.85</v>
          </cell>
        </row>
        <row r="546">
          <cell r="A546" t="str">
            <v>LAO</v>
          </cell>
          <cell r="B546" t="str">
            <v>VDB-343</v>
          </cell>
          <cell r="C546" t="str">
            <v>HVAC Load 3</v>
          </cell>
          <cell r="D546">
            <v>0</v>
          </cell>
          <cell r="E546" t="str">
            <v>ISBL</v>
          </cell>
          <cell r="J546" t="str">
            <v>3</v>
          </cell>
          <cell r="K546">
            <v>690</v>
          </cell>
          <cell r="L546" t="str">
            <v>AC</v>
          </cell>
          <cell r="M546" t="str">
            <v>F</v>
          </cell>
          <cell r="N546" t="str">
            <v>N</v>
          </cell>
          <cell r="O546">
            <v>0</v>
          </cell>
          <cell r="P546" t="str">
            <v>4850-NDB-306A</v>
          </cell>
          <cell r="Q546" t="str">
            <v>C</v>
          </cell>
          <cell r="S546">
            <v>80</v>
          </cell>
          <cell r="T546">
            <v>100</v>
          </cell>
          <cell r="X546">
            <v>1</v>
          </cell>
          <cell r="Y546">
            <v>0.85</v>
          </cell>
        </row>
        <row r="547">
          <cell r="A547" t="str">
            <v>LAO</v>
          </cell>
          <cell r="B547" t="str">
            <v>VDB-344</v>
          </cell>
          <cell r="C547" t="str">
            <v>HVAC Load 4</v>
          </cell>
          <cell r="D547">
            <v>0</v>
          </cell>
          <cell r="E547" t="str">
            <v>ISBL</v>
          </cell>
          <cell r="J547" t="str">
            <v>3</v>
          </cell>
          <cell r="K547">
            <v>690</v>
          </cell>
          <cell r="L547" t="str">
            <v>AC</v>
          </cell>
          <cell r="M547" t="str">
            <v>F</v>
          </cell>
          <cell r="N547" t="str">
            <v>N</v>
          </cell>
          <cell r="O547">
            <v>0</v>
          </cell>
          <cell r="P547" t="str">
            <v>4850-NDB-306B</v>
          </cell>
          <cell r="Q547" t="str">
            <v>C</v>
          </cell>
          <cell r="S547">
            <v>80</v>
          </cell>
          <cell r="T547">
            <v>100</v>
          </cell>
          <cell r="X547">
            <v>1</v>
          </cell>
          <cell r="Y547">
            <v>0.85</v>
          </cell>
        </row>
        <row r="548">
          <cell r="A548" t="str">
            <v>LAO</v>
          </cell>
          <cell r="B548" t="str">
            <v>VDB-345</v>
          </cell>
          <cell r="C548" t="str">
            <v>HVAC Load 5</v>
          </cell>
          <cell r="D548">
            <v>0</v>
          </cell>
          <cell r="E548" t="str">
            <v>ISBL</v>
          </cell>
          <cell r="J548" t="str">
            <v>3</v>
          </cell>
          <cell r="K548">
            <v>690</v>
          </cell>
          <cell r="L548" t="str">
            <v>AC</v>
          </cell>
          <cell r="M548" t="str">
            <v>F</v>
          </cell>
          <cell r="N548" t="str">
            <v>N</v>
          </cell>
          <cell r="O548">
            <v>0</v>
          </cell>
          <cell r="P548" t="str">
            <v>4850-NDB-306A</v>
          </cell>
          <cell r="Q548" t="str">
            <v>C</v>
          </cell>
          <cell r="S548">
            <v>80</v>
          </cell>
          <cell r="T548">
            <v>100</v>
          </cell>
          <cell r="X548">
            <v>1</v>
          </cell>
          <cell r="Y548">
            <v>0.85</v>
          </cell>
        </row>
        <row r="549">
          <cell r="A549" t="str">
            <v>LAO</v>
          </cell>
          <cell r="B549" t="str">
            <v>VDB-346</v>
          </cell>
          <cell r="C549" t="str">
            <v>HVAC Load 6</v>
          </cell>
          <cell r="D549">
            <v>0</v>
          </cell>
          <cell r="E549" t="str">
            <v>ISBL</v>
          </cell>
          <cell r="J549" t="str">
            <v>3</v>
          </cell>
          <cell r="K549">
            <v>690</v>
          </cell>
          <cell r="L549" t="str">
            <v>AC</v>
          </cell>
          <cell r="M549" t="str">
            <v>F</v>
          </cell>
          <cell r="N549" t="str">
            <v>N</v>
          </cell>
          <cell r="O549">
            <v>0</v>
          </cell>
          <cell r="P549" t="str">
            <v>4850-NDB-306B</v>
          </cell>
          <cell r="Q549" t="str">
            <v>C</v>
          </cell>
          <cell r="S549">
            <v>80</v>
          </cell>
          <cell r="T549">
            <v>100</v>
          </cell>
          <cell r="X549">
            <v>1</v>
          </cell>
          <cell r="Y549">
            <v>0.85</v>
          </cell>
        </row>
        <row r="550">
          <cell r="A550" t="str">
            <v>LAO</v>
          </cell>
          <cell r="B550" t="str">
            <v>VDB-347</v>
          </cell>
          <cell r="C550" t="str">
            <v>HVAC Load 7</v>
          </cell>
          <cell r="D550">
            <v>0</v>
          </cell>
          <cell r="E550" t="str">
            <v>ISBL</v>
          </cell>
          <cell r="J550" t="str">
            <v>3</v>
          </cell>
          <cell r="K550">
            <v>690</v>
          </cell>
          <cell r="L550" t="str">
            <v>AC</v>
          </cell>
          <cell r="M550" t="str">
            <v>F</v>
          </cell>
          <cell r="N550" t="str">
            <v>N</v>
          </cell>
          <cell r="O550">
            <v>0</v>
          </cell>
          <cell r="P550" t="str">
            <v>4850-NDB-306A</v>
          </cell>
          <cell r="Q550" t="str">
            <v>C</v>
          </cell>
          <cell r="S550">
            <v>80</v>
          </cell>
          <cell r="T550">
            <v>100</v>
          </cell>
          <cell r="X550">
            <v>1</v>
          </cell>
          <cell r="Y550">
            <v>0.85</v>
          </cell>
        </row>
        <row r="551">
          <cell r="A551" t="str">
            <v>LAO</v>
          </cell>
          <cell r="B551" t="str">
            <v>VDB-348</v>
          </cell>
          <cell r="C551" t="str">
            <v>HVAC Load 8</v>
          </cell>
          <cell r="D551">
            <v>0</v>
          </cell>
          <cell r="E551" t="str">
            <v>ISBL</v>
          </cell>
          <cell r="J551" t="str">
            <v>3</v>
          </cell>
          <cell r="K551">
            <v>690</v>
          </cell>
          <cell r="L551" t="str">
            <v>AC</v>
          </cell>
          <cell r="M551" t="str">
            <v>F</v>
          </cell>
          <cell r="N551" t="str">
            <v>N</v>
          </cell>
          <cell r="O551">
            <v>0</v>
          </cell>
          <cell r="P551" t="str">
            <v>4850-NDB-306B</v>
          </cell>
          <cell r="Q551" t="str">
            <v>C</v>
          </cell>
          <cell r="S551">
            <v>80</v>
          </cell>
          <cell r="T551">
            <v>100</v>
          </cell>
          <cell r="X551">
            <v>1</v>
          </cell>
          <cell r="Y551">
            <v>0.85</v>
          </cell>
        </row>
        <row r="552">
          <cell r="A552" t="str">
            <v>LAO</v>
          </cell>
          <cell r="B552" t="str">
            <v>VDB-349</v>
          </cell>
          <cell r="C552" t="str">
            <v>HVAC Load 9</v>
          </cell>
          <cell r="D552">
            <v>0</v>
          </cell>
          <cell r="E552" t="str">
            <v>ISBL</v>
          </cell>
          <cell r="J552" t="str">
            <v>3</v>
          </cell>
          <cell r="K552">
            <v>690</v>
          </cell>
          <cell r="L552" t="str">
            <v>AC</v>
          </cell>
          <cell r="M552" t="str">
            <v>F</v>
          </cell>
          <cell r="N552" t="str">
            <v>N</v>
          </cell>
          <cell r="O552">
            <v>0</v>
          </cell>
          <cell r="P552" t="str">
            <v>4850-NDB-306A</v>
          </cell>
          <cell r="Q552" t="str">
            <v>C</v>
          </cell>
          <cell r="S552">
            <v>80</v>
          </cell>
          <cell r="T552">
            <v>100</v>
          </cell>
          <cell r="X552">
            <v>1</v>
          </cell>
          <cell r="Y552">
            <v>0.85</v>
          </cell>
        </row>
        <row r="553">
          <cell r="A553" t="str">
            <v>LAO</v>
          </cell>
          <cell r="B553" t="str">
            <v>VDB-350</v>
          </cell>
          <cell r="C553" t="str">
            <v>HVAC Load 10</v>
          </cell>
          <cell r="D553">
            <v>0</v>
          </cell>
          <cell r="E553" t="str">
            <v>ISBL</v>
          </cell>
          <cell r="J553" t="str">
            <v>3</v>
          </cell>
          <cell r="K553">
            <v>690</v>
          </cell>
          <cell r="L553" t="str">
            <v>AC</v>
          </cell>
          <cell r="M553" t="str">
            <v>F</v>
          </cell>
          <cell r="N553" t="str">
            <v>N</v>
          </cell>
          <cell r="O553">
            <v>0</v>
          </cell>
          <cell r="P553" t="str">
            <v>4850-NDB-306B</v>
          </cell>
          <cell r="Q553" t="str">
            <v>C</v>
          </cell>
          <cell r="S553">
            <v>80</v>
          </cell>
          <cell r="T553">
            <v>100</v>
          </cell>
          <cell r="X553">
            <v>1</v>
          </cell>
          <cell r="Y553">
            <v>0.85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 t="str">
            <v>ISBL</v>
          </cell>
          <cell r="J554" t="str">
            <v>3</v>
          </cell>
          <cell r="K554">
            <v>0</v>
          </cell>
          <cell r="L554" t="str">
            <v>AC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S554">
            <v>0</v>
          </cell>
          <cell r="T554">
            <v>0</v>
          </cell>
          <cell r="X554">
            <v>0</v>
          </cell>
          <cell r="Y554">
            <v>0</v>
          </cell>
        </row>
        <row r="555">
          <cell r="A555" t="str">
            <v>LAO</v>
          </cell>
          <cell r="B555" t="str">
            <v>VDB-351</v>
          </cell>
          <cell r="C555" t="str">
            <v>HVAC Load 11</v>
          </cell>
          <cell r="D555">
            <v>0</v>
          </cell>
          <cell r="E555" t="str">
            <v>ISBL</v>
          </cell>
          <cell r="J555" t="str">
            <v>3</v>
          </cell>
          <cell r="K555">
            <v>690</v>
          </cell>
          <cell r="L555" t="str">
            <v>AC</v>
          </cell>
          <cell r="M555" t="str">
            <v>F</v>
          </cell>
          <cell r="N555" t="str">
            <v>N</v>
          </cell>
          <cell r="O555">
            <v>0</v>
          </cell>
          <cell r="P555" t="str">
            <v>4850-NDB-306A</v>
          </cell>
          <cell r="Q555" t="str">
            <v>C</v>
          </cell>
          <cell r="S555">
            <v>80</v>
          </cell>
          <cell r="T555">
            <v>100</v>
          </cell>
          <cell r="X555">
            <v>1</v>
          </cell>
          <cell r="Y555">
            <v>0.85</v>
          </cell>
        </row>
        <row r="556">
          <cell r="A556" t="str">
            <v>LAO</v>
          </cell>
          <cell r="B556" t="str">
            <v>VDB-352</v>
          </cell>
          <cell r="C556" t="str">
            <v>HVAC Load 12</v>
          </cell>
          <cell r="D556">
            <v>0</v>
          </cell>
          <cell r="E556" t="str">
            <v>ISBL</v>
          </cell>
          <cell r="J556" t="str">
            <v>3</v>
          </cell>
          <cell r="K556">
            <v>690</v>
          </cell>
          <cell r="L556" t="str">
            <v>AC</v>
          </cell>
          <cell r="M556" t="str">
            <v>F</v>
          </cell>
          <cell r="N556" t="str">
            <v>N</v>
          </cell>
          <cell r="O556">
            <v>0</v>
          </cell>
          <cell r="P556" t="str">
            <v>4850-NDB-306B</v>
          </cell>
          <cell r="Q556" t="str">
            <v>C</v>
          </cell>
          <cell r="S556">
            <v>80</v>
          </cell>
          <cell r="T556">
            <v>100</v>
          </cell>
          <cell r="X556">
            <v>1</v>
          </cell>
          <cell r="Y556">
            <v>0.85</v>
          </cell>
        </row>
        <row r="557">
          <cell r="A557" t="str">
            <v>LAO</v>
          </cell>
          <cell r="B557" t="str">
            <v>VDB-353</v>
          </cell>
          <cell r="C557" t="str">
            <v>HVAC Load 13</v>
          </cell>
          <cell r="D557">
            <v>0</v>
          </cell>
          <cell r="E557" t="str">
            <v>ISBL</v>
          </cell>
          <cell r="J557" t="str">
            <v>3</v>
          </cell>
          <cell r="K557">
            <v>690</v>
          </cell>
          <cell r="L557" t="str">
            <v>AC</v>
          </cell>
          <cell r="M557" t="str">
            <v>F</v>
          </cell>
          <cell r="N557" t="str">
            <v>N</v>
          </cell>
          <cell r="O557">
            <v>0</v>
          </cell>
          <cell r="P557" t="str">
            <v>4850-NDB-306A</v>
          </cell>
          <cell r="Q557" t="str">
            <v>C</v>
          </cell>
          <cell r="S557">
            <v>80</v>
          </cell>
          <cell r="T557">
            <v>100</v>
          </cell>
          <cell r="X557">
            <v>1</v>
          </cell>
          <cell r="Y557">
            <v>0.85</v>
          </cell>
        </row>
        <row r="558">
          <cell r="A558" t="str">
            <v>LAO</v>
          </cell>
          <cell r="B558" t="str">
            <v>VDB-354</v>
          </cell>
          <cell r="C558" t="str">
            <v>HVAC Load 14</v>
          </cell>
          <cell r="D558">
            <v>0</v>
          </cell>
          <cell r="E558" t="str">
            <v>ISBL</v>
          </cell>
          <cell r="J558" t="str">
            <v>3</v>
          </cell>
          <cell r="K558">
            <v>690</v>
          </cell>
          <cell r="L558" t="str">
            <v>AC</v>
          </cell>
          <cell r="M558" t="str">
            <v>F</v>
          </cell>
          <cell r="N558" t="str">
            <v>N</v>
          </cell>
          <cell r="O558">
            <v>0</v>
          </cell>
          <cell r="P558" t="str">
            <v>4850-NDB-306B</v>
          </cell>
          <cell r="Q558" t="str">
            <v>C</v>
          </cell>
          <cell r="S558">
            <v>80</v>
          </cell>
          <cell r="T558">
            <v>100</v>
          </cell>
          <cell r="X558">
            <v>1</v>
          </cell>
          <cell r="Y558">
            <v>0.85</v>
          </cell>
        </row>
        <row r="559">
          <cell r="A559" t="str">
            <v>LAO</v>
          </cell>
          <cell r="B559" t="str">
            <v>VDB-355</v>
          </cell>
          <cell r="C559" t="str">
            <v>HVAC Load 15</v>
          </cell>
          <cell r="D559">
            <v>0</v>
          </cell>
          <cell r="E559" t="str">
            <v>ISBL</v>
          </cell>
          <cell r="J559" t="str">
            <v>3</v>
          </cell>
          <cell r="K559">
            <v>690</v>
          </cell>
          <cell r="L559" t="str">
            <v>AC</v>
          </cell>
          <cell r="M559" t="str">
            <v>F</v>
          </cell>
          <cell r="N559" t="str">
            <v>N</v>
          </cell>
          <cell r="O559">
            <v>0</v>
          </cell>
          <cell r="P559" t="str">
            <v>4850-NDB-306A</v>
          </cell>
          <cell r="Q559" t="str">
            <v>C</v>
          </cell>
          <cell r="S559">
            <v>80</v>
          </cell>
          <cell r="T559">
            <v>100</v>
          </cell>
          <cell r="X559">
            <v>1</v>
          </cell>
          <cell r="Y559">
            <v>0.85</v>
          </cell>
        </row>
        <row r="560">
          <cell r="A560" t="str">
            <v>LAO</v>
          </cell>
          <cell r="B560" t="str">
            <v>VDB-356</v>
          </cell>
          <cell r="C560" t="str">
            <v>HVAC Load 16</v>
          </cell>
          <cell r="D560">
            <v>0</v>
          </cell>
          <cell r="E560" t="str">
            <v>ISBL</v>
          </cell>
          <cell r="J560" t="str">
            <v>3</v>
          </cell>
          <cell r="K560">
            <v>690</v>
          </cell>
          <cell r="L560" t="str">
            <v>AC</v>
          </cell>
          <cell r="M560" t="str">
            <v>F</v>
          </cell>
          <cell r="N560" t="str">
            <v>N</v>
          </cell>
          <cell r="O560">
            <v>0</v>
          </cell>
          <cell r="P560" t="str">
            <v>4850-NDB-306B</v>
          </cell>
          <cell r="Q560" t="str">
            <v>C</v>
          </cell>
          <cell r="S560">
            <v>80</v>
          </cell>
          <cell r="T560">
            <v>100</v>
          </cell>
          <cell r="X560">
            <v>1</v>
          </cell>
          <cell r="Y560">
            <v>0.85</v>
          </cell>
        </row>
        <row r="561">
          <cell r="A561" t="str">
            <v>LAO</v>
          </cell>
          <cell r="B561" t="str">
            <v>VDB-357</v>
          </cell>
          <cell r="C561" t="str">
            <v>HVAC Load 17</v>
          </cell>
          <cell r="D561">
            <v>0</v>
          </cell>
          <cell r="E561" t="str">
            <v>ISBL</v>
          </cell>
          <cell r="J561" t="str">
            <v>3</v>
          </cell>
          <cell r="K561">
            <v>690</v>
          </cell>
          <cell r="L561" t="str">
            <v>AC</v>
          </cell>
          <cell r="M561" t="str">
            <v>F</v>
          </cell>
          <cell r="N561" t="str">
            <v>N</v>
          </cell>
          <cell r="O561">
            <v>0</v>
          </cell>
          <cell r="P561" t="str">
            <v>4850-NDB-306A</v>
          </cell>
          <cell r="Q561" t="str">
            <v>C</v>
          </cell>
          <cell r="S561">
            <v>80</v>
          </cell>
          <cell r="T561">
            <v>100</v>
          </cell>
          <cell r="X561">
            <v>1</v>
          </cell>
          <cell r="Y561">
            <v>0.85</v>
          </cell>
        </row>
        <row r="562">
          <cell r="A562" t="str">
            <v>LAO</v>
          </cell>
          <cell r="B562" t="str">
            <v>VDB-358</v>
          </cell>
          <cell r="C562" t="str">
            <v>HVAC Load 18</v>
          </cell>
          <cell r="D562">
            <v>0</v>
          </cell>
          <cell r="E562" t="str">
            <v>ISBL</v>
          </cell>
          <cell r="J562" t="str">
            <v>3</v>
          </cell>
          <cell r="K562">
            <v>690</v>
          </cell>
          <cell r="L562" t="str">
            <v>AC</v>
          </cell>
          <cell r="M562" t="str">
            <v>F</v>
          </cell>
          <cell r="N562" t="str">
            <v>N</v>
          </cell>
          <cell r="O562">
            <v>0</v>
          </cell>
          <cell r="P562" t="str">
            <v>4850-NDB-306B</v>
          </cell>
          <cell r="Q562" t="str">
            <v>C</v>
          </cell>
          <cell r="S562">
            <v>80</v>
          </cell>
          <cell r="T562">
            <v>100</v>
          </cell>
          <cell r="X562">
            <v>1</v>
          </cell>
          <cell r="Y562">
            <v>0.85</v>
          </cell>
        </row>
        <row r="563">
          <cell r="A563" t="str">
            <v>LAO</v>
          </cell>
          <cell r="B563" t="str">
            <v>VDB-359</v>
          </cell>
          <cell r="C563" t="str">
            <v>HVAC Load 19</v>
          </cell>
          <cell r="D563">
            <v>0</v>
          </cell>
          <cell r="E563" t="str">
            <v>ISBL</v>
          </cell>
          <cell r="J563" t="str">
            <v>3</v>
          </cell>
          <cell r="K563">
            <v>690</v>
          </cell>
          <cell r="L563" t="str">
            <v>AC</v>
          </cell>
          <cell r="M563" t="str">
            <v>F</v>
          </cell>
          <cell r="N563" t="str">
            <v>N</v>
          </cell>
          <cell r="O563">
            <v>0</v>
          </cell>
          <cell r="P563" t="str">
            <v>4850-NDB-306A</v>
          </cell>
          <cell r="Q563" t="str">
            <v>C</v>
          </cell>
          <cell r="S563">
            <v>40</v>
          </cell>
          <cell r="T563">
            <v>50</v>
          </cell>
          <cell r="X563">
            <v>1</v>
          </cell>
          <cell r="Y563">
            <v>0.85</v>
          </cell>
        </row>
        <row r="564">
          <cell r="A564" t="str">
            <v>LAO</v>
          </cell>
          <cell r="B564" t="str">
            <v>VDB-360</v>
          </cell>
          <cell r="C564" t="str">
            <v>HVAC Load 20</v>
          </cell>
          <cell r="D564">
            <v>0</v>
          </cell>
          <cell r="E564" t="str">
            <v>ISBL</v>
          </cell>
          <cell r="J564" t="str">
            <v>3</v>
          </cell>
          <cell r="K564">
            <v>690</v>
          </cell>
          <cell r="L564" t="str">
            <v>AC</v>
          </cell>
          <cell r="M564" t="str">
            <v>F</v>
          </cell>
          <cell r="N564" t="str">
            <v>N</v>
          </cell>
          <cell r="O564">
            <v>0</v>
          </cell>
          <cell r="P564" t="str">
            <v>4850-NDB-306B</v>
          </cell>
          <cell r="Q564" t="str">
            <v>C</v>
          </cell>
          <cell r="S564">
            <v>40</v>
          </cell>
          <cell r="T564">
            <v>50</v>
          </cell>
          <cell r="X564">
            <v>1</v>
          </cell>
          <cell r="Y564">
            <v>0.85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 t="str">
            <v>ISBL</v>
          </cell>
          <cell r="J565" t="str">
            <v>3</v>
          </cell>
          <cell r="K565">
            <v>0</v>
          </cell>
          <cell r="L565" t="str">
            <v>AC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S565">
            <v>0</v>
          </cell>
          <cell r="T565">
            <v>0</v>
          </cell>
          <cell r="X565">
            <v>0</v>
          </cell>
          <cell r="Y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 t="str">
            <v>ISBL</v>
          </cell>
          <cell r="J566" t="str">
            <v>3</v>
          </cell>
          <cell r="K566">
            <v>0</v>
          </cell>
          <cell r="L566" t="str">
            <v>AC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T566">
            <v>0</v>
          </cell>
          <cell r="X566">
            <v>0</v>
          </cell>
          <cell r="Y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 t="str">
            <v>ISBL</v>
          </cell>
          <cell r="J567" t="str">
            <v>3</v>
          </cell>
          <cell r="K567">
            <v>0</v>
          </cell>
          <cell r="L567" t="str">
            <v>AC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S567">
            <v>0</v>
          </cell>
          <cell r="T567">
            <v>0</v>
          </cell>
          <cell r="X567">
            <v>0</v>
          </cell>
          <cell r="Y567">
            <v>0</v>
          </cell>
        </row>
        <row r="568">
          <cell r="A568" t="str">
            <v>LAO</v>
          </cell>
          <cell r="B568" t="str">
            <v>VDB-361</v>
          </cell>
          <cell r="C568" t="str">
            <v>HVAC Load 21</v>
          </cell>
          <cell r="D568">
            <v>0</v>
          </cell>
          <cell r="E568" t="str">
            <v>ISBL</v>
          </cell>
          <cell r="J568" t="str">
            <v>3</v>
          </cell>
          <cell r="K568">
            <v>690</v>
          </cell>
          <cell r="L568" t="str">
            <v>AC</v>
          </cell>
          <cell r="M568" t="str">
            <v>F</v>
          </cell>
          <cell r="N568" t="str">
            <v>N</v>
          </cell>
          <cell r="O568">
            <v>0</v>
          </cell>
          <cell r="P568" t="str">
            <v>4850-NDB-307A</v>
          </cell>
          <cell r="Q568" t="str">
            <v>C</v>
          </cell>
          <cell r="S568">
            <v>80</v>
          </cell>
          <cell r="T568">
            <v>100</v>
          </cell>
          <cell r="X568">
            <v>1</v>
          </cell>
          <cell r="Y568">
            <v>0.85</v>
          </cell>
        </row>
        <row r="569">
          <cell r="A569" t="str">
            <v>LAO</v>
          </cell>
          <cell r="B569" t="str">
            <v>VDB-362</v>
          </cell>
          <cell r="C569" t="str">
            <v>HVAC Load 22</v>
          </cell>
          <cell r="D569">
            <v>0</v>
          </cell>
          <cell r="E569" t="str">
            <v>ISBL</v>
          </cell>
          <cell r="J569" t="str">
            <v>3</v>
          </cell>
          <cell r="K569">
            <v>690</v>
          </cell>
          <cell r="L569" t="str">
            <v>AC</v>
          </cell>
          <cell r="M569" t="str">
            <v>F</v>
          </cell>
          <cell r="N569" t="str">
            <v>N</v>
          </cell>
          <cell r="O569">
            <v>0</v>
          </cell>
          <cell r="P569" t="str">
            <v>4850-NDB-307B</v>
          </cell>
          <cell r="Q569" t="str">
            <v>C</v>
          </cell>
          <cell r="S569">
            <v>80</v>
          </cell>
          <cell r="T569">
            <v>100</v>
          </cell>
          <cell r="X569">
            <v>1</v>
          </cell>
          <cell r="Y569">
            <v>0.85</v>
          </cell>
        </row>
        <row r="570">
          <cell r="A570" t="str">
            <v>LAO</v>
          </cell>
          <cell r="B570" t="str">
            <v>VDB-363</v>
          </cell>
          <cell r="C570" t="str">
            <v>HVAC Load 23</v>
          </cell>
          <cell r="D570">
            <v>0</v>
          </cell>
          <cell r="E570" t="str">
            <v>ISBL</v>
          </cell>
          <cell r="J570" t="str">
            <v>3</v>
          </cell>
          <cell r="K570">
            <v>690</v>
          </cell>
          <cell r="L570" t="str">
            <v>AC</v>
          </cell>
          <cell r="M570" t="str">
            <v>F</v>
          </cell>
          <cell r="N570" t="str">
            <v>N</v>
          </cell>
          <cell r="O570">
            <v>0</v>
          </cell>
          <cell r="P570" t="str">
            <v>4850-NDB-307A</v>
          </cell>
          <cell r="Q570" t="str">
            <v>C</v>
          </cell>
          <cell r="S570">
            <v>80</v>
          </cell>
          <cell r="T570">
            <v>100</v>
          </cell>
          <cell r="X570">
            <v>1</v>
          </cell>
          <cell r="Y570">
            <v>0.85</v>
          </cell>
        </row>
        <row r="571">
          <cell r="A571" t="str">
            <v>LAO</v>
          </cell>
          <cell r="B571" t="str">
            <v>VDB-364</v>
          </cell>
          <cell r="C571" t="str">
            <v>HVAC Load 24</v>
          </cell>
          <cell r="D571">
            <v>0</v>
          </cell>
          <cell r="E571" t="str">
            <v>ISBL</v>
          </cell>
          <cell r="J571" t="str">
            <v>3</v>
          </cell>
          <cell r="K571">
            <v>690</v>
          </cell>
          <cell r="L571" t="str">
            <v>AC</v>
          </cell>
          <cell r="M571" t="str">
            <v>F</v>
          </cell>
          <cell r="N571" t="str">
            <v>N</v>
          </cell>
          <cell r="O571">
            <v>0</v>
          </cell>
          <cell r="P571" t="str">
            <v>4850-NDB-307B</v>
          </cell>
          <cell r="Q571" t="str">
            <v>C</v>
          </cell>
          <cell r="S571">
            <v>80</v>
          </cell>
          <cell r="T571">
            <v>100</v>
          </cell>
          <cell r="X571">
            <v>1</v>
          </cell>
          <cell r="Y571">
            <v>0.85</v>
          </cell>
        </row>
        <row r="572">
          <cell r="A572" t="str">
            <v>LAO</v>
          </cell>
          <cell r="B572" t="str">
            <v>VDB-365</v>
          </cell>
          <cell r="C572" t="str">
            <v>HVAC Load 25</v>
          </cell>
          <cell r="D572">
            <v>0</v>
          </cell>
          <cell r="E572" t="str">
            <v>ISBL</v>
          </cell>
          <cell r="J572" t="str">
            <v>3</v>
          </cell>
          <cell r="K572">
            <v>690</v>
          </cell>
          <cell r="L572" t="str">
            <v>AC</v>
          </cell>
          <cell r="M572" t="str">
            <v>F</v>
          </cell>
          <cell r="N572" t="str">
            <v>N</v>
          </cell>
          <cell r="O572">
            <v>0</v>
          </cell>
          <cell r="P572" t="str">
            <v>4850-NDB-307A</v>
          </cell>
          <cell r="Q572" t="str">
            <v>C</v>
          </cell>
          <cell r="S572">
            <v>80</v>
          </cell>
          <cell r="T572">
            <v>100</v>
          </cell>
          <cell r="X572">
            <v>1</v>
          </cell>
          <cell r="Y572">
            <v>0.85</v>
          </cell>
        </row>
        <row r="573">
          <cell r="A573" t="str">
            <v>LAO</v>
          </cell>
          <cell r="B573" t="str">
            <v>VDB-366</v>
          </cell>
          <cell r="C573" t="str">
            <v>HVAC Load 26</v>
          </cell>
          <cell r="D573">
            <v>0</v>
          </cell>
          <cell r="E573" t="str">
            <v>ISBL</v>
          </cell>
          <cell r="J573" t="str">
            <v>3</v>
          </cell>
          <cell r="K573">
            <v>690</v>
          </cell>
          <cell r="L573" t="str">
            <v>AC</v>
          </cell>
          <cell r="M573" t="str">
            <v>F</v>
          </cell>
          <cell r="N573" t="str">
            <v>N</v>
          </cell>
          <cell r="O573">
            <v>0</v>
          </cell>
          <cell r="P573" t="str">
            <v>4850-NDB-307B</v>
          </cell>
          <cell r="Q573" t="str">
            <v>C</v>
          </cell>
          <cell r="S573">
            <v>80</v>
          </cell>
          <cell r="T573">
            <v>100</v>
          </cell>
          <cell r="X573">
            <v>1</v>
          </cell>
          <cell r="Y573">
            <v>0.85</v>
          </cell>
        </row>
        <row r="574">
          <cell r="A574" t="str">
            <v>LAO</v>
          </cell>
          <cell r="B574" t="str">
            <v>VDB-367</v>
          </cell>
          <cell r="C574" t="str">
            <v>HVAC Load 27</v>
          </cell>
          <cell r="D574">
            <v>0</v>
          </cell>
          <cell r="E574" t="str">
            <v>ISBL</v>
          </cell>
          <cell r="J574" t="str">
            <v>3</v>
          </cell>
          <cell r="K574">
            <v>690</v>
          </cell>
          <cell r="L574" t="str">
            <v>AC</v>
          </cell>
          <cell r="M574" t="str">
            <v>F</v>
          </cell>
          <cell r="N574" t="str">
            <v>N</v>
          </cell>
          <cell r="O574">
            <v>0</v>
          </cell>
          <cell r="P574" t="str">
            <v>4850-NDB-307A</v>
          </cell>
          <cell r="Q574" t="str">
            <v>C</v>
          </cell>
          <cell r="S574">
            <v>80</v>
          </cell>
          <cell r="T574">
            <v>100</v>
          </cell>
          <cell r="X574">
            <v>1</v>
          </cell>
          <cell r="Y574">
            <v>0.85</v>
          </cell>
        </row>
        <row r="575">
          <cell r="A575" t="str">
            <v>LAO</v>
          </cell>
          <cell r="B575" t="str">
            <v>VDB-368</v>
          </cell>
          <cell r="C575" t="str">
            <v>HVAC Load 28</v>
          </cell>
          <cell r="D575">
            <v>0</v>
          </cell>
          <cell r="E575" t="str">
            <v>ISBL</v>
          </cell>
          <cell r="J575" t="str">
            <v>3</v>
          </cell>
          <cell r="K575">
            <v>690</v>
          </cell>
          <cell r="L575" t="str">
            <v>AC</v>
          </cell>
          <cell r="M575" t="str">
            <v>F</v>
          </cell>
          <cell r="N575" t="str">
            <v>N</v>
          </cell>
          <cell r="O575">
            <v>0</v>
          </cell>
          <cell r="P575" t="str">
            <v>4850-NDB-307B</v>
          </cell>
          <cell r="Q575" t="str">
            <v>C</v>
          </cell>
          <cell r="S575">
            <v>80</v>
          </cell>
          <cell r="T575">
            <v>100</v>
          </cell>
          <cell r="X575">
            <v>1</v>
          </cell>
          <cell r="Y575">
            <v>0.85</v>
          </cell>
        </row>
        <row r="576">
          <cell r="A576" t="str">
            <v>LAO</v>
          </cell>
          <cell r="B576" t="str">
            <v>VDB-369</v>
          </cell>
          <cell r="C576" t="str">
            <v>HVAC Load 29</v>
          </cell>
          <cell r="D576">
            <v>0</v>
          </cell>
          <cell r="E576" t="str">
            <v>ISBL</v>
          </cell>
          <cell r="J576" t="str">
            <v>3</v>
          </cell>
          <cell r="K576">
            <v>690</v>
          </cell>
          <cell r="L576" t="str">
            <v>AC</v>
          </cell>
          <cell r="M576" t="str">
            <v>F</v>
          </cell>
          <cell r="N576" t="str">
            <v>N</v>
          </cell>
          <cell r="O576">
            <v>0</v>
          </cell>
          <cell r="P576" t="str">
            <v>4850-NDB-307A</v>
          </cell>
          <cell r="Q576" t="str">
            <v>C</v>
          </cell>
          <cell r="S576">
            <v>80</v>
          </cell>
          <cell r="T576">
            <v>100</v>
          </cell>
          <cell r="X576">
            <v>1</v>
          </cell>
          <cell r="Y576">
            <v>0.85</v>
          </cell>
        </row>
        <row r="577">
          <cell r="A577">
            <v>0</v>
          </cell>
          <cell r="B577" t="str">
            <v>VDB-370</v>
          </cell>
          <cell r="C577" t="str">
            <v>HVAC Load 30</v>
          </cell>
          <cell r="D577">
            <v>0</v>
          </cell>
          <cell r="E577" t="str">
            <v>ISBL</v>
          </cell>
          <cell r="J577" t="str">
            <v>3</v>
          </cell>
          <cell r="K577">
            <v>690</v>
          </cell>
          <cell r="L577" t="str">
            <v>AC</v>
          </cell>
          <cell r="M577" t="str">
            <v>F</v>
          </cell>
          <cell r="N577" t="str">
            <v>N</v>
          </cell>
          <cell r="O577">
            <v>0</v>
          </cell>
          <cell r="P577" t="str">
            <v>4850-NDB-307B</v>
          </cell>
          <cell r="Q577" t="str">
            <v>C</v>
          </cell>
          <cell r="S577">
            <v>80</v>
          </cell>
          <cell r="T577">
            <v>100</v>
          </cell>
          <cell r="X577">
            <v>1</v>
          </cell>
          <cell r="Y577">
            <v>0.85</v>
          </cell>
        </row>
        <row r="578">
          <cell r="A578" t="str">
            <v>LAO</v>
          </cell>
          <cell r="B578">
            <v>0</v>
          </cell>
          <cell r="C578">
            <v>0</v>
          </cell>
          <cell r="D578">
            <v>0</v>
          </cell>
          <cell r="E578" t="str">
            <v>ISBL</v>
          </cell>
          <cell r="J578" t="str">
            <v>3</v>
          </cell>
          <cell r="K578">
            <v>0</v>
          </cell>
          <cell r="L578" t="str">
            <v>AC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S578">
            <v>0</v>
          </cell>
          <cell r="T578">
            <v>0</v>
          </cell>
          <cell r="X578">
            <v>0</v>
          </cell>
          <cell r="Y578">
            <v>0</v>
          </cell>
        </row>
        <row r="579">
          <cell r="A579" t="str">
            <v>LAO</v>
          </cell>
          <cell r="B579" t="str">
            <v>VDB-371</v>
          </cell>
          <cell r="C579" t="str">
            <v>HVAC Load 31</v>
          </cell>
          <cell r="D579">
            <v>0</v>
          </cell>
          <cell r="E579" t="str">
            <v>ISBL</v>
          </cell>
          <cell r="J579" t="str">
            <v>3</v>
          </cell>
          <cell r="K579">
            <v>690</v>
          </cell>
          <cell r="L579" t="str">
            <v>AC</v>
          </cell>
          <cell r="M579" t="str">
            <v>F</v>
          </cell>
          <cell r="N579" t="str">
            <v>N</v>
          </cell>
          <cell r="O579">
            <v>0</v>
          </cell>
          <cell r="P579" t="str">
            <v>4850-NDB-307A</v>
          </cell>
          <cell r="Q579" t="str">
            <v>C</v>
          </cell>
          <cell r="S579">
            <v>80</v>
          </cell>
          <cell r="T579">
            <v>100</v>
          </cell>
          <cell r="X579">
            <v>1</v>
          </cell>
          <cell r="Y579">
            <v>0.85</v>
          </cell>
        </row>
        <row r="580">
          <cell r="A580" t="str">
            <v>LAO</v>
          </cell>
          <cell r="B580" t="str">
            <v>VDB-372</v>
          </cell>
          <cell r="C580" t="str">
            <v>HVAC Load 32</v>
          </cell>
          <cell r="D580">
            <v>0</v>
          </cell>
          <cell r="E580" t="str">
            <v>ISBL</v>
          </cell>
          <cell r="J580" t="str">
            <v>3</v>
          </cell>
          <cell r="K580">
            <v>690</v>
          </cell>
          <cell r="L580" t="str">
            <v>AC</v>
          </cell>
          <cell r="M580" t="str">
            <v>F</v>
          </cell>
          <cell r="N580" t="str">
            <v>N</v>
          </cell>
          <cell r="O580">
            <v>0</v>
          </cell>
          <cell r="P580" t="str">
            <v>4850-NDB-307B</v>
          </cell>
          <cell r="Q580" t="str">
            <v>C</v>
          </cell>
          <cell r="S580">
            <v>80</v>
          </cell>
          <cell r="T580">
            <v>100</v>
          </cell>
          <cell r="X580">
            <v>1</v>
          </cell>
          <cell r="Y580">
            <v>0.85</v>
          </cell>
        </row>
        <row r="581">
          <cell r="A581" t="str">
            <v>LAO</v>
          </cell>
          <cell r="B581" t="str">
            <v>VDB-373</v>
          </cell>
          <cell r="C581" t="str">
            <v>HVAC Load 33</v>
          </cell>
          <cell r="D581">
            <v>0</v>
          </cell>
          <cell r="E581" t="str">
            <v>ISBL</v>
          </cell>
          <cell r="J581" t="str">
            <v>3</v>
          </cell>
          <cell r="K581">
            <v>690</v>
          </cell>
          <cell r="L581" t="str">
            <v>AC</v>
          </cell>
          <cell r="M581" t="str">
            <v>F</v>
          </cell>
          <cell r="N581" t="str">
            <v>N</v>
          </cell>
          <cell r="O581">
            <v>0</v>
          </cell>
          <cell r="P581" t="str">
            <v>4850-NDB-307A</v>
          </cell>
          <cell r="Q581" t="str">
            <v>C</v>
          </cell>
          <cell r="S581">
            <v>80</v>
          </cell>
          <cell r="T581">
            <v>100</v>
          </cell>
          <cell r="X581">
            <v>1</v>
          </cell>
          <cell r="Y581">
            <v>0.85</v>
          </cell>
        </row>
        <row r="582">
          <cell r="A582" t="str">
            <v>LAO</v>
          </cell>
          <cell r="B582" t="str">
            <v>VDB-374</v>
          </cell>
          <cell r="C582" t="str">
            <v>HVAC Load 34</v>
          </cell>
          <cell r="D582">
            <v>0</v>
          </cell>
          <cell r="E582" t="str">
            <v>ISBL</v>
          </cell>
          <cell r="J582" t="str">
            <v>3</v>
          </cell>
          <cell r="K582">
            <v>690</v>
          </cell>
          <cell r="L582" t="str">
            <v>AC</v>
          </cell>
          <cell r="M582" t="str">
            <v>F</v>
          </cell>
          <cell r="N582" t="str">
            <v>N</v>
          </cell>
          <cell r="O582">
            <v>0</v>
          </cell>
          <cell r="P582" t="str">
            <v>4850-NDB-307B</v>
          </cell>
          <cell r="Q582" t="str">
            <v>C</v>
          </cell>
          <cell r="S582">
            <v>80</v>
          </cell>
          <cell r="T582">
            <v>100</v>
          </cell>
          <cell r="X582">
            <v>1</v>
          </cell>
          <cell r="Y582">
            <v>0.85</v>
          </cell>
        </row>
        <row r="583">
          <cell r="A583" t="str">
            <v>LAO</v>
          </cell>
          <cell r="B583" t="str">
            <v>VDB-373</v>
          </cell>
          <cell r="C583" t="str">
            <v>HVAC Load 33</v>
          </cell>
          <cell r="D583">
            <v>0</v>
          </cell>
          <cell r="E583" t="str">
            <v>ISBL</v>
          </cell>
          <cell r="J583" t="str">
            <v>3</v>
          </cell>
          <cell r="K583">
            <v>690</v>
          </cell>
          <cell r="L583" t="str">
            <v>AC</v>
          </cell>
          <cell r="M583" t="str">
            <v>F</v>
          </cell>
          <cell r="N583" t="str">
            <v>N</v>
          </cell>
          <cell r="O583">
            <v>0</v>
          </cell>
          <cell r="P583" t="str">
            <v>4850-NDB-307A</v>
          </cell>
          <cell r="Q583" t="str">
            <v>C</v>
          </cell>
          <cell r="S583">
            <v>80</v>
          </cell>
          <cell r="T583">
            <v>100</v>
          </cell>
          <cell r="X583">
            <v>1</v>
          </cell>
          <cell r="Y583">
            <v>0.85</v>
          </cell>
        </row>
        <row r="584">
          <cell r="A584" t="str">
            <v>LAO</v>
          </cell>
          <cell r="B584" t="str">
            <v>VDB-374</v>
          </cell>
          <cell r="C584" t="str">
            <v>HVAC Load 34</v>
          </cell>
          <cell r="D584">
            <v>0</v>
          </cell>
          <cell r="E584" t="str">
            <v>ISBL</v>
          </cell>
          <cell r="J584" t="str">
            <v>3</v>
          </cell>
          <cell r="K584">
            <v>690</v>
          </cell>
          <cell r="L584" t="str">
            <v>AC</v>
          </cell>
          <cell r="M584" t="str">
            <v>F</v>
          </cell>
          <cell r="N584" t="str">
            <v>N</v>
          </cell>
          <cell r="O584">
            <v>0</v>
          </cell>
          <cell r="P584" t="str">
            <v>4850-NDB-307B</v>
          </cell>
          <cell r="Q584" t="str">
            <v>C</v>
          </cell>
          <cell r="S584">
            <v>80</v>
          </cell>
          <cell r="T584">
            <v>100</v>
          </cell>
          <cell r="X584">
            <v>1</v>
          </cell>
          <cell r="Y584">
            <v>0.85</v>
          </cell>
        </row>
        <row r="585">
          <cell r="A585" t="str">
            <v>LAO</v>
          </cell>
          <cell r="B585" t="str">
            <v>VDB-373</v>
          </cell>
          <cell r="C585" t="str">
            <v>HVAC Load 33</v>
          </cell>
          <cell r="D585">
            <v>0</v>
          </cell>
          <cell r="E585" t="str">
            <v>ISBL</v>
          </cell>
          <cell r="J585" t="str">
            <v>3</v>
          </cell>
          <cell r="K585">
            <v>690</v>
          </cell>
          <cell r="L585" t="str">
            <v>AC</v>
          </cell>
          <cell r="M585" t="str">
            <v>F</v>
          </cell>
          <cell r="N585" t="str">
            <v>N</v>
          </cell>
          <cell r="O585">
            <v>0</v>
          </cell>
          <cell r="P585" t="str">
            <v>4850-NDB-307A</v>
          </cell>
          <cell r="Q585" t="str">
            <v>C</v>
          </cell>
          <cell r="S585">
            <v>80</v>
          </cell>
          <cell r="T585">
            <v>100</v>
          </cell>
          <cell r="X585">
            <v>1</v>
          </cell>
          <cell r="Y585">
            <v>0.85</v>
          </cell>
        </row>
        <row r="586">
          <cell r="A586" t="str">
            <v>LAO</v>
          </cell>
          <cell r="B586" t="str">
            <v>VDB-374</v>
          </cell>
          <cell r="C586" t="str">
            <v>HVAC Load 34</v>
          </cell>
          <cell r="D586">
            <v>0</v>
          </cell>
          <cell r="E586" t="str">
            <v>ISBL</v>
          </cell>
          <cell r="J586" t="str">
            <v>3</v>
          </cell>
          <cell r="K586">
            <v>690</v>
          </cell>
          <cell r="L586" t="str">
            <v>AC</v>
          </cell>
          <cell r="M586" t="str">
            <v>F</v>
          </cell>
          <cell r="N586" t="str">
            <v>N</v>
          </cell>
          <cell r="O586">
            <v>0</v>
          </cell>
          <cell r="P586" t="str">
            <v>4850-NDB-307B</v>
          </cell>
          <cell r="Q586" t="str">
            <v>C</v>
          </cell>
          <cell r="S586">
            <v>80</v>
          </cell>
          <cell r="T586">
            <v>100</v>
          </cell>
          <cell r="X586">
            <v>1</v>
          </cell>
          <cell r="Y586">
            <v>0.85</v>
          </cell>
        </row>
        <row r="587">
          <cell r="A587" t="str">
            <v>LAO</v>
          </cell>
          <cell r="B587" t="str">
            <v>VDB-375</v>
          </cell>
          <cell r="C587" t="str">
            <v>HVAC Load 35</v>
          </cell>
          <cell r="D587">
            <v>0</v>
          </cell>
          <cell r="E587" t="str">
            <v>ISBL</v>
          </cell>
          <cell r="J587" t="str">
            <v>3</v>
          </cell>
          <cell r="K587">
            <v>690</v>
          </cell>
          <cell r="L587" t="str">
            <v>AC</v>
          </cell>
          <cell r="M587" t="str">
            <v>F</v>
          </cell>
          <cell r="N587" t="str">
            <v>N</v>
          </cell>
          <cell r="O587">
            <v>0</v>
          </cell>
          <cell r="P587" t="str">
            <v>4850-NDB-307A</v>
          </cell>
          <cell r="Q587" t="str">
            <v>C</v>
          </cell>
          <cell r="S587">
            <v>68</v>
          </cell>
          <cell r="T587">
            <v>85</v>
          </cell>
          <cell r="X587">
            <v>1</v>
          </cell>
          <cell r="Y587">
            <v>0.85</v>
          </cell>
        </row>
        <row r="588">
          <cell r="A588" t="str">
            <v>LAO</v>
          </cell>
          <cell r="B588" t="str">
            <v>VDB-376</v>
          </cell>
          <cell r="C588" t="str">
            <v>HVAC Load 36</v>
          </cell>
          <cell r="D588">
            <v>0</v>
          </cell>
          <cell r="E588" t="str">
            <v>ISBL</v>
          </cell>
          <cell r="J588" t="str">
            <v>3</v>
          </cell>
          <cell r="K588">
            <v>690</v>
          </cell>
          <cell r="L588" t="str">
            <v>AC</v>
          </cell>
          <cell r="M588" t="str">
            <v>F</v>
          </cell>
          <cell r="N588" t="str">
            <v>N</v>
          </cell>
          <cell r="O588">
            <v>0</v>
          </cell>
          <cell r="P588" t="str">
            <v>4850-NDB-307B</v>
          </cell>
          <cell r="Q588" t="str">
            <v>C</v>
          </cell>
          <cell r="S588">
            <v>68</v>
          </cell>
          <cell r="T588">
            <v>85</v>
          </cell>
          <cell r="X588">
            <v>1</v>
          </cell>
          <cell r="Y588">
            <v>0.85</v>
          </cell>
        </row>
        <row r="589">
          <cell r="A589" t="str">
            <v>LAO</v>
          </cell>
          <cell r="B589" t="str">
            <v>VDB-362</v>
          </cell>
          <cell r="C589" t="str">
            <v>HVAC Load 22</v>
          </cell>
          <cell r="D589">
            <v>0</v>
          </cell>
          <cell r="E589" t="str">
            <v>ISBL</v>
          </cell>
          <cell r="J589" t="str">
            <v>3</v>
          </cell>
          <cell r="K589" t="str">
            <v>C(MR)</v>
          </cell>
          <cell r="L589" t="str">
            <v>AC</v>
          </cell>
          <cell r="M589" t="str">
            <v>F</v>
          </cell>
          <cell r="N589" t="str">
            <v>N</v>
          </cell>
          <cell r="O589">
            <v>0</v>
          </cell>
          <cell r="P589" t="str">
            <v>4850-NDB-307B</v>
          </cell>
          <cell r="Q589" t="str">
            <v>C</v>
          </cell>
          <cell r="S589">
            <v>80</v>
          </cell>
          <cell r="T589">
            <v>100</v>
          </cell>
          <cell r="X589">
            <v>1</v>
          </cell>
          <cell r="Y589">
            <v>0.85</v>
          </cell>
        </row>
        <row r="590">
          <cell r="A590" t="str">
            <v>LAO</v>
          </cell>
          <cell r="B590" t="str">
            <v>VDB-363</v>
          </cell>
          <cell r="C590" t="str">
            <v>HVAC Load 23</v>
          </cell>
          <cell r="D590">
            <v>0</v>
          </cell>
          <cell r="E590" t="str">
            <v>ISBL</v>
          </cell>
          <cell r="J590" t="str">
            <v>3</v>
          </cell>
          <cell r="K590" t="str">
            <v>C(MR)</v>
          </cell>
          <cell r="L590" t="str">
            <v>AC</v>
          </cell>
          <cell r="M590" t="str">
            <v>F</v>
          </cell>
          <cell r="N590" t="str">
            <v>N</v>
          </cell>
          <cell r="O590">
            <v>0</v>
          </cell>
          <cell r="P590" t="str">
            <v>4850-NDB-307A</v>
          </cell>
          <cell r="Q590" t="str">
            <v>C</v>
          </cell>
          <cell r="S590">
            <v>80</v>
          </cell>
          <cell r="T590">
            <v>100</v>
          </cell>
          <cell r="X590">
            <v>1</v>
          </cell>
          <cell r="Y590">
            <v>0.85</v>
          </cell>
        </row>
        <row r="591">
          <cell r="A591" t="str">
            <v>LAO</v>
          </cell>
          <cell r="B591" t="str">
            <v>VDB-364</v>
          </cell>
          <cell r="C591" t="str">
            <v>HVAC Load 24</v>
          </cell>
          <cell r="D591">
            <v>0</v>
          </cell>
          <cell r="E591" t="str">
            <v>ISBL</v>
          </cell>
          <cell r="J591" t="str">
            <v>3</v>
          </cell>
          <cell r="K591" t="str">
            <v>C(MR)</v>
          </cell>
          <cell r="L591" t="str">
            <v>AC</v>
          </cell>
          <cell r="M591" t="str">
            <v>F</v>
          </cell>
          <cell r="N591" t="str">
            <v>N</v>
          </cell>
          <cell r="O591">
            <v>0</v>
          </cell>
          <cell r="P591" t="str">
            <v>4850-NDB-307B</v>
          </cell>
          <cell r="Q591" t="str">
            <v>C</v>
          </cell>
          <cell r="S591">
            <v>80</v>
          </cell>
          <cell r="T591">
            <v>100</v>
          </cell>
          <cell r="X591">
            <v>1</v>
          </cell>
          <cell r="Y591">
            <v>0.85</v>
          </cell>
        </row>
        <row r="592">
          <cell r="A592" t="str">
            <v>LAO</v>
          </cell>
          <cell r="B592" t="str">
            <v>VDB-365</v>
          </cell>
          <cell r="C592" t="str">
            <v>HVAC Load 25</v>
          </cell>
          <cell r="D592">
            <v>0</v>
          </cell>
          <cell r="E592" t="str">
            <v>ISBL</v>
          </cell>
          <cell r="J592" t="str">
            <v>3</v>
          </cell>
          <cell r="K592" t="str">
            <v>C(MR)</v>
          </cell>
          <cell r="L592" t="str">
            <v>AC</v>
          </cell>
          <cell r="M592" t="str">
            <v>F</v>
          </cell>
          <cell r="N592" t="str">
            <v>N</v>
          </cell>
          <cell r="O592">
            <v>0</v>
          </cell>
          <cell r="P592" t="str">
            <v>4850-NDB-307A</v>
          </cell>
          <cell r="Q592" t="str">
            <v>C</v>
          </cell>
          <cell r="S592">
            <v>80</v>
          </cell>
          <cell r="T592">
            <v>100</v>
          </cell>
          <cell r="X592">
            <v>1</v>
          </cell>
          <cell r="Y592">
            <v>0.85</v>
          </cell>
        </row>
        <row r="593">
          <cell r="A593" t="str">
            <v>LAO</v>
          </cell>
          <cell r="B593" t="str">
            <v>VDB-366</v>
          </cell>
          <cell r="C593" t="str">
            <v>HVAC Load 26</v>
          </cell>
          <cell r="D593">
            <v>0</v>
          </cell>
          <cell r="E593" t="str">
            <v>ISBL</v>
          </cell>
          <cell r="J593" t="str">
            <v>3</v>
          </cell>
          <cell r="K593" t="str">
            <v>C(MR)</v>
          </cell>
          <cell r="L593" t="str">
            <v>AC</v>
          </cell>
          <cell r="M593" t="str">
            <v>F</v>
          </cell>
          <cell r="N593" t="str">
            <v>N</v>
          </cell>
          <cell r="O593">
            <v>0</v>
          </cell>
          <cell r="P593" t="str">
            <v>4850-NDB-307B</v>
          </cell>
          <cell r="Q593" t="str">
            <v>C</v>
          </cell>
          <cell r="S593">
            <v>80</v>
          </cell>
          <cell r="T593">
            <v>100</v>
          </cell>
          <cell r="X593">
            <v>1</v>
          </cell>
          <cell r="Y593">
            <v>0.85</v>
          </cell>
        </row>
        <row r="594">
          <cell r="A594" t="str">
            <v>LAO</v>
          </cell>
          <cell r="B594" t="str">
            <v>VDB-367</v>
          </cell>
          <cell r="C594" t="str">
            <v>HVAC Load 27</v>
          </cell>
          <cell r="D594">
            <v>0</v>
          </cell>
          <cell r="E594" t="str">
            <v>ISBL</v>
          </cell>
          <cell r="J594" t="str">
            <v>3</v>
          </cell>
          <cell r="K594" t="str">
            <v>C(MR)</v>
          </cell>
          <cell r="L594" t="str">
            <v>AC</v>
          </cell>
          <cell r="M594" t="str">
            <v>F</v>
          </cell>
          <cell r="N594" t="str">
            <v>N</v>
          </cell>
          <cell r="O594">
            <v>0</v>
          </cell>
          <cell r="P594" t="str">
            <v>4850-NDB-307A</v>
          </cell>
          <cell r="Q594" t="str">
            <v>C</v>
          </cell>
          <cell r="S594">
            <v>80</v>
          </cell>
          <cell r="T594">
            <v>100</v>
          </cell>
          <cell r="X594">
            <v>1</v>
          </cell>
          <cell r="Y594">
            <v>0.85</v>
          </cell>
        </row>
        <row r="595">
          <cell r="A595" t="str">
            <v>LAO</v>
          </cell>
          <cell r="B595" t="str">
            <v>VDB-368</v>
          </cell>
          <cell r="C595" t="str">
            <v>HVAC Load 28</v>
          </cell>
          <cell r="D595">
            <v>0</v>
          </cell>
          <cell r="E595" t="str">
            <v>ISBL</v>
          </cell>
          <cell r="J595" t="str">
            <v>3</v>
          </cell>
          <cell r="K595" t="str">
            <v>C(MR)</v>
          </cell>
          <cell r="L595" t="str">
            <v>AC</v>
          </cell>
          <cell r="M595" t="str">
            <v>F</v>
          </cell>
          <cell r="N595" t="str">
            <v>N</v>
          </cell>
          <cell r="O595">
            <v>0</v>
          </cell>
          <cell r="P595" t="str">
            <v>4850-NDB-307B</v>
          </cell>
          <cell r="Q595" t="str">
            <v>C</v>
          </cell>
          <cell r="S595">
            <v>80</v>
          </cell>
          <cell r="T595">
            <v>100</v>
          </cell>
          <cell r="X595">
            <v>1</v>
          </cell>
          <cell r="Y595">
            <v>0.85</v>
          </cell>
        </row>
        <row r="596">
          <cell r="A596" t="str">
            <v>LAO</v>
          </cell>
          <cell r="B596" t="str">
            <v>VDB-369</v>
          </cell>
          <cell r="C596" t="str">
            <v>HVAC Load 29</v>
          </cell>
          <cell r="D596">
            <v>0</v>
          </cell>
          <cell r="E596" t="str">
            <v>ISBL</v>
          </cell>
          <cell r="J596" t="str">
            <v>3</v>
          </cell>
          <cell r="K596" t="str">
            <v>C(MR)</v>
          </cell>
          <cell r="L596" t="str">
            <v>AC</v>
          </cell>
          <cell r="M596" t="str">
            <v>F</v>
          </cell>
          <cell r="N596" t="str">
            <v>N</v>
          </cell>
          <cell r="O596">
            <v>0</v>
          </cell>
          <cell r="P596" t="str">
            <v>4850-NDB-307A</v>
          </cell>
          <cell r="Q596" t="str">
            <v>C</v>
          </cell>
          <cell r="S596">
            <v>80</v>
          </cell>
          <cell r="T596">
            <v>100</v>
          </cell>
          <cell r="X596">
            <v>1</v>
          </cell>
          <cell r="Y596">
            <v>0.85</v>
          </cell>
        </row>
        <row r="597">
          <cell r="A597">
            <v>0</v>
          </cell>
          <cell r="B597" t="str">
            <v>VDB-370</v>
          </cell>
          <cell r="C597" t="str">
            <v>HVAC Load 30</v>
          </cell>
          <cell r="D597">
            <v>0</v>
          </cell>
          <cell r="E597" t="str">
            <v>ISBL</v>
          </cell>
          <cell r="J597" t="str">
            <v>3</v>
          </cell>
          <cell r="K597" t="str">
            <v>C(MR)</v>
          </cell>
          <cell r="L597" t="str">
            <v>AC</v>
          </cell>
          <cell r="M597" t="str">
            <v>F</v>
          </cell>
          <cell r="N597" t="str">
            <v>N</v>
          </cell>
          <cell r="O597">
            <v>0</v>
          </cell>
          <cell r="P597" t="str">
            <v>4850-NDB-307B</v>
          </cell>
          <cell r="Q597" t="str">
            <v>C</v>
          </cell>
          <cell r="S597">
            <v>80</v>
          </cell>
          <cell r="T597">
            <v>100</v>
          </cell>
          <cell r="X597">
            <v>1</v>
          </cell>
          <cell r="Y597">
            <v>0.85</v>
          </cell>
        </row>
        <row r="598">
          <cell r="A598" t="str">
            <v>LAO</v>
          </cell>
          <cell r="B598">
            <v>0</v>
          </cell>
          <cell r="C598">
            <v>0</v>
          </cell>
          <cell r="D598">
            <v>0</v>
          </cell>
          <cell r="E598" t="str">
            <v>ISBL</v>
          </cell>
          <cell r="J598" t="str">
            <v>3</v>
          </cell>
          <cell r="K598">
            <v>0</v>
          </cell>
          <cell r="L598" t="str">
            <v>AC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S598">
            <v>0</v>
          </cell>
          <cell r="T598">
            <v>0</v>
          </cell>
          <cell r="X598">
            <v>0</v>
          </cell>
          <cell r="Y598">
            <v>0</v>
          </cell>
        </row>
        <row r="599">
          <cell r="A599" t="str">
            <v>LAO</v>
          </cell>
          <cell r="B599" t="str">
            <v>VDB-371</v>
          </cell>
          <cell r="C599" t="str">
            <v>HVAC Load 31</v>
          </cell>
          <cell r="D599">
            <v>0</v>
          </cell>
          <cell r="E599" t="str">
            <v>ISBL</v>
          </cell>
          <cell r="J599" t="str">
            <v>3</v>
          </cell>
          <cell r="K599" t="str">
            <v>C(MR)</v>
          </cell>
          <cell r="L599" t="str">
            <v>AC</v>
          </cell>
          <cell r="M599" t="str">
            <v>F</v>
          </cell>
          <cell r="N599" t="str">
            <v>N</v>
          </cell>
          <cell r="O599">
            <v>0</v>
          </cell>
          <cell r="P599" t="str">
            <v>4850-NDB-307A</v>
          </cell>
          <cell r="Q599" t="str">
            <v>C</v>
          </cell>
          <cell r="S599">
            <v>80</v>
          </cell>
          <cell r="T599">
            <v>100</v>
          </cell>
          <cell r="X599">
            <v>1</v>
          </cell>
          <cell r="Y599">
            <v>0.85</v>
          </cell>
        </row>
        <row r="600">
          <cell r="A600" t="str">
            <v>LAO</v>
          </cell>
          <cell r="B600" t="str">
            <v>VDB-372</v>
          </cell>
          <cell r="C600" t="str">
            <v>HVAC Load 32</v>
          </cell>
          <cell r="D600">
            <v>0</v>
          </cell>
          <cell r="E600" t="str">
            <v>ISBL</v>
          </cell>
          <cell r="J600" t="str">
            <v>3</v>
          </cell>
          <cell r="K600" t="str">
            <v>C(MR)</v>
          </cell>
          <cell r="L600" t="str">
            <v>AC</v>
          </cell>
          <cell r="M600" t="str">
            <v>F</v>
          </cell>
          <cell r="N600" t="str">
            <v>N</v>
          </cell>
          <cell r="O600">
            <v>0</v>
          </cell>
          <cell r="P600" t="str">
            <v>4850-NDB-307B</v>
          </cell>
          <cell r="Q600" t="str">
            <v>C</v>
          </cell>
          <cell r="S600">
            <v>80</v>
          </cell>
          <cell r="T600">
            <v>100</v>
          </cell>
          <cell r="X600">
            <v>1</v>
          </cell>
          <cell r="Y600">
            <v>0.85</v>
          </cell>
        </row>
        <row r="601">
          <cell r="A601" t="str">
            <v>LAO</v>
          </cell>
          <cell r="B601" t="str">
            <v>VDB-373</v>
          </cell>
          <cell r="C601" t="str">
            <v>HVAC Load 33</v>
          </cell>
          <cell r="D601">
            <v>0</v>
          </cell>
          <cell r="E601" t="str">
            <v>ISBL</v>
          </cell>
          <cell r="J601" t="str">
            <v>3</v>
          </cell>
          <cell r="K601" t="str">
            <v>C(MR)</v>
          </cell>
          <cell r="L601" t="str">
            <v>AC</v>
          </cell>
          <cell r="M601" t="str">
            <v>F</v>
          </cell>
          <cell r="N601" t="str">
            <v>N</v>
          </cell>
          <cell r="O601">
            <v>0</v>
          </cell>
          <cell r="P601" t="str">
            <v>4850-NDB-307A</v>
          </cell>
          <cell r="Q601" t="str">
            <v>C</v>
          </cell>
          <cell r="S601">
            <v>80</v>
          </cell>
          <cell r="T601">
            <v>100</v>
          </cell>
          <cell r="X601">
            <v>1</v>
          </cell>
          <cell r="Y601">
            <v>0.85</v>
          </cell>
        </row>
        <row r="602">
          <cell r="A602" t="str">
            <v>LAO</v>
          </cell>
          <cell r="B602" t="str">
            <v>VDB-374</v>
          </cell>
          <cell r="C602" t="str">
            <v>HVAC Load 34</v>
          </cell>
          <cell r="D602">
            <v>0</v>
          </cell>
          <cell r="E602" t="str">
            <v>ISBL</v>
          </cell>
          <cell r="J602" t="str">
            <v>3</v>
          </cell>
          <cell r="K602" t="str">
            <v>C(MR)</v>
          </cell>
          <cell r="L602" t="str">
            <v>AC</v>
          </cell>
          <cell r="M602" t="str">
            <v>F</v>
          </cell>
          <cell r="N602" t="str">
            <v>N</v>
          </cell>
          <cell r="O602">
            <v>0</v>
          </cell>
          <cell r="P602" t="str">
            <v>4850-NDB-307B</v>
          </cell>
          <cell r="Q602" t="str">
            <v>C</v>
          </cell>
          <cell r="S602">
            <v>80</v>
          </cell>
          <cell r="T602">
            <v>100</v>
          </cell>
          <cell r="X602">
            <v>1</v>
          </cell>
          <cell r="Y602">
            <v>0.85</v>
          </cell>
        </row>
        <row r="603">
          <cell r="A603" t="str">
            <v>LAO</v>
          </cell>
          <cell r="B603" t="str">
            <v>VDB-373</v>
          </cell>
          <cell r="C603" t="str">
            <v>HVAC Load 33</v>
          </cell>
          <cell r="D603">
            <v>0</v>
          </cell>
          <cell r="E603" t="str">
            <v>ISBL</v>
          </cell>
          <cell r="J603" t="str">
            <v>3</v>
          </cell>
          <cell r="K603" t="str">
            <v>C(MR)</v>
          </cell>
          <cell r="L603" t="str">
            <v>AC</v>
          </cell>
          <cell r="M603" t="str">
            <v>F</v>
          </cell>
          <cell r="N603" t="str">
            <v>N</v>
          </cell>
          <cell r="O603">
            <v>0</v>
          </cell>
          <cell r="P603" t="str">
            <v>4850-NDB-307A</v>
          </cell>
          <cell r="Q603" t="str">
            <v>C</v>
          </cell>
          <cell r="S603">
            <v>80</v>
          </cell>
          <cell r="T603">
            <v>100</v>
          </cell>
          <cell r="X603">
            <v>1</v>
          </cell>
          <cell r="Y603">
            <v>0.85</v>
          </cell>
        </row>
        <row r="604">
          <cell r="A604" t="str">
            <v>LAO</v>
          </cell>
          <cell r="B604" t="str">
            <v>VDB-374</v>
          </cell>
          <cell r="C604" t="str">
            <v>HVAC Load 34</v>
          </cell>
          <cell r="D604">
            <v>0</v>
          </cell>
          <cell r="E604" t="str">
            <v>ISBL</v>
          </cell>
          <cell r="J604" t="str">
            <v>3</v>
          </cell>
          <cell r="K604" t="str">
            <v>C(MR)</v>
          </cell>
          <cell r="L604" t="str">
            <v>AC</v>
          </cell>
          <cell r="M604" t="str">
            <v>F</v>
          </cell>
          <cell r="N604" t="str">
            <v>N</v>
          </cell>
          <cell r="O604">
            <v>0</v>
          </cell>
          <cell r="P604" t="str">
            <v>4850-NDB-307B</v>
          </cell>
          <cell r="Q604" t="str">
            <v>C</v>
          </cell>
          <cell r="S604">
            <v>80</v>
          </cell>
          <cell r="T604">
            <v>100</v>
          </cell>
          <cell r="X604">
            <v>1</v>
          </cell>
          <cell r="Y604">
            <v>0.85</v>
          </cell>
        </row>
        <row r="605">
          <cell r="A605" t="str">
            <v>LAO</v>
          </cell>
          <cell r="B605" t="str">
            <v>VDB-373</v>
          </cell>
          <cell r="C605" t="str">
            <v>HVAC Load 33</v>
          </cell>
          <cell r="D605">
            <v>0</v>
          </cell>
          <cell r="E605" t="str">
            <v>ISBL</v>
          </cell>
          <cell r="J605" t="str">
            <v>3</v>
          </cell>
          <cell r="K605" t="str">
            <v>C(MR)</v>
          </cell>
          <cell r="L605" t="str">
            <v>AC</v>
          </cell>
          <cell r="M605" t="str">
            <v>F</v>
          </cell>
          <cell r="N605" t="str">
            <v>N</v>
          </cell>
          <cell r="O605">
            <v>0</v>
          </cell>
          <cell r="P605" t="str">
            <v>4850-NDB-307A</v>
          </cell>
          <cell r="Q605" t="str">
            <v>C</v>
          </cell>
          <cell r="S605">
            <v>80</v>
          </cell>
          <cell r="T605">
            <v>100</v>
          </cell>
          <cell r="X605">
            <v>1</v>
          </cell>
          <cell r="Y605">
            <v>0.85</v>
          </cell>
        </row>
        <row r="606">
          <cell r="A606" t="str">
            <v>LAO</v>
          </cell>
          <cell r="B606" t="str">
            <v>VDB-374</v>
          </cell>
          <cell r="C606" t="str">
            <v>HVAC Load 34</v>
          </cell>
          <cell r="D606">
            <v>0</v>
          </cell>
          <cell r="E606" t="str">
            <v>ISBL</v>
          </cell>
          <cell r="J606" t="str">
            <v>3</v>
          </cell>
          <cell r="K606" t="str">
            <v>C(MR)</v>
          </cell>
          <cell r="L606" t="str">
            <v>AC</v>
          </cell>
          <cell r="M606" t="str">
            <v>F</v>
          </cell>
          <cell r="N606" t="str">
            <v>N</v>
          </cell>
          <cell r="O606">
            <v>0</v>
          </cell>
          <cell r="P606" t="str">
            <v>4850-NDB-307B</v>
          </cell>
          <cell r="Q606" t="str">
            <v>C</v>
          </cell>
          <cell r="S606">
            <v>80</v>
          </cell>
          <cell r="T606">
            <v>100</v>
          </cell>
          <cell r="X606">
            <v>1</v>
          </cell>
          <cell r="Y606">
            <v>0.85</v>
          </cell>
        </row>
        <row r="607">
          <cell r="A607" t="str">
            <v>LAO</v>
          </cell>
          <cell r="B607" t="str">
            <v>VDB-375</v>
          </cell>
          <cell r="C607" t="str">
            <v>HVAC Load 35</v>
          </cell>
          <cell r="D607">
            <v>0</v>
          </cell>
          <cell r="E607" t="str">
            <v>ISBL</v>
          </cell>
          <cell r="J607" t="str">
            <v>3</v>
          </cell>
          <cell r="K607" t="str">
            <v>C(MR)</v>
          </cell>
          <cell r="L607" t="str">
            <v>AC</v>
          </cell>
          <cell r="M607" t="str">
            <v>F</v>
          </cell>
          <cell r="N607" t="str">
            <v>N</v>
          </cell>
          <cell r="O607">
            <v>0</v>
          </cell>
          <cell r="P607" t="str">
            <v>4850-NDB-307A</v>
          </cell>
          <cell r="Q607" t="str">
            <v>C</v>
          </cell>
          <cell r="S607">
            <v>68</v>
          </cell>
          <cell r="T607">
            <v>85</v>
          </cell>
          <cell r="X607">
            <v>1</v>
          </cell>
          <cell r="Y607">
            <v>0.85</v>
          </cell>
        </row>
        <row r="608">
          <cell r="A608" t="str">
            <v>LAO</v>
          </cell>
          <cell r="B608" t="str">
            <v>VDB-376</v>
          </cell>
          <cell r="C608" t="str">
            <v>HVAC Load 36</v>
          </cell>
          <cell r="D608">
            <v>0</v>
          </cell>
          <cell r="E608" t="str">
            <v>ISBL</v>
          </cell>
          <cell r="J608" t="str">
            <v>3</v>
          </cell>
          <cell r="K608" t="str">
            <v>C(MR)</v>
          </cell>
          <cell r="L608" t="str">
            <v>AC</v>
          </cell>
          <cell r="M608" t="str">
            <v>F</v>
          </cell>
          <cell r="N608" t="str">
            <v>N</v>
          </cell>
          <cell r="O608">
            <v>0</v>
          </cell>
          <cell r="P608" t="str">
            <v>4850-NDB-307B</v>
          </cell>
          <cell r="Q608" t="str">
            <v>C</v>
          </cell>
          <cell r="S608">
            <v>68</v>
          </cell>
          <cell r="T608">
            <v>85</v>
          </cell>
          <cell r="X608">
            <v>1</v>
          </cell>
          <cell r="Y608">
            <v>0.85</v>
          </cell>
        </row>
        <row r="609">
          <cell r="S609">
            <v>0</v>
          </cell>
          <cell r="T609">
            <v>0</v>
          </cell>
        </row>
        <row r="610">
          <cell r="C610" t="str">
            <v xml:space="preserve"> </v>
          </cell>
        </row>
        <row r="611">
          <cell r="L611" t="str">
            <v>Summary of all Switchboards</v>
          </cell>
        </row>
        <row r="625">
          <cell r="L625" t="str">
            <v>Peak Load:</v>
          </cell>
          <cell r="Q625" t="str">
            <v>Normal Plant Load :</v>
          </cell>
          <cell r="Z625" t="str">
            <v>∑-Peak Load:</v>
          </cell>
          <cell r="AB625" t="str">
            <v>∑-Normal Plant Load :</v>
          </cell>
          <cell r="AD625" t="str">
            <v>∑-Intermittent load</v>
          </cell>
        </row>
        <row r="626">
          <cell r="L626" t="str">
            <v>[100%] Cont. Load + [30%] Interm. Load + [10%] CS Load</v>
          </cell>
          <cell r="Q626" t="str">
            <v>[100%] Cont. Load + [30%] Interm. Load + [0%] CS Load</v>
          </cell>
          <cell r="Z626" t="str">
            <v>Sum of Peak Load</v>
          </cell>
          <cell r="AB626" t="str">
            <v>Sum of Normal Plant Load</v>
          </cell>
          <cell r="AD626" t="str">
            <v>Sum of Interm. Load</v>
          </cell>
        </row>
        <row r="627">
          <cell r="B627" t="str">
            <v>Load group</v>
          </cell>
          <cell r="L627" t="str">
            <v>cosj</v>
          </cell>
          <cell r="M627" t="str">
            <v>kW</v>
          </cell>
          <cell r="N627" t="str">
            <v>kVar</v>
          </cell>
          <cell r="O627" t="str">
            <v>kVA</v>
          </cell>
          <cell r="Q627" t="str">
            <v>cosj</v>
          </cell>
          <cell r="R627" t="str">
            <v>kW</v>
          </cell>
          <cell r="S627" t="str">
            <v>kVar</v>
          </cell>
          <cell r="T627" t="str">
            <v>kVA</v>
          </cell>
          <cell r="Z627" t="str">
            <v>kW</v>
          </cell>
          <cell r="AA627" t="str">
            <v>kVar</v>
          </cell>
          <cell r="AB627" t="str">
            <v>kW</v>
          </cell>
          <cell r="AC627" t="str">
            <v>kVar</v>
          </cell>
          <cell r="AD627" t="str">
            <v>kW</v>
          </cell>
          <cell r="AE627" t="str">
            <v>kVar</v>
          </cell>
        </row>
        <row r="629">
          <cell r="B629" t="str">
            <v>MV-SWG-1-10 KV</v>
          </cell>
          <cell r="C629" t="str">
            <v>10 kV - Switchgear</v>
          </cell>
          <cell r="L629">
            <v>0.91832122518440418</v>
          </cell>
          <cell r="M629">
            <v>37750.962492796316</v>
          </cell>
          <cell r="N629">
            <v>16272.290163996377</v>
          </cell>
          <cell r="O629">
            <v>41108.668140841139</v>
          </cell>
          <cell r="Q629">
            <v>0.9183632081391685</v>
          </cell>
          <cell r="R629">
            <v>37692.62915946298</v>
          </cell>
          <cell r="S629">
            <v>16242.405110885424</v>
          </cell>
          <cell r="T629">
            <v>41043.270054162545</v>
          </cell>
          <cell r="Z629">
            <v>37692.62915946298</v>
          </cell>
          <cell r="AA629">
            <v>16242.405110885424</v>
          </cell>
          <cell r="AB629">
            <v>37692.62915946298</v>
          </cell>
          <cell r="AC629">
            <v>16242.405110885424</v>
          </cell>
          <cell r="AD629">
            <v>0</v>
          </cell>
          <cell r="AE629">
            <v>0</v>
          </cell>
        </row>
        <row r="631">
          <cell r="B631" t="str">
            <v>MV-SWG-2-10 KV</v>
          </cell>
          <cell r="C631" t="str">
            <v>10 kV - Switchgear</v>
          </cell>
          <cell r="L631">
            <v>0.91355703655849829</v>
          </cell>
          <cell r="M631">
            <v>36550.962492796316</v>
          </cell>
          <cell r="N631">
            <v>16272.290163996377</v>
          </cell>
          <cell r="O631">
            <v>40009.502450431653</v>
          </cell>
          <cell r="Q631">
            <v>0.9135934530507569</v>
          </cell>
          <cell r="R631">
            <v>36492.62915946298</v>
          </cell>
          <cell r="S631">
            <v>16242.405110885424</v>
          </cell>
          <cell r="T631">
            <v>39944.057214511959</v>
          </cell>
          <cell r="Z631">
            <v>36492.62915946298</v>
          </cell>
          <cell r="AA631">
            <v>16242.405110885424</v>
          </cell>
          <cell r="AB631">
            <v>36492.62915946298</v>
          </cell>
          <cell r="AC631">
            <v>16242.405110885424</v>
          </cell>
          <cell r="AD631">
            <v>0</v>
          </cell>
          <cell r="AE631">
            <v>0</v>
          </cell>
        </row>
        <row r="633">
          <cell r="B633" t="str">
            <v>LV-SWG-1.1</v>
          </cell>
          <cell r="C633" t="str">
            <v>690 V Switchgear Process Consumer</v>
          </cell>
          <cell r="L633">
            <v>0.89400000000000002</v>
          </cell>
          <cell r="M633">
            <v>1395</v>
          </cell>
          <cell r="N633">
            <v>697</v>
          </cell>
          <cell r="O633">
            <v>1559</v>
          </cell>
          <cell r="Q633">
            <v>0.88600486343234941</v>
          </cell>
          <cell r="R633">
            <v>1225.250618143712</v>
          </cell>
          <cell r="S633">
            <v>641.21458208723243</v>
          </cell>
          <cell r="T633">
            <v>1382.8937838976835</v>
          </cell>
          <cell r="Z633">
            <v>1151.320489332935</v>
          </cell>
          <cell r="AA633">
            <v>600.79864572449583</v>
          </cell>
          <cell r="AB633">
            <v>1151.320489332935</v>
          </cell>
          <cell r="AC633">
            <v>600.79864572449583</v>
          </cell>
          <cell r="AD633">
            <v>246.4337627025896</v>
          </cell>
          <cell r="AE633">
            <v>134.7197878757886</v>
          </cell>
        </row>
        <row r="635">
          <cell r="B635" t="str">
            <v>LV-SWG-1.2</v>
          </cell>
          <cell r="C635" t="str">
            <v>690 V Switchgear Process Consumer</v>
          </cell>
          <cell r="L635">
            <v>0.88757837847325693</v>
          </cell>
          <cell r="M635">
            <v>992</v>
          </cell>
          <cell r="N635">
            <v>514</v>
          </cell>
          <cell r="O635">
            <v>1117</v>
          </cell>
          <cell r="Q635">
            <v>0.88784480783194875</v>
          </cell>
          <cell r="R635">
            <v>937.71708547820776</v>
          </cell>
          <cell r="S635">
            <v>485.99030611114478</v>
          </cell>
          <cell r="T635">
            <v>1056.1722918310954</v>
          </cell>
          <cell r="Z635">
            <v>852.17405344162444</v>
          </cell>
          <cell r="AA635">
            <v>439.30638858809493</v>
          </cell>
          <cell r="AB635">
            <v>852.17405344162444</v>
          </cell>
          <cell r="AC635">
            <v>439.30638858809493</v>
          </cell>
          <cell r="AD635">
            <v>285.14344012194442</v>
          </cell>
          <cell r="AE635">
            <v>155.61305841016616</v>
          </cell>
        </row>
        <row r="637">
          <cell r="B637" t="str">
            <v>LV-SWG-1.3</v>
          </cell>
          <cell r="C637" t="str">
            <v>400V Switchgear Process Consumer &amp; Process Heat Tracing</v>
          </cell>
          <cell r="L637">
            <v>0.99299999999999999</v>
          </cell>
          <cell r="M637">
            <v>767</v>
          </cell>
          <cell r="N637">
            <v>88</v>
          </cell>
          <cell r="O637">
            <v>772</v>
          </cell>
          <cell r="Q637">
            <v>0.99356334643550281</v>
          </cell>
          <cell r="R637">
            <v>764.34933599585247</v>
          </cell>
          <cell r="S637">
            <v>87.144788188080526</v>
          </cell>
          <cell r="T637">
            <v>769.30106040850228</v>
          </cell>
          <cell r="Z637">
            <v>144.21211240862885</v>
          </cell>
          <cell r="AA637">
            <v>77.162163982504865</v>
          </cell>
          <cell r="AB637">
            <v>144.21211240862885</v>
          </cell>
          <cell r="AC637">
            <v>77.162163982504865</v>
          </cell>
          <cell r="AD637">
            <v>2067.1240786240787</v>
          </cell>
          <cell r="AE637">
            <v>33.275414018585522</v>
          </cell>
        </row>
        <row r="639">
          <cell r="B639" t="str">
            <v>LV-SWG-1.4</v>
          </cell>
          <cell r="C639" t="str">
            <v>400V Switchgear Process Consumer &amp; Antifreezing Heat Tracing</v>
          </cell>
          <cell r="L639">
            <v>0.99439863938561524</v>
          </cell>
          <cell r="M639">
            <v>750.43597483492078</v>
          </cell>
          <cell r="N639">
            <v>79.763807225998036</v>
          </cell>
          <cell r="O639">
            <v>754.66311508488616</v>
          </cell>
          <cell r="Q639">
            <v>0.99448642129878972</v>
          </cell>
          <cell r="R639">
            <v>748.96337067738682</v>
          </cell>
          <cell r="S639">
            <v>78.975803238757379</v>
          </cell>
          <cell r="T639">
            <v>753.11573354540917</v>
          </cell>
          <cell r="Z639">
            <v>125.94518885920486</v>
          </cell>
          <cell r="AA639">
            <v>67.199596210290025</v>
          </cell>
          <cell r="AB639">
            <v>125.94518885920486</v>
          </cell>
          <cell r="AC639">
            <v>67.199596210290025</v>
          </cell>
          <cell r="AD639">
            <v>2076.727272727273</v>
          </cell>
          <cell r="AE639">
            <v>39.2540234282245</v>
          </cell>
        </row>
        <row r="641">
          <cell r="B641" t="str">
            <v>LV-SWG-1.5</v>
          </cell>
          <cell r="C641" t="str">
            <v>400V Switchgear Normal &amp; Street Lighting</v>
          </cell>
          <cell r="L641">
            <v>0.88000000000000012</v>
          </cell>
          <cell r="M641">
            <v>738.63636363636328</v>
          </cell>
          <cell r="N641">
            <v>398.67367544290494</v>
          </cell>
          <cell r="O641">
            <v>839.35950413223088</v>
          </cell>
          <cell r="Q641">
            <v>0.88000000000000012</v>
          </cell>
          <cell r="R641">
            <v>738.63636363636328</v>
          </cell>
          <cell r="S641">
            <v>398.67367544290494</v>
          </cell>
          <cell r="T641">
            <v>839.35950413223088</v>
          </cell>
          <cell r="Z641">
            <v>718.18181818181779</v>
          </cell>
          <cell r="AA641">
            <v>387.63348135371677</v>
          </cell>
          <cell r="AB641">
            <v>718.18181818181779</v>
          </cell>
          <cell r="AC641">
            <v>387.63348135371677</v>
          </cell>
          <cell r="AD641">
            <v>68.181818181818173</v>
          </cell>
          <cell r="AE641">
            <v>36.80064696396046</v>
          </cell>
        </row>
        <row r="643">
          <cell r="B643" t="str">
            <v>LV-SWG-1.6</v>
          </cell>
          <cell r="C643" t="str">
            <v>400V Switchgear Receptacles, Welding Outlets &amp; Crane</v>
          </cell>
          <cell r="L643">
            <v>0.88000000000000012</v>
          </cell>
          <cell r="M643">
            <v>721.81818181818142</v>
          </cell>
          <cell r="N643">
            <v>389.59618252512803</v>
          </cell>
          <cell r="O643">
            <v>820.24793388429691</v>
          </cell>
          <cell r="Q643">
            <v>0.88000000000000012</v>
          </cell>
          <cell r="R643">
            <v>721.81818181818142</v>
          </cell>
          <cell r="S643">
            <v>389.59618252512803</v>
          </cell>
          <cell r="T643">
            <v>820.24793388429691</v>
          </cell>
          <cell r="Z643">
            <v>267.04545454545462</v>
          </cell>
          <cell r="AA643">
            <v>144.13586727551188</v>
          </cell>
          <cell r="AB643">
            <v>267.04545454545462</v>
          </cell>
          <cell r="AC643">
            <v>144.13586727551188</v>
          </cell>
          <cell r="AD643">
            <v>1515.9090909090894</v>
          </cell>
          <cell r="AE643">
            <v>818.20105083205374</v>
          </cell>
        </row>
        <row r="645">
          <cell r="B645" t="str">
            <v>LV-SWG-1.7</v>
          </cell>
          <cell r="C645" t="str">
            <v>400V Switchgear HVAC</v>
          </cell>
          <cell r="L645">
            <v>0.88</v>
          </cell>
          <cell r="M645">
            <v>886.36363636363637</v>
          </cell>
          <cell r="N645">
            <v>478.40841053148614</v>
          </cell>
          <cell r="O645">
            <v>1007.2314049586777</v>
          </cell>
          <cell r="Q645">
            <v>0.88</v>
          </cell>
          <cell r="R645">
            <v>886.36363636363637</v>
          </cell>
          <cell r="S645">
            <v>478.40841053148614</v>
          </cell>
          <cell r="T645">
            <v>1007.2314049586777</v>
          </cell>
          <cell r="Z645">
            <v>886.36363636363637</v>
          </cell>
          <cell r="AA645">
            <v>478.40841053148614</v>
          </cell>
          <cell r="AB645">
            <v>886.36363636363637</v>
          </cell>
          <cell r="AC645">
            <v>478.40841053148614</v>
          </cell>
          <cell r="AD645">
            <v>0</v>
          </cell>
          <cell r="AE645">
            <v>0</v>
          </cell>
        </row>
        <row r="647">
          <cell r="B647" t="str">
            <v>LV-SWG-1.8</v>
          </cell>
          <cell r="C647" t="str">
            <v>400V Switchgear HVAC</v>
          </cell>
          <cell r="L647">
            <v>0.88</v>
          </cell>
          <cell r="M647">
            <v>1068.181818181818</v>
          </cell>
          <cell r="N647">
            <v>576.54346910204731</v>
          </cell>
          <cell r="O647">
            <v>1213.8429752066113</v>
          </cell>
          <cell r="Q647">
            <v>0.88</v>
          </cell>
          <cell r="R647">
            <v>1068.181818181818</v>
          </cell>
          <cell r="S647">
            <v>576.54346910204731</v>
          </cell>
          <cell r="T647">
            <v>1213.8429752066113</v>
          </cell>
          <cell r="Z647">
            <v>1068.181818181818</v>
          </cell>
          <cell r="AA647">
            <v>576.54346910204731</v>
          </cell>
          <cell r="AB647">
            <v>1068.181818181818</v>
          </cell>
          <cell r="AC647">
            <v>576.54346910204731</v>
          </cell>
          <cell r="AD647">
            <v>0</v>
          </cell>
          <cell r="AE647">
            <v>0</v>
          </cell>
        </row>
        <row r="649">
          <cell r="B649" t="str">
            <v>LV-SWG-1.9</v>
          </cell>
          <cell r="C649" t="str">
            <v>400V Switchgear HVAC</v>
          </cell>
          <cell r="L649">
            <v>0.88</v>
          </cell>
          <cell r="M649">
            <v>840.90909090909076</v>
          </cell>
          <cell r="N649">
            <v>453.87464588884575</v>
          </cell>
          <cell r="O649">
            <v>955.57851239669401</v>
          </cell>
          <cell r="Q649">
            <v>0.88</v>
          </cell>
          <cell r="R649">
            <v>840.90909090909076</v>
          </cell>
          <cell r="S649">
            <v>453.87464588884575</v>
          </cell>
          <cell r="T649">
            <v>955.57851239669401</v>
          </cell>
          <cell r="Z649">
            <v>840.90909090909076</v>
          </cell>
          <cell r="AA649">
            <v>453.87464588884575</v>
          </cell>
          <cell r="AB649">
            <v>840.90909090909076</v>
          </cell>
          <cell r="AC649">
            <v>453.87464588884575</v>
          </cell>
          <cell r="AD649">
            <v>0</v>
          </cell>
          <cell r="AE649">
            <v>0</v>
          </cell>
        </row>
        <row r="651">
          <cell r="B651" t="str">
            <v>LV-ESWG-1.1</v>
          </cell>
          <cell r="C651" t="str">
            <v>400V Emergency Switchgear</v>
          </cell>
          <cell r="L651">
            <v>0.88000000000000012</v>
          </cell>
          <cell r="M651">
            <v>267.04545454545462</v>
          </cell>
          <cell r="N651">
            <v>144.13586727551188</v>
          </cell>
          <cell r="O651">
            <v>303.46074380165294</v>
          </cell>
          <cell r="Q651">
            <v>0.88000000000000012</v>
          </cell>
          <cell r="R651">
            <v>267.04545454545462</v>
          </cell>
          <cell r="S651">
            <v>144.13586727551188</v>
          </cell>
          <cell r="T651">
            <v>303.46074380165294</v>
          </cell>
          <cell r="Z651">
            <v>267.04545454545462</v>
          </cell>
          <cell r="AA651">
            <v>144.13586727551188</v>
          </cell>
          <cell r="AB651">
            <v>267.04545454545462</v>
          </cell>
          <cell r="AC651">
            <v>144.13586727551188</v>
          </cell>
          <cell r="AD651">
            <v>0</v>
          </cell>
          <cell r="AE651">
            <v>0</v>
          </cell>
        </row>
        <row r="653">
          <cell r="B653" t="str">
            <v>Sum Total</v>
          </cell>
          <cell r="C653" t="str">
            <v>Total Normal Plant Load incl. 20% Spare</v>
          </cell>
          <cell r="L653">
            <v>0.91598754503930979</v>
          </cell>
          <cell r="M653">
            <v>89162.309982711158</v>
          </cell>
          <cell r="N653">
            <v>39053.496393591304</v>
          </cell>
          <cell r="O653">
            <v>97340.089901424086</v>
          </cell>
          <cell r="Q653">
            <v>0.91602688171307467</v>
          </cell>
          <cell r="R653">
            <v>89022.309982711144</v>
          </cell>
          <cell r="S653">
            <v>38981.772266125015</v>
          </cell>
          <cell r="T653">
            <v>97183.075911734471</v>
          </cell>
        </row>
        <row r="654">
          <cell r="B654" t="str">
            <v>Sum Total</v>
          </cell>
          <cell r="C654" t="str">
            <v>Total Emergency Plant Load incl. 20% Spare</v>
          </cell>
          <cell r="L654">
            <v>0.88000000000000012</v>
          </cell>
          <cell r="M654">
            <v>320.45454545454555</v>
          </cell>
          <cell r="N654">
            <v>172.96304073061427</v>
          </cell>
          <cell r="O654">
            <v>364.15289256198355</v>
          </cell>
          <cell r="Q654">
            <v>0.88000000000000012</v>
          </cell>
          <cell r="R654">
            <v>320.45454545454555</v>
          </cell>
          <cell r="S654">
            <v>172.96304073061427</v>
          </cell>
          <cell r="T654">
            <v>364.15289256198355</v>
          </cell>
        </row>
        <row r="660">
          <cell r="A660" t="str">
            <v>No.</v>
          </cell>
          <cell r="B660" t="str">
            <v>Equip No.</v>
          </cell>
          <cell r="C660" t="str">
            <v>Description</v>
          </cell>
          <cell r="D660" t="str">
            <v>Bus</v>
          </cell>
          <cell r="E660" t="str">
            <v>Load Gourb</v>
          </cell>
          <cell r="F660" t="str">
            <v>Voltage</v>
          </cell>
          <cell r="G660" t="str">
            <v>MR NUMBER</v>
          </cell>
          <cell r="H660" t="str">
            <v>CABLE SPEC</v>
          </cell>
          <cell r="I660" t="str">
            <v>CABLE SIZE</v>
          </cell>
          <cell r="J660" t="str">
            <v>ENTRY SIZE</v>
          </cell>
          <cell r="K660" t="str">
            <v>LCS TYPE</v>
          </cell>
          <cell r="L660" t="str">
            <v>SCHEME</v>
          </cell>
          <cell r="M660" t="str">
            <v>FLC x 1.25</v>
          </cell>
          <cell r="N660" t="str">
            <v>CT RATIO
(PRIMARY)</v>
          </cell>
          <cell r="O660" t="str">
            <v>Load
Status
(Note 1)</v>
          </cell>
          <cell r="P660" t="str">
            <v>Load
Type
(Note 2)</v>
          </cell>
          <cell r="Q660" t="str">
            <v>Phase</v>
          </cell>
          <cell r="R660" t="str">
            <v>Rated
[kW]</v>
          </cell>
          <cell r="S660" t="str">
            <v>Absorbed
[kW]</v>
          </cell>
          <cell r="T660" t="str">
            <v>Load Factor
(Note 4)</v>
          </cell>
          <cell r="U660" t="str">
            <v>Power Factor</v>
          </cell>
          <cell r="V660" t="str">
            <v>Efficiency</v>
          </cell>
          <cell r="W660" t="str">
            <v>Full Load Current
[A]</v>
          </cell>
          <cell r="X660" t="str">
            <v>Duty
(Note 3)</v>
          </cell>
          <cell r="Y660" t="str">
            <v>Consumed Load</v>
          </cell>
          <cell r="AE660" t="str">
            <v>Starter / Feeder</v>
          </cell>
        </row>
        <row r="661">
          <cell r="Y661" t="str">
            <v>Continuous</v>
          </cell>
          <cell r="AA661" t="str">
            <v>Intermittent</v>
          </cell>
          <cell r="AC661" t="str">
            <v>Stand-by</v>
          </cell>
        </row>
        <row r="662">
          <cell r="Y662" t="str">
            <v>kW</v>
          </cell>
          <cell r="Z662" t="str">
            <v>kVAR</v>
          </cell>
          <cell r="AA662" t="str">
            <v>kW</v>
          </cell>
          <cell r="AB662" t="str">
            <v>kVAR</v>
          </cell>
          <cell r="AC662" t="str">
            <v>kW</v>
          </cell>
          <cell r="AD662" t="str">
            <v>kVAR</v>
          </cell>
        </row>
        <row r="663">
          <cell r="B663" t="str">
            <v>41-P-4102</v>
          </cell>
          <cell r="C663" t="str">
            <v>Reactor A Coolant Pump</v>
          </cell>
          <cell r="D663" t="str">
            <v>A</v>
          </cell>
          <cell r="E663" t="str">
            <v>4850-HDB-101A</v>
          </cell>
          <cell r="F663">
            <v>10000</v>
          </cell>
          <cell r="O663" t="str">
            <v>N</v>
          </cell>
          <cell r="P663" t="str">
            <v>M</v>
          </cell>
          <cell r="Q663">
            <v>3</v>
          </cell>
          <cell r="R663">
            <v>970</v>
          </cell>
          <cell r="S663">
            <v>870</v>
          </cell>
          <cell r="T663">
            <v>0.89690721649484539</v>
          </cell>
          <cell r="U663">
            <v>0.85</v>
          </cell>
          <cell r="V663">
            <v>0.95</v>
          </cell>
          <cell r="X663" t="str">
            <v>C</v>
          </cell>
          <cell r="Y663">
            <v>915.78947368421052</v>
          </cell>
          <cell r="Z663">
            <v>567.55534148494644</v>
          </cell>
          <cell r="AA663" t="str">
            <v/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</row>
        <row r="664">
          <cell r="B664" t="str">
            <v>41-P-4101</v>
          </cell>
          <cell r="C664" t="str">
            <v>Reactor A Circulation Pump</v>
          </cell>
          <cell r="D664" t="str">
            <v>B</v>
          </cell>
          <cell r="E664" t="str">
            <v>4850-HDB-101B</v>
          </cell>
          <cell r="F664">
            <v>10000</v>
          </cell>
          <cell r="O664" t="str">
            <v>N</v>
          </cell>
          <cell r="P664" t="str">
            <v>M</v>
          </cell>
          <cell r="Q664">
            <v>3</v>
          </cell>
          <cell r="R664">
            <v>2600</v>
          </cell>
          <cell r="S664">
            <v>1600</v>
          </cell>
          <cell r="T664">
            <v>0.61538461538461542</v>
          </cell>
          <cell r="U664">
            <v>0.85</v>
          </cell>
          <cell r="V664">
            <v>0.95</v>
          </cell>
          <cell r="X664" t="str">
            <v>C</v>
          </cell>
          <cell r="Y664">
            <v>1684.2105263157896</v>
          </cell>
          <cell r="Z664">
            <v>1043.77993836312</v>
          </cell>
          <cell r="AA664" t="str">
            <v/>
          </cell>
          <cell r="AB664" t="str">
            <v/>
          </cell>
          <cell r="AC664" t="str">
            <v/>
          </cell>
          <cell r="AD664" t="str">
            <v/>
          </cell>
          <cell r="AE664" t="str">
            <v>SOFT STARTER</v>
          </cell>
        </row>
        <row r="665">
          <cell r="B665" t="str">
            <v>41-PK-6040-2</v>
          </cell>
          <cell r="C665" t="str">
            <v>Extruder Gear Pump</v>
          </cell>
          <cell r="D665" t="str">
            <v>A</v>
          </cell>
          <cell r="E665" t="str">
            <v>4850-HDB-101A</v>
          </cell>
          <cell r="F665">
            <v>10000</v>
          </cell>
          <cell r="O665" t="str">
            <v>N</v>
          </cell>
          <cell r="P665" t="str">
            <v>M</v>
          </cell>
          <cell r="Q665">
            <v>3</v>
          </cell>
          <cell r="R665">
            <v>2500</v>
          </cell>
          <cell r="S665">
            <v>2250</v>
          </cell>
          <cell r="T665">
            <v>0.9</v>
          </cell>
          <cell r="U665">
            <v>0.85</v>
          </cell>
          <cell r="V665">
            <v>0.95</v>
          </cell>
          <cell r="X665" t="str">
            <v>C</v>
          </cell>
          <cell r="Y665">
            <v>2368.4210526315792</v>
          </cell>
          <cell r="Z665">
            <v>1467.8155383231374</v>
          </cell>
          <cell r="AA665" t="str">
            <v/>
          </cell>
          <cell r="AB665" t="str">
            <v/>
          </cell>
          <cell r="AC665" t="str">
            <v/>
          </cell>
          <cell r="AD665" t="str">
            <v/>
          </cell>
          <cell r="AE665" t="str">
            <v>VSD</v>
          </cell>
        </row>
        <row r="666">
          <cell r="B666" t="str">
            <v>41-BL-6001A</v>
          </cell>
          <cell r="C666" t="str">
            <v>Fluff Transfer Blower</v>
          </cell>
          <cell r="D666" t="str">
            <v>B</v>
          </cell>
          <cell r="E666" t="str">
            <v>4850-HDB-101B</v>
          </cell>
          <cell r="F666">
            <v>10000</v>
          </cell>
          <cell r="O666" t="str">
            <v>N</v>
          </cell>
          <cell r="P666" t="str">
            <v>M</v>
          </cell>
          <cell r="Q666">
            <v>3</v>
          </cell>
          <cell r="R666">
            <v>700</v>
          </cell>
          <cell r="S666">
            <v>550</v>
          </cell>
          <cell r="T666">
            <v>0.7857142857142857</v>
          </cell>
          <cell r="U666">
            <v>0.85</v>
          </cell>
          <cell r="V666">
            <v>0.95</v>
          </cell>
          <cell r="X666" t="str">
            <v>C</v>
          </cell>
          <cell r="Y666">
            <v>578.94736842105272</v>
          </cell>
          <cell r="Z666">
            <v>358.79935381232247</v>
          </cell>
          <cell r="AA666" t="str">
            <v/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</row>
        <row r="667">
          <cell r="B667" t="str">
            <v>41-BL-6001B</v>
          </cell>
          <cell r="C667" t="str">
            <v>Fluff Transfer Blower</v>
          </cell>
          <cell r="D667" t="str">
            <v>A</v>
          </cell>
          <cell r="E667" t="str">
            <v>4850-HDB-101A</v>
          </cell>
          <cell r="F667">
            <v>10000</v>
          </cell>
          <cell r="O667" t="str">
            <v>N</v>
          </cell>
          <cell r="P667" t="str">
            <v>M</v>
          </cell>
          <cell r="Q667">
            <v>3</v>
          </cell>
          <cell r="R667">
            <v>700</v>
          </cell>
          <cell r="S667">
            <v>550</v>
          </cell>
          <cell r="T667">
            <v>0.7857142857142857</v>
          </cell>
          <cell r="U667">
            <v>0.85</v>
          </cell>
          <cell r="V667">
            <v>0.95</v>
          </cell>
          <cell r="X667" t="str">
            <v>S</v>
          </cell>
          <cell r="Y667" t="str">
            <v/>
          </cell>
          <cell r="Z667" t="str">
            <v/>
          </cell>
          <cell r="AA667" t="str">
            <v/>
          </cell>
          <cell r="AB667" t="str">
            <v/>
          </cell>
          <cell r="AC667">
            <v>578.94736842105272</v>
          </cell>
          <cell r="AD667">
            <v>358.79935381232247</v>
          </cell>
          <cell r="AE667" t="str">
            <v/>
          </cell>
        </row>
        <row r="668">
          <cell r="B668" t="str">
            <v>41-K-7001A</v>
          </cell>
          <cell r="C668" t="str">
            <v>Product Transfer Blower</v>
          </cell>
          <cell r="D668" t="str">
            <v>B</v>
          </cell>
          <cell r="E668" t="str">
            <v>4850-HDB-101B</v>
          </cell>
          <cell r="F668">
            <v>10000</v>
          </cell>
          <cell r="O668" t="str">
            <v>N</v>
          </cell>
          <cell r="P668" t="str">
            <v>M</v>
          </cell>
          <cell r="Q668">
            <v>3</v>
          </cell>
          <cell r="R668">
            <v>800</v>
          </cell>
          <cell r="S668">
            <v>730</v>
          </cell>
          <cell r="T668">
            <v>0.91249999999999998</v>
          </cell>
          <cell r="U668">
            <v>0.85</v>
          </cell>
          <cell r="V668">
            <v>0.95</v>
          </cell>
          <cell r="X668" t="str">
            <v>C</v>
          </cell>
          <cell r="Y668">
            <v>768.42105263157896</v>
          </cell>
          <cell r="Z668">
            <v>476.22459687817343</v>
          </cell>
          <cell r="AA668" t="str">
            <v/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</row>
        <row r="669">
          <cell r="B669" t="str">
            <v>41-K-7001B</v>
          </cell>
          <cell r="C669" t="str">
            <v>Product Transfer Blower</v>
          </cell>
          <cell r="D669" t="str">
            <v>A</v>
          </cell>
          <cell r="E669" t="str">
            <v>4850-HDB-101A</v>
          </cell>
          <cell r="F669">
            <v>10000</v>
          </cell>
          <cell r="O669" t="str">
            <v>N</v>
          </cell>
          <cell r="P669" t="str">
            <v>M</v>
          </cell>
          <cell r="Q669">
            <v>3</v>
          </cell>
          <cell r="R669">
            <v>800</v>
          </cell>
          <cell r="S669">
            <v>730</v>
          </cell>
          <cell r="T669">
            <v>0.91249999999999998</v>
          </cell>
          <cell r="U669">
            <v>0.85</v>
          </cell>
          <cell r="V669">
            <v>0.95</v>
          </cell>
          <cell r="X669" t="str">
            <v>S</v>
          </cell>
          <cell r="Y669" t="str">
            <v/>
          </cell>
          <cell r="Z669" t="str">
            <v/>
          </cell>
          <cell r="AA669" t="str">
            <v/>
          </cell>
          <cell r="AB669" t="str">
            <v/>
          </cell>
          <cell r="AC669">
            <v>768.42105263157896</v>
          </cell>
          <cell r="AD669">
            <v>476.22459687817343</v>
          </cell>
          <cell r="AE669" t="str">
            <v/>
          </cell>
        </row>
        <row r="670">
          <cell r="B670" t="str">
            <v>41-K-2401A</v>
          </cell>
          <cell r="C670" t="str">
            <v xml:space="preserve">Ethylene Feed Compressor </v>
          </cell>
          <cell r="D670" t="str">
            <v>A</v>
          </cell>
          <cell r="E670" t="str">
            <v>4850-HDB-101A</v>
          </cell>
          <cell r="F670">
            <v>10000</v>
          </cell>
          <cell r="O670" t="str">
            <v>N</v>
          </cell>
          <cell r="P670" t="str">
            <v>M</v>
          </cell>
          <cell r="Q670">
            <v>3</v>
          </cell>
          <cell r="R670">
            <v>1500</v>
          </cell>
          <cell r="S670">
            <v>1311</v>
          </cell>
          <cell r="T670">
            <v>0.874</v>
          </cell>
          <cell r="U670">
            <v>0.85</v>
          </cell>
          <cell r="V670">
            <v>0.95</v>
          </cell>
          <cell r="X670" t="str">
            <v>C</v>
          </cell>
          <cell r="Y670">
            <v>1380</v>
          </cell>
          <cell r="Z670">
            <v>855.24718699628124</v>
          </cell>
          <cell r="AA670" t="str">
            <v/>
          </cell>
          <cell r="AB670" t="str">
            <v/>
          </cell>
          <cell r="AC670" t="str">
            <v/>
          </cell>
          <cell r="AD670" t="str">
            <v/>
          </cell>
          <cell r="AE670" t="str">
            <v>SOFT STARTER</v>
          </cell>
        </row>
        <row r="671">
          <cell r="B671" t="str">
            <v>41-K-2401B</v>
          </cell>
          <cell r="C671" t="str">
            <v xml:space="preserve">Ethylene Feed Compressor </v>
          </cell>
          <cell r="D671" t="str">
            <v>A</v>
          </cell>
          <cell r="E671" t="str">
            <v>4850-HDB-101A</v>
          </cell>
          <cell r="F671">
            <v>10000</v>
          </cell>
          <cell r="O671" t="str">
            <v>N</v>
          </cell>
          <cell r="P671" t="str">
            <v>M</v>
          </cell>
          <cell r="Q671">
            <v>3</v>
          </cell>
          <cell r="R671">
            <v>1500</v>
          </cell>
          <cell r="S671">
            <v>1311</v>
          </cell>
          <cell r="T671">
            <v>0.874</v>
          </cell>
          <cell r="U671">
            <v>0.85</v>
          </cell>
          <cell r="V671">
            <v>0.95</v>
          </cell>
          <cell r="X671" t="str">
            <v>C</v>
          </cell>
          <cell r="Y671">
            <v>1380</v>
          </cell>
          <cell r="Z671">
            <v>855.24718699628124</v>
          </cell>
          <cell r="AA671" t="str">
            <v/>
          </cell>
          <cell r="AB671" t="str">
            <v/>
          </cell>
          <cell r="AC671" t="str">
            <v/>
          </cell>
          <cell r="AD671" t="str">
            <v/>
          </cell>
          <cell r="AE671" t="str">
            <v>SOFT STARTER</v>
          </cell>
        </row>
        <row r="672">
          <cell r="B672" t="str">
            <v>41-P-4202</v>
          </cell>
          <cell r="C672" t="str">
            <v>Reactor B Coolant Pump</v>
          </cell>
          <cell r="D672" t="str">
            <v>B</v>
          </cell>
          <cell r="E672" t="str">
            <v>4850-HDB-101B</v>
          </cell>
          <cell r="F672">
            <v>10000</v>
          </cell>
          <cell r="O672" t="str">
            <v>N</v>
          </cell>
          <cell r="P672" t="str">
            <v>M</v>
          </cell>
          <cell r="Q672">
            <v>3</v>
          </cell>
          <cell r="R672">
            <v>970</v>
          </cell>
          <cell r="S672">
            <v>870</v>
          </cell>
          <cell r="T672">
            <v>0.89690721649484539</v>
          </cell>
          <cell r="U672">
            <v>0.85</v>
          </cell>
          <cell r="V672">
            <v>0.95</v>
          </cell>
          <cell r="X672" t="str">
            <v>C</v>
          </cell>
          <cell r="Y672">
            <v>915.78947368421052</v>
          </cell>
          <cell r="Z672">
            <v>567.55534148494644</v>
          </cell>
          <cell r="AA672" t="str">
            <v/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</row>
        <row r="673">
          <cell r="B673" t="str">
            <v>41-P-4201</v>
          </cell>
          <cell r="C673" t="str">
            <v>Reactor B Circulation Pump</v>
          </cell>
          <cell r="D673" t="str">
            <v>A</v>
          </cell>
          <cell r="E673" t="str">
            <v>4850-HDB-101A</v>
          </cell>
          <cell r="F673">
            <v>10000</v>
          </cell>
          <cell r="O673" t="str">
            <v>N</v>
          </cell>
          <cell r="P673" t="str">
            <v>M</v>
          </cell>
          <cell r="Q673">
            <v>3</v>
          </cell>
          <cell r="R673">
            <v>2600</v>
          </cell>
          <cell r="S673">
            <v>1600</v>
          </cell>
          <cell r="T673">
            <v>0.61538461538461542</v>
          </cell>
          <cell r="U673">
            <v>0.85</v>
          </cell>
          <cell r="V673">
            <v>0.95</v>
          </cell>
          <cell r="X673" t="str">
            <v>C</v>
          </cell>
          <cell r="Y673">
            <v>1684.2105263157896</v>
          </cell>
          <cell r="Z673">
            <v>1043.77993836312</v>
          </cell>
          <cell r="AA673" t="str">
            <v/>
          </cell>
          <cell r="AB673" t="str">
            <v/>
          </cell>
          <cell r="AC673" t="str">
            <v/>
          </cell>
          <cell r="AD673" t="str">
            <v/>
          </cell>
          <cell r="AE673" t="str">
            <v>SOFT STARTER</v>
          </cell>
        </row>
        <row r="674">
          <cell r="B674" t="str">
            <v>41-K-5021</v>
          </cell>
          <cell r="C674" t="str">
            <v xml:space="preserve">INRU Compressor </v>
          </cell>
          <cell r="D674" t="str">
            <v>B</v>
          </cell>
          <cell r="E674" t="str">
            <v>4850-HDB-101B</v>
          </cell>
          <cell r="F674">
            <v>10000</v>
          </cell>
          <cell r="O674" t="str">
            <v>N</v>
          </cell>
          <cell r="P674" t="str">
            <v>M</v>
          </cell>
          <cell r="Q674">
            <v>3</v>
          </cell>
          <cell r="R674">
            <v>2100</v>
          </cell>
          <cell r="S674">
            <v>1500</v>
          </cell>
          <cell r="T674">
            <v>0.7142857142857143</v>
          </cell>
          <cell r="U674">
            <v>0.85</v>
          </cell>
          <cell r="V674">
            <v>0.95</v>
          </cell>
          <cell r="X674" t="str">
            <v>C</v>
          </cell>
          <cell r="Y674">
            <v>1578.9473684210527</v>
          </cell>
          <cell r="Z674">
            <v>978.54369221542493</v>
          </cell>
          <cell r="AA674" t="str">
            <v/>
          </cell>
          <cell r="AB674" t="str">
            <v/>
          </cell>
          <cell r="AC674" t="str">
            <v/>
          </cell>
          <cell r="AD674" t="str">
            <v/>
          </cell>
          <cell r="AE674" t="str">
            <v>SOFT STARTER</v>
          </cell>
        </row>
        <row r="675">
          <cell r="B675" t="str">
            <v>63-P-0001C</v>
          </cell>
          <cell r="C675" t="str">
            <v>Cooling Water Pump (Motor-driven)</v>
          </cell>
          <cell r="D675" t="str">
            <v>A</v>
          </cell>
          <cell r="E675" t="str">
            <v>4850-HDB-101A</v>
          </cell>
          <cell r="F675">
            <v>10000</v>
          </cell>
          <cell r="O675" t="str">
            <v>N</v>
          </cell>
          <cell r="P675" t="str">
            <v>M</v>
          </cell>
          <cell r="Q675">
            <v>3</v>
          </cell>
          <cell r="R675">
            <v>2950</v>
          </cell>
          <cell r="S675">
            <v>2400</v>
          </cell>
          <cell r="T675">
            <v>0.81355932203389836</v>
          </cell>
          <cell r="U675">
            <v>0.85</v>
          </cell>
          <cell r="V675">
            <v>0.95</v>
          </cell>
          <cell r="X675" t="str">
            <v>C</v>
          </cell>
          <cell r="Y675">
            <v>2526.3157894736842</v>
          </cell>
          <cell r="Z675">
            <v>1565.6699075446797</v>
          </cell>
          <cell r="AA675" t="str">
            <v/>
          </cell>
          <cell r="AB675" t="str">
            <v/>
          </cell>
          <cell r="AC675" t="str">
            <v/>
          </cell>
          <cell r="AD675" t="str">
            <v/>
          </cell>
          <cell r="AE675" t="str">
            <v>SOFT STARTER</v>
          </cell>
        </row>
        <row r="676">
          <cell r="B676" t="str">
            <v>63-P-0001D</v>
          </cell>
          <cell r="C676" t="str">
            <v>Cooling Water Pump (Motor-driven)</v>
          </cell>
          <cell r="D676" t="str">
            <v>B</v>
          </cell>
          <cell r="E676" t="str">
            <v>4850-HDB-101B</v>
          </cell>
          <cell r="F676">
            <v>10000</v>
          </cell>
          <cell r="O676" t="str">
            <v>N</v>
          </cell>
          <cell r="P676" t="str">
            <v>M</v>
          </cell>
          <cell r="Q676">
            <v>3</v>
          </cell>
          <cell r="R676">
            <v>2950</v>
          </cell>
          <cell r="S676">
            <v>2400</v>
          </cell>
          <cell r="T676">
            <v>0.81355932203389836</v>
          </cell>
          <cell r="U676">
            <v>0.85</v>
          </cell>
          <cell r="V676">
            <v>0.95</v>
          </cell>
          <cell r="X676" t="str">
            <v>C</v>
          </cell>
          <cell r="Y676">
            <v>2526.3157894736842</v>
          </cell>
          <cell r="Z676">
            <v>1565.6699075446797</v>
          </cell>
          <cell r="AA676" t="str">
            <v/>
          </cell>
          <cell r="AB676" t="str">
            <v/>
          </cell>
          <cell r="AC676" t="str">
            <v/>
          </cell>
          <cell r="AD676" t="str">
            <v/>
          </cell>
          <cell r="AE676" t="str">
            <v>SOFT STARTER</v>
          </cell>
        </row>
        <row r="677">
          <cell r="B677" t="str">
            <v>63-P-0001E</v>
          </cell>
          <cell r="C677" t="str">
            <v>Cooling Water Pump (Motor-driven)</v>
          </cell>
          <cell r="D677" t="str">
            <v>A</v>
          </cell>
          <cell r="E677" t="str">
            <v>4850-HDB-101A</v>
          </cell>
          <cell r="F677">
            <v>10000</v>
          </cell>
          <cell r="O677" t="str">
            <v>N</v>
          </cell>
          <cell r="P677" t="str">
            <v>M</v>
          </cell>
          <cell r="Q677">
            <v>3</v>
          </cell>
          <cell r="R677">
            <v>2950</v>
          </cell>
          <cell r="S677">
            <v>2400</v>
          </cell>
          <cell r="T677">
            <v>0.81355932203389836</v>
          </cell>
          <cell r="U677">
            <v>0.85</v>
          </cell>
          <cell r="V677">
            <v>0.95</v>
          </cell>
          <cell r="X677" t="str">
            <v>S</v>
          </cell>
          <cell r="Y677" t="str">
            <v/>
          </cell>
          <cell r="Z677" t="str">
            <v/>
          </cell>
          <cell r="AA677" t="str">
            <v/>
          </cell>
          <cell r="AB677" t="str">
            <v/>
          </cell>
          <cell r="AC677">
            <v>2526.3157894736842</v>
          </cell>
          <cell r="AD677">
            <v>1565.6699075446797</v>
          </cell>
          <cell r="AE677" t="str">
            <v>SOFT STARTER</v>
          </cell>
        </row>
        <row r="679">
          <cell r="B679" t="str">
            <v>41-E-2016</v>
          </cell>
          <cell r="C679" t="str">
            <v>Ethylene Treater Regeneration Heater</v>
          </cell>
          <cell r="D679" t="str">
            <v>A</v>
          </cell>
          <cell r="E679" t="str">
            <v>4850-HDB-101A</v>
          </cell>
          <cell r="F679">
            <v>10000</v>
          </cell>
          <cell r="G679" t="str">
            <v>MS-xxxx</v>
          </cell>
          <cell r="M679" t="str">
            <v/>
          </cell>
          <cell r="O679" t="str">
            <v>N</v>
          </cell>
          <cell r="P679" t="str">
            <v>F</v>
          </cell>
          <cell r="Q679">
            <v>3</v>
          </cell>
          <cell r="R679">
            <v>820</v>
          </cell>
          <cell r="S679">
            <v>656</v>
          </cell>
          <cell r="T679">
            <v>0.8</v>
          </cell>
          <cell r="U679">
            <v>0.85</v>
          </cell>
          <cell r="V679">
            <v>1</v>
          </cell>
          <cell r="X679" t="str">
            <v>C</v>
          </cell>
          <cell r="Y679">
            <v>656</v>
          </cell>
          <cell r="Z679">
            <v>406.55228599243515</v>
          </cell>
          <cell r="AA679" t="str">
            <v/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</row>
        <row r="680">
          <cell r="B680" t="str">
            <v>41-E-5016</v>
          </cell>
          <cell r="C680" t="str">
            <v>Treater Regeneration Heater</v>
          </cell>
          <cell r="D680" t="str">
            <v>B</v>
          </cell>
          <cell r="E680" t="str">
            <v>4850-HDB-101B</v>
          </cell>
          <cell r="F680">
            <v>10000</v>
          </cell>
          <cell r="G680" t="str">
            <v>MS-xxxx</v>
          </cell>
          <cell r="M680" t="str">
            <v/>
          </cell>
          <cell r="O680" t="str">
            <v>N</v>
          </cell>
          <cell r="P680" t="str">
            <v>F</v>
          </cell>
          <cell r="Q680">
            <v>3</v>
          </cell>
          <cell r="R680">
            <v>600</v>
          </cell>
          <cell r="S680">
            <v>480</v>
          </cell>
          <cell r="T680">
            <v>0.8</v>
          </cell>
          <cell r="U680">
            <v>0.85</v>
          </cell>
          <cell r="V680">
            <v>1</v>
          </cell>
          <cell r="X680" t="str">
            <v>C</v>
          </cell>
          <cell r="Y680">
            <v>480</v>
          </cell>
          <cell r="Z680">
            <v>297.47728243348917</v>
          </cell>
          <cell r="AA680" t="str">
            <v/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</row>
        <row r="681">
          <cell r="B681" t="str">
            <v>41-E-5058</v>
          </cell>
          <cell r="C681" t="str">
            <v>Light Olefin Recovery Heater</v>
          </cell>
          <cell r="D681" t="str">
            <v>A</v>
          </cell>
          <cell r="E681" t="str">
            <v>4850-HDB-101A</v>
          </cell>
          <cell r="F681">
            <v>10000</v>
          </cell>
          <cell r="G681" t="str">
            <v>MS-xxxx</v>
          </cell>
          <cell r="M681" t="str">
            <v/>
          </cell>
          <cell r="O681" t="str">
            <v>N</v>
          </cell>
          <cell r="P681" t="str">
            <v>F</v>
          </cell>
          <cell r="Q681">
            <v>3</v>
          </cell>
          <cell r="R681">
            <v>200</v>
          </cell>
          <cell r="S681">
            <v>160</v>
          </cell>
          <cell r="T681">
            <v>0.8</v>
          </cell>
          <cell r="U681">
            <v>0.85</v>
          </cell>
          <cell r="V681">
            <v>1</v>
          </cell>
          <cell r="X681" t="str">
            <v>C</v>
          </cell>
          <cell r="Y681">
            <v>160</v>
          </cell>
          <cell r="Z681">
            <v>99.159094144496379</v>
          </cell>
          <cell r="AA681" t="str">
            <v/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ons"/>
      <sheetName val="Notes"/>
      <sheetName val="Official_REV.C"/>
      <sheetName val="Cable Data"/>
      <sheetName val="Length"/>
      <sheetName val="Tray Sizing"/>
      <sheetName val="Tray Result"/>
      <sheetName val="Panel"/>
      <sheetName val="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ons"/>
      <sheetName val="Notes"/>
      <sheetName val="Official_REV.C"/>
      <sheetName val="Cable Data"/>
      <sheetName val="Length"/>
      <sheetName val="Tray Sizing"/>
      <sheetName val="Tray Result"/>
      <sheetName val="Panel"/>
      <sheetName val="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LIST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예산서"/>
      <sheetName val="Cover"/>
      <sheetName val="산출기준"/>
      <sheetName val="CABLE"/>
      <sheetName val="JUNCTION BOX"/>
      <sheetName val="TRAY"/>
      <sheetName val="PIPE"/>
      <sheetName val="PIPE FITTING"/>
      <sheetName val="TUBE"/>
      <sheetName val="TUBE FITTING"/>
      <sheetName val="CABLE GLAND"/>
      <sheetName val="VALVE"/>
      <sheetName val="MCT"/>
      <sheetName val="SUPPORT"/>
      <sheetName val="수입"/>
      <sheetName val="fdn_bm_pro"/>
      <sheetName val="P3"/>
      <sheetName val="Sheet1"/>
      <sheetName val="전기일위대가"/>
      <sheetName val="갑지(추정)"/>
      <sheetName val="CAT_5"/>
      <sheetName val="CONS. EQUIP.  "/>
      <sheetName val="투입실적"/>
      <sheetName val="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OEC"/>
      <sheetName val="T1"/>
      <sheetName val="일위대가"/>
      <sheetName val="VA_code"/>
      <sheetName val="가시설공"/>
      <sheetName val="REINF."/>
      <sheetName val="SKETCH"/>
      <sheetName val="LOADS"/>
      <sheetName val="CHECK1"/>
      <sheetName val="기별수량산출서"/>
      <sheetName val="출력X"/>
      <sheetName val="PRO_A"/>
      <sheetName val="DWG"/>
      <sheetName val="ELEC_MCI"/>
      <sheetName val="MAIN"/>
      <sheetName val="INST_MCI"/>
      <sheetName val="MECH_MCI"/>
      <sheetName val="PRO"/>
      <sheetName val="ELEC_DCI"/>
      <sheetName val="INST_DCI"/>
      <sheetName val="SPEC"/>
      <sheetName val="ACTDATA"/>
      <sheetName val="ITB COST"/>
      <sheetName val="97 사업추정(WEKI)"/>
      <sheetName val="건축"/>
      <sheetName val="PIP"/>
      <sheetName val="환율표"/>
      <sheetName val="90EL JACKET"/>
      <sheetName val="BAND(200)"/>
      <sheetName val="보온재"/>
      <sheetName val="FACTOR"/>
      <sheetName val="인건비"/>
      <sheetName val="보온 회사분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JUNCTION_BOX"/>
      <sheetName val="PIPE_FITTING"/>
      <sheetName val="TUBE_FITTING"/>
      <sheetName val="CABLE_GLAND"/>
      <sheetName val="BLR_1"/>
      <sheetName val="CONS__EQUIP___"/>
      <sheetName val="REINF_"/>
      <sheetName val="토공"/>
      <sheetName val="TL,Termination"/>
      <sheetName val="Cable,Conduit"/>
      <sheetName val="WORK"/>
      <sheetName val="h-013211-2"/>
      <sheetName val="예산"/>
      <sheetName val="Cost control"/>
      <sheetName val="#REF"/>
      <sheetName val="부표총괄"/>
      <sheetName val="Elect"/>
      <sheetName val="FIRE FIGHTING"/>
      <sheetName val="소비자가"/>
      <sheetName val="을"/>
      <sheetName val="내역"/>
      <sheetName val="내역서"/>
      <sheetName val="Macro(전선)"/>
      <sheetName val="Tipo Terzi"/>
      <sheetName val="plan&amp;section of foundation"/>
      <sheetName val="design criteria"/>
      <sheetName val="주관사업"/>
      <sheetName val="요약배부"/>
      <sheetName val="9-1차이내역"/>
      <sheetName val="도"/>
      <sheetName val="CIVIL"/>
      <sheetName val="SHL"/>
      <sheetName val="Y-WORK"/>
      <sheetName val="DESCRIPTION"/>
      <sheetName val="BM DATA SHEET"/>
      <sheetName val="배관"/>
      <sheetName val="working load at the btm ft."/>
      <sheetName val="stability check"/>
      <sheetName val="BB2현대건설견적"/>
      <sheetName val="DATA"/>
      <sheetName val="PBS"/>
      <sheetName val="costing_CV"/>
      <sheetName val="costing_ESDV"/>
      <sheetName val="costing_FE"/>
      <sheetName val="costing_Misc"/>
      <sheetName val="costing_MOV"/>
      <sheetName val="costing_Press"/>
      <sheetName val="PRC-SUM"/>
      <sheetName val="Dati"/>
      <sheetName val="DN"/>
      <sheetName val="Fluidi"/>
      <sheetName val="Temperatura"/>
      <sheetName val="Mat Stelo"/>
      <sheetName val="N+"/>
      <sheetName val="CHK_OUT_BM_090914"/>
      <sheetName val="Unit SUM"/>
      <sheetName val="AILC004"/>
      <sheetName val="BREAKDOWN"/>
      <sheetName val="조경"/>
      <sheetName val="환율"/>
      <sheetName val="DWTables"/>
      <sheetName val="1.설계기준"/>
      <sheetName val="R2_0908"/>
      <sheetName val="BAP"/>
      <sheetName val="HRS"/>
      <sheetName val="방유제용량 계산서"/>
      <sheetName val="bill 2"/>
      <sheetName val="Resource"/>
      <sheetName val="95삼성급(본사)"/>
      <sheetName val="Break Dw"/>
      <sheetName val="TblPriceDB"/>
      <sheetName val="Total"/>
      <sheetName val="MOTOR"/>
      <sheetName val="Page2"/>
      <sheetName val="OUTER AREA(겹침없음)"/>
      <sheetName val="JACKET(50,50)"/>
      <sheetName val="FLANGE"/>
      <sheetName val="Tables"/>
      <sheetName val="dnc4"/>
      <sheetName val="DATA1"/>
      <sheetName val="Sheet2"/>
      <sheetName val="제품현황"/>
      <sheetName val="pile bearing capa &amp; arrenge"/>
      <sheetName val="design load"/>
      <sheetName val="oper_load"/>
      <sheetName val="evap"/>
      <sheetName val="Fab. Skid"/>
      <sheetName val="Material Specification"/>
      <sheetName val="special item 양진규 작성"/>
      <sheetName val="CODE"/>
      <sheetName val="정부노임단가"/>
      <sheetName val="인원계획"/>
      <sheetName val="lookup"/>
      <sheetName val="SILICATE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표지 (2)"/>
      <sheetName val="자료"/>
      <sheetName val="Condition"/>
      <sheetName val="Sheet5"/>
      <sheetName val="ITB_COST"/>
      <sheetName val="Mat_Stelo"/>
      <sheetName val="Unit_SUM"/>
      <sheetName val="CAPVC"/>
      <sheetName val="CAL"/>
      <sheetName val="Sch.6"/>
      <sheetName val="세금자료"/>
      <sheetName val="경제지표"/>
      <sheetName val="대비내역"/>
      <sheetName val="Schedule(1)"/>
      <sheetName val="개시대사 (2)"/>
      <sheetName val="집계표"/>
      <sheetName val="A-4"/>
      <sheetName val="단가정보"/>
      <sheetName val="INPUT DATA"/>
      <sheetName val="CSTSUM"/>
      <sheetName val="UNSTEADY"/>
      <sheetName val="data_dci"/>
      <sheetName val="data_mci"/>
      <sheetName val="behind"/>
      <sheetName val="combi(wall)"/>
      <sheetName val="평3"/>
      <sheetName val="입고장부 (4)"/>
      <sheetName val="공통비"/>
      <sheetName val="FEUILLE INTERNE"/>
      <sheetName val="역T형"/>
      <sheetName val="IT-BAT"/>
      <sheetName val="sum"/>
      <sheetName val="sheeet2"/>
      <sheetName val="7_5_1(A)_Data1"/>
      <sheetName val="7_5_1(B)_BOQ_Breakdown1"/>
      <sheetName val="7_5_1(C)_Scope1"/>
      <sheetName val="7_5_1(D)_Basis1"/>
      <sheetName val="7_5_1(E)_Allowance1"/>
      <sheetName val="7_5_2_BOQ_Summary1"/>
      <sheetName val="7_5_3_BOQ1"/>
      <sheetName val="A__Erec_BOQ(Shop)1"/>
      <sheetName val="B__Erec_BOQ(Field)1"/>
      <sheetName val="C__Surface_Protection1"/>
      <sheetName val="A__Erec_BOQ(Shop)_(2)1"/>
      <sheetName val="B__Erec_BOQ(Field)_(2)1"/>
      <sheetName val="C__Surf_Protection1"/>
      <sheetName val="Attachment_#11"/>
      <sheetName val="Attachment_#21"/>
      <sheetName val="302_C11"/>
      <sheetName val="302_C21"/>
      <sheetName val="SUPPLY_(2)1"/>
      <sheetName val="RETURN_(2)1"/>
      <sheetName val="303_(2)1"/>
      <sheetName val="308_(2)1"/>
      <sheetName val="309_(2)1"/>
      <sheetName val="JUNCTION_BOX1"/>
      <sheetName val="PIPE_FITTING1"/>
      <sheetName val="TUBE_FITTING1"/>
      <sheetName val="CABLE_GLAND1"/>
      <sheetName val="CONS__EQUIP___1"/>
      <sheetName val="REINF_1"/>
      <sheetName val="BLR_11"/>
      <sheetName val="97_사업추정(WEKI)"/>
      <sheetName val="Cost_control"/>
      <sheetName val="90EL_JACKET"/>
      <sheetName val="보온_회사분"/>
      <sheetName val="FIRE_FIGHTING"/>
      <sheetName val="Tipo_Terzi"/>
      <sheetName val="plan&amp;section_of_foundation"/>
      <sheetName val="design_criteria"/>
      <sheetName val="BM_DATA_SHEET"/>
      <sheetName val="仪表分析表"/>
      <sheetName val="인원현황"/>
      <sheetName val="CAMP - CONSTRUCTION"/>
      <sheetName val="eq_data _x0000__x0000__x0000__x0000_"/>
      <sheetName val="IBL-C"/>
      <sheetName val="BLDG_MCI"/>
      <sheetName val="변수적용"/>
      <sheetName val="e4-6-%"/>
      <sheetName val="설계조건"/>
      <sheetName val="조명시설"/>
      <sheetName val="심사계산"/>
      <sheetName val="심사물량"/>
      <sheetName val="건축내역"/>
      <sheetName val="COMPARISON TABLE"/>
      <sheetName val="L V Separator"/>
      <sheetName val="EG-09"/>
      <sheetName val="총괄표양식"/>
      <sheetName val="차량운영비"/>
      <sheetName val="세부내역"/>
      <sheetName val="E_Rate PM"/>
      <sheetName val="Schedule 2 and 3"/>
      <sheetName val="갑지"/>
      <sheetName val="input"/>
      <sheetName val="CAL."/>
      <sheetName val="BOQ건축"/>
      <sheetName val="견적의뢰"/>
      <sheetName val="BSD (2)"/>
      <sheetName val="KLHT"/>
      <sheetName val="General"/>
      <sheetName val="Menus"/>
      <sheetName val="단가"/>
      <sheetName val="TRAY BM"/>
      <sheetName val="Set"/>
      <sheetName val="품셈1-17"/>
      <sheetName val="11.자재단가"/>
      <sheetName val="Imp-Data"/>
      <sheetName val="PROJECT"/>
      <sheetName val="1 OF 9"/>
      <sheetName val="품셈 "/>
      <sheetName val="PAINT"/>
      <sheetName val="방화도료"/>
      <sheetName val="Cover sheet"/>
      <sheetName val="원본"/>
      <sheetName val="EE-PROP"/>
      <sheetName val="LD-OVERALL"/>
      <sheetName val="BOQ"/>
      <sheetName val="7_5_1(A)_Data2"/>
      <sheetName val="7_5_1(B)_BOQ_Breakdown2"/>
      <sheetName val="7_5_1(C)_Scope2"/>
      <sheetName val="7_5_1(D)_Basis2"/>
      <sheetName val="7_5_1(E)_Allowance2"/>
      <sheetName val="7_5_2_BOQ_Summary2"/>
      <sheetName val="7_5_3_BOQ2"/>
      <sheetName val="A__Erec_BOQ(Shop)2"/>
      <sheetName val="B__Erec_BOQ(Field)2"/>
      <sheetName val="C__Surface_Protection2"/>
      <sheetName val="A__Erec_BOQ(Shop)_(2)2"/>
      <sheetName val="B__Erec_BOQ(Field)_(2)2"/>
      <sheetName val="C__Surf_Protection2"/>
      <sheetName val="Attachment_#12"/>
      <sheetName val="Attachment_#22"/>
      <sheetName val="302_C12"/>
      <sheetName val="302_C22"/>
      <sheetName val="SUPPLY_(2)2"/>
      <sheetName val="RETURN_(2)2"/>
      <sheetName val="303_(2)2"/>
      <sheetName val="308_(2)2"/>
      <sheetName val="309_(2)2"/>
      <sheetName val="JUNCTION_BOX2"/>
      <sheetName val="PIPE_FITTING2"/>
      <sheetName val="TUBE_FITTING2"/>
      <sheetName val="CABLE_GLAND2"/>
      <sheetName val="CONS__EQUIP___2"/>
      <sheetName val="BLR_12"/>
      <sheetName val="REINF_2"/>
      <sheetName val="ITB_COST1"/>
      <sheetName val="97_사업추정(WEKI)1"/>
      <sheetName val="Cost_control1"/>
      <sheetName val="90EL_JACKET1"/>
      <sheetName val="보온_회사분1"/>
      <sheetName val="FIRE_FIGHTING1"/>
      <sheetName val="NDOCBT"/>
      <sheetName val="Summary"/>
      <sheetName val="Definitions"/>
      <sheetName val="예산M11A"/>
      <sheetName val="기둥(원형)"/>
      <sheetName val="기계공사비집계(원안)"/>
      <sheetName val="10현장조직"/>
      <sheetName val="LABTOTAL"/>
      <sheetName val="산근"/>
      <sheetName val="을지"/>
      <sheetName val="Graph (LGEN)"/>
      <sheetName val="out_prog"/>
      <sheetName val="선적schedule (2)"/>
      <sheetName val="Sheet6"/>
      <sheetName val="실행내역"/>
      <sheetName val="Contents"/>
      <sheetName val="Summary Sheets"/>
      <sheetName val="Design"/>
      <sheetName val="RFP002"/>
      <sheetName val="대치판정"/>
      <sheetName val="가도공"/>
      <sheetName val="공사"/>
      <sheetName val="MyLists"/>
      <sheetName val="Sheet3"/>
      <sheetName val="영업2"/>
      <sheetName val="영업3"/>
      <sheetName val="Code_Magics"/>
      <sheetName val="Titel"/>
      <sheetName val="1_설계기준"/>
      <sheetName val="bill_2"/>
      <sheetName val="NAMES"/>
      <sheetName val="NPC500"/>
      <sheetName val="#3E1_GCR"/>
      <sheetName val="표지"/>
      <sheetName val="데이타"/>
      <sheetName val="11"/>
      <sheetName val="Sheet10"/>
      <sheetName val="plan&amp;section_of_foundation1"/>
      <sheetName val="design_criteria1"/>
      <sheetName val="Tipo_Terzi1"/>
      <sheetName val="BM_DATA_SHEET1"/>
      <sheetName val="Mat_Stelo1"/>
      <sheetName val="working_load_at_the_btm_ft_"/>
      <sheetName val="stability_check"/>
      <sheetName val="Unit_SUM1"/>
      <sheetName val="Break_Dw"/>
      <sheetName val="방유제용량_계산서"/>
      <sheetName val="INPUT_DATA"/>
      <sheetName val="special_item_양진규_작성"/>
      <sheetName val="OUTER_AREA(겹침없음)"/>
      <sheetName val="Material_Specification"/>
      <sheetName val="개시대사_(2)"/>
      <sheetName val="pile_bearing_capa_&amp;_arrenge"/>
      <sheetName val="design_load"/>
      <sheetName val="표지_(2)"/>
      <sheetName val="Sch_6"/>
      <sheetName val="Fab__Skid"/>
      <sheetName val="CAMP_OPERATING_COST"/>
      <sheetName val="PERSONNEL_SETUP"/>
      <sheetName val="LIST_OF_OFFICE_EQUIPMENT"/>
      <sheetName val="STAFF&amp;INDIRECT_SALARY_-_SUMMARY"/>
      <sheetName val="KOREAN_STAFF_SALARY_BREAKDOWN"/>
      <sheetName val="WELFARE_COST_-_SITE"/>
      <sheetName val="입고장부_(4)"/>
      <sheetName val="FEUILLE_INTERNE"/>
      <sheetName val="11_자재단가"/>
      <sheetName val="1_OF_9"/>
      <sheetName val="COMPARISON_TABLE"/>
      <sheetName val="L_V_Separator"/>
      <sheetName val="CAMP_-_CONSTRUCTION"/>
      <sheetName val="E_Rate_PM"/>
      <sheetName val="Schedule_2_and_3"/>
      <sheetName val="sc0314 Index"/>
      <sheetName val="종목코드"/>
      <sheetName val="COPING"/>
      <sheetName val="COA-17"/>
      <sheetName val="C-18"/>
      <sheetName val="작성기준"/>
      <sheetName val="SG"/>
      <sheetName val="Data_Vert"/>
      <sheetName val="Rebar"/>
      <sheetName val="Data_ST"/>
      <sheetName val="Load"/>
      <sheetName val="NC"/>
      <sheetName val="Resource summary"/>
      <sheetName val="TB-내역서"/>
      <sheetName val="new급여T(4을-운전)"/>
      <sheetName val="건축집계"/>
      <sheetName val="Diainch"/>
      <sheetName val="Source"/>
      <sheetName val="Preface"/>
      <sheetName val="급여일반"/>
      <sheetName val="Lists"/>
      <sheetName val="B"/>
      <sheetName val="INSTR"/>
      <sheetName val="공사비_NDE"/>
      <sheetName val="OUT"/>
      <sheetName val="영업소실적"/>
      <sheetName val="직원동원계획"/>
      <sheetName val="CONTROL-100"/>
      <sheetName val="General Data"/>
      <sheetName val="PRICE COMP"/>
      <sheetName val="본지점중"/>
      <sheetName val="A(Rev.3)"/>
      <sheetName val="static.cal"/>
      <sheetName val="crude.SLAB RE-bar"/>
      <sheetName val="ANX3A65"/>
      <sheetName val="BOQ0822"/>
      <sheetName val="7.6.3(B) UG Piping"/>
      <sheetName val="Lup"/>
      <sheetName val="Information"/>
      <sheetName val="WORKER"/>
      <sheetName val="PRICE LIST"/>
      <sheetName val="PipWT"/>
      <sheetName val="IBASE"/>
      <sheetName val="내역(한신APT)"/>
      <sheetName val="현황CODE"/>
      <sheetName val="손익현황"/>
      <sheetName val="BOM_DWG"/>
      <sheetName val="회사99"/>
      <sheetName val="laroux"/>
      <sheetName val="7.5.2 BOQ Summary "/>
      <sheetName val="Perfiles"/>
      <sheetName val="PumpSpec"/>
      <sheetName val="Rekap A"/>
      <sheetName val="RFP009"/>
      <sheetName val="RFP007"/>
      <sheetName val="NP"/>
      <sheetName val="견적기준"/>
      <sheetName val="OD5000"/>
      <sheetName val="upah"/>
      <sheetName val="bahan"/>
      <sheetName val="measure"/>
      <sheetName val="paint mat"/>
      <sheetName val="工완성공사율"/>
      <sheetName val="IN"/>
      <sheetName val="TTL"/>
      <sheetName val="VE Estimate"/>
      <sheetName val="CALCULATION"/>
      <sheetName val="COMPRESSOR"/>
      <sheetName val="D=700"/>
      <sheetName val="TABLE2-2 OSBL-(SITE PREP)"/>
      <sheetName val="Units"/>
      <sheetName val="Instructions"/>
      <sheetName val="OFFER RATE"/>
      <sheetName val="Job Data"/>
      <sheetName val="Piping Design Data"/>
      <sheetName val="BCPAB"/>
      <sheetName val="Summary 2002"/>
      <sheetName val="98TSON4A"/>
      <sheetName val="Feuil2"/>
      <sheetName val="노임"/>
      <sheetName val="총괄표"/>
      <sheetName val="ANALYSER"/>
      <sheetName val="ASME B 36.10 M"/>
      <sheetName val="일위대가표"/>
      <sheetName val="D-3"/>
      <sheetName val="w't table"/>
      <sheetName val="Tiburon"/>
      <sheetName val="차액보증"/>
      <sheetName val="말뚝지지력산정"/>
      <sheetName val="단중표"/>
      <sheetName val="choose"/>
      <sheetName val="당초"/>
      <sheetName val="eq_data _x005f_x0000__x005f_x0000__x005f_x0000__x"/>
      <sheetName val="cashflow"/>
      <sheetName val="Quotation"/>
      <sheetName val="Info"/>
      <sheetName val="SORTING"/>
      <sheetName val="배관물량 (STEEL)"/>
      <sheetName val="Sheet 1"/>
      <sheetName val="Offertemodel"/>
      <sheetName val="3.0 Overall Progress S-curve"/>
      <sheetName val="3-4 SPI"/>
      <sheetName val="VV-REV2"/>
      <sheetName val="-15.0"/>
      <sheetName val="부재치수입력"/>
      <sheetName val="BLDG_DCI"/>
      <sheetName val="BREAKDOWN(철거설치)"/>
      <sheetName val="맨홀수량산출"/>
      <sheetName val="단가비교"/>
      <sheetName val="Basic"/>
      <sheetName val="견적 집계"/>
      <sheetName val="PULLING SUPT등"/>
      <sheetName val="Sheet1 (2)"/>
      <sheetName val="SHIPPING"/>
      <sheetName val="DATE"/>
      <sheetName val="PAGE 1"/>
      <sheetName val="대공종"/>
      <sheetName val="_생산성_분석_체계_절차.xlsx"/>
      <sheetName val="Quantity"/>
      <sheetName val="General_Data"/>
      <sheetName val="PRICE_COMP"/>
      <sheetName val="A(Rev_3)"/>
      <sheetName val="단가비교(TOTAL)"/>
      <sheetName val="General_Data1"/>
      <sheetName val="PRICE_COMP1"/>
      <sheetName val="A(Rev_3)1"/>
      <sheetName val="pri-com"/>
      <sheetName val="기준"/>
      <sheetName val="BQ List"/>
      <sheetName val="노임단가"/>
      <sheetName val="SPEC-DT2"/>
      <sheetName val="북제주-표지"/>
      <sheetName val="Struct-Grass root"/>
      <sheetName val="미입고자재목록_설계1과"/>
      <sheetName val="PAGE 2"/>
      <sheetName val="CRUDE RE-bar"/>
      <sheetName val="database-emp"/>
      <sheetName val="평균환율-USD"/>
      <sheetName val="DUTCH CONE"/>
      <sheetName val="harga"/>
      <sheetName val="koef"/>
      <sheetName val="Resume"/>
      <sheetName val="연돌일위집계"/>
      <sheetName val="품셈"/>
      <sheetName val="Break Down"/>
      <sheetName val="BQ"/>
      <sheetName val="22-Plant"/>
      <sheetName val="Supervision List"/>
      <sheetName val="Equip_Pipe_Insulation"/>
      <sheetName val="BQ_Piping"/>
      <sheetName val="PROCURE"/>
      <sheetName val="labor"/>
      <sheetName val="_x0000_è"/>
      <sheetName val="BQLIST"/>
      <sheetName val="제출계산서"/>
      <sheetName val="품셈1-26"/>
      <sheetName val="LEGEND"/>
      <sheetName val="KP1590_E"/>
      <sheetName val="한계원가"/>
      <sheetName val="Page 10"/>
      <sheetName val="입력값"/>
      <sheetName val="요율"/>
      <sheetName val="C급보 "/>
      <sheetName val="Rectangular Beam"/>
      <sheetName val="현금"/>
      <sheetName val="자재군별"/>
      <sheetName val="재료내역"/>
      <sheetName val="간접비 총괄표"/>
      <sheetName val="Macro"/>
      <sheetName val="Taux"/>
      <sheetName val="Eng.hour_DB"/>
      <sheetName val="POWER"/>
      <sheetName val="SBR_CR"/>
      <sheetName val="ITEM"/>
      <sheetName val="COST UP"/>
      <sheetName val="DDC"/>
      <sheetName val="공수"/>
      <sheetName val="EXCHANGE_RATE"/>
      <sheetName val="Scaffold"/>
      <sheetName val="Access"/>
      <sheetName val="PAGE 3_GENERAL DETAILS"/>
      <sheetName val="Proposal"/>
      <sheetName val="적용 환율"/>
      <sheetName val="Assumptions"/>
      <sheetName val="TDC_ADMIN"/>
      <sheetName val="Requisitions"/>
      <sheetName val="ICDS"/>
      <sheetName val="CARBOLINE분석"/>
      <sheetName val="자재대"/>
      <sheetName val="eq_data _x0000__x0000__x0000__x"/>
      <sheetName val=""/>
      <sheetName val="나이대조표"/>
      <sheetName val="KP_List"/>
      <sheetName val="2.Calculation_1"/>
      <sheetName val="IBC(2006)DATA"/>
      <sheetName val="Elect (3)"/>
      <sheetName val="공사내역"/>
      <sheetName val="TIE-INS"/>
      <sheetName val="FLD"/>
      <sheetName val="norms"/>
      <sheetName val="HVAC"/>
      <sheetName val="八幡"/>
      <sheetName val="GM 000"/>
      <sheetName val="PRECAST lightconc-II"/>
      <sheetName val="csdim"/>
      <sheetName val="cdsload"/>
      <sheetName val="chsload"/>
      <sheetName val="CLAMP"/>
      <sheetName val="cvsload"/>
      <sheetName val="Cash2"/>
      <sheetName val="Z"/>
      <sheetName val="환산표"/>
      <sheetName val="Rev No"/>
      <sheetName val="COVER-P"/>
      <sheetName val="PUMP SHT"/>
      <sheetName val="FC-01"/>
      <sheetName val="FC-06"/>
      <sheetName val="El(Increased)"/>
      <sheetName val="MC-01"/>
      <sheetName val="Sal"/>
      <sheetName val="수량산출"/>
      <sheetName val="REG-BASIS"/>
      <sheetName val="TENDER PROG."/>
      <sheetName val="PROC.PROG"/>
      <sheetName val="DIAPHRAGM"/>
      <sheetName val="TG9504"/>
      <sheetName val="Block D"/>
      <sheetName val="PRICE-COMP"/>
      <sheetName val="Datasheet GLL double weir (1)"/>
      <sheetName val="단면가정"/>
      <sheetName val="Notes"/>
      <sheetName val="engg"/>
      <sheetName val=" "/>
      <sheetName val="간접비내역-1"/>
      <sheetName val="SALA-002"/>
      <sheetName val="eq_data _x005f_x0000__x00"/>
      <sheetName val="Table"/>
      <sheetName val="co-no.2"/>
      <sheetName val="물량집계(전기)"/>
      <sheetName val="물량집계(계장)"/>
      <sheetName val="bdown"/>
      <sheetName val="33628-Rev. A"/>
      <sheetName val="TYPE-B 평균H"/>
      <sheetName val="PSV"/>
      <sheetName val="명단"/>
      <sheetName val="EST-1"/>
      <sheetName val="6.공사비 내역 (가)"/>
      <sheetName val="Sheet2 (2)"/>
      <sheetName val="6호기"/>
      <sheetName val="Form A.1"/>
      <sheetName val="Form A.1.1"/>
      <sheetName val="BOM Indirect"/>
      <sheetName val="Form A.1.II.2"/>
      <sheetName val="노임이"/>
      <sheetName val="6.GSTG PIPING"/>
      <sheetName val="INDEX"/>
      <sheetName val="Sheet4"/>
      <sheetName val="NONS  2,189"/>
      <sheetName val="94D"/>
      <sheetName val="95D"/>
      <sheetName val="내역서 "/>
      <sheetName val="기초자료"/>
      <sheetName val="견적집계표"/>
      <sheetName val="P&amp;ID650"/>
      <sheetName val="Calculations"/>
      <sheetName val="대우단가(풍산)"/>
      <sheetName val="토공정보"/>
      <sheetName val="REF.ONLY"/>
      <sheetName val="LBR"/>
      <sheetName val="CONCRETE"/>
      <sheetName val="PRO_DCI"/>
      <sheetName val="HVAC_DCI"/>
      <sheetName val="PIPE_DCI"/>
      <sheetName val="BATCH"/>
      <sheetName val="RFP005"/>
      <sheetName val="RFP006"/>
      <sheetName val="CostDB"/>
      <sheetName val="FWBS7000,8000"/>
      <sheetName val="Reference Table"/>
      <sheetName val="Lookups"/>
      <sheetName val="CAL(1)."/>
      <sheetName val="Activity(new)"/>
      <sheetName val="7_5_1(A)_Data3"/>
      <sheetName val="7_5_1(B)_BOQ_Breakdown3"/>
      <sheetName val="7_5_1(C)_Scope3"/>
      <sheetName val="7_5_1(D)_Basis3"/>
      <sheetName val="7_5_1(E)_Allowance3"/>
      <sheetName val="7_5_2_BOQ_Summary3"/>
      <sheetName val="7_5_3_BOQ3"/>
      <sheetName val="A__Erec_BOQ(Shop)3"/>
      <sheetName val="B__Erec_BOQ(Field)3"/>
      <sheetName val="C__Surface_Protection3"/>
      <sheetName val="A__Erec_BOQ(Shop)_(2)3"/>
      <sheetName val="B__Erec_BOQ(Field)_(2)3"/>
      <sheetName val="C__Surf_Protection3"/>
      <sheetName val="Attachment_#13"/>
      <sheetName val="Attachment_#23"/>
      <sheetName val="302_C13"/>
      <sheetName val="302_C23"/>
      <sheetName val="SUPPLY_(2)3"/>
      <sheetName val="RETURN_(2)3"/>
      <sheetName val="303_(2)3"/>
      <sheetName val="308_(2)3"/>
      <sheetName val="309_(2)3"/>
      <sheetName val="JUNCTION_BOX3"/>
      <sheetName val="PIPE_FITTING3"/>
      <sheetName val="TUBE_FITTING3"/>
      <sheetName val="CABLE_GLAND3"/>
      <sheetName val="CONS__EQUIP___3"/>
      <sheetName val="BLR_13"/>
      <sheetName val="REINF_3"/>
      <sheetName val="ITB_COST2"/>
      <sheetName val="97_사업추정(WEKI)2"/>
      <sheetName val="90EL_JACKET2"/>
      <sheetName val="보온_회사분2"/>
      <sheetName val="Cost_control2"/>
      <sheetName val="FIRE_FIGHTING2"/>
      <sheetName val="Tipo_Terzi2"/>
      <sheetName val="plan&amp;section_of_foundation2"/>
      <sheetName val="design_criteria2"/>
      <sheetName val="BM_DATA_SHEET2"/>
      <sheetName val="working_load_at_the_btm_ft_1"/>
      <sheetName val="stability_check1"/>
      <sheetName val="Mat_Stelo2"/>
      <sheetName val="Unit_SUM2"/>
      <sheetName val="1_설계기준1"/>
      <sheetName val="OUTER_AREA(겹침없음)1"/>
      <sheetName val="bill_21"/>
      <sheetName val="표지_(2)1"/>
      <sheetName val="Break_Dw1"/>
      <sheetName val="방유제용량_계산서1"/>
      <sheetName val="Material_Specification1"/>
      <sheetName val="special_item_양진규_작성1"/>
      <sheetName val="Sch_61"/>
      <sheetName val="pile_bearing_capa_&amp;_arrenge1"/>
      <sheetName val="design_load1"/>
      <sheetName val="Fab__Skid1"/>
      <sheetName val="INPUT_DATA1"/>
      <sheetName val="CAMP_OPERATING_COST1"/>
      <sheetName val="PERSONNEL_SETUP1"/>
      <sheetName val="LIST_OF_OFFICE_EQUIPMENT1"/>
      <sheetName val="STAFF&amp;INDIRECT_SALARY_-_SUMMAR1"/>
      <sheetName val="KOREAN_STAFF_SALARY_BREAKDOWN1"/>
      <sheetName val="WELFARE_COST_-_SITE1"/>
      <sheetName val="개시대사_(2)1"/>
      <sheetName val="입고장부_(4)1"/>
      <sheetName val="FEUILLE_INTERNE1"/>
      <sheetName val="COMPARISON_TABLE1"/>
      <sheetName val="L_V_Separator1"/>
      <sheetName val="CAMP_-_CONSTRUCTION1"/>
      <sheetName val="E_Rate_PM1"/>
      <sheetName val="Schedule_2_and_31"/>
      <sheetName val="eq_data_"/>
      <sheetName val="Cover_sheet"/>
      <sheetName val="CAL_"/>
      <sheetName val="11_자재단가1"/>
      <sheetName val="1_OF_91"/>
      <sheetName val="BSD_(2)"/>
      <sheetName val="TRAY_BM"/>
      <sheetName val="Graph_(LGEN)"/>
      <sheetName val="선적schedule_(2)"/>
      <sheetName val="Summary_Sheets"/>
      <sheetName val="품셈_"/>
      <sheetName val="sc0314_Index"/>
      <sheetName val="Resource_summary"/>
      <sheetName val="w't_table"/>
      <sheetName val="eq_data__x005f_x0000__x005f_x0000__x005f_x0000__x"/>
      <sheetName val="static_cal"/>
      <sheetName val="crude_SLAB_RE-bar"/>
      <sheetName val="7_6_3(B)_UG_Piping"/>
      <sheetName val="PRICE_LIST"/>
      <sheetName val="7_5_2_BOQ_Summary_"/>
      <sheetName val="Rekap_A"/>
      <sheetName val="paint_mat"/>
      <sheetName val="VE_Estimate"/>
      <sheetName val="TABLE2-2_OSBL-(SITE_PREP)"/>
      <sheetName val="OFFER_RATE"/>
      <sheetName val="Job_Data"/>
      <sheetName val="Piping_Design_Data"/>
      <sheetName val="Summary_2002"/>
      <sheetName val="ASME_B_36_10_M"/>
      <sheetName val="3_0_Overall_Progress_S-curve"/>
      <sheetName val="3-4_SPI"/>
      <sheetName val="-15_0"/>
      <sheetName val="뜃맟뭁돽띿맟?-BLDG"/>
      <sheetName val="D-623D"/>
      <sheetName val="member design"/>
      <sheetName val="soil bearing check"/>
      <sheetName val="OCT.FDN"/>
      <sheetName val="PRI CIV"/>
      <sheetName val="FOR CIV"/>
      <sheetName val="SUB CIV"/>
      <sheetName val="ANA CIV"/>
      <sheetName val="AUX CIV"/>
      <sheetName val="hori. vessel(E-895)"/>
      <sheetName val="TS-TC"/>
      <sheetName val="DCS"/>
      <sheetName val="2.3"/>
      <sheetName val="Pipelines ASAB I-II Brownfield"/>
      <sheetName val="ORIGN"/>
      <sheetName val="P-Ph3-F-002"/>
      <sheetName val="전기"/>
      <sheetName val="200"/>
      <sheetName val="BM1"/>
      <sheetName val="REDUCER"/>
      <sheetName val="WE'T"/>
      <sheetName val="대기업"/>
      <sheetName val="각종자료"/>
      <sheetName val="견적"/>
      <sheetName val="S N"/>
      <sheetName val="Sheet_1"/>
      <sheetName val="배관물량_(STEEL)"/>
      <sheetName val="PAGE_2"/>
      <sheetName val="Struct-Grass_root"/>
      <sheetName val="General_Data2"/>
      <sheetName val="PRICE_COMP2"/>
      <sheetName val="A(Rev_3)2"/>
      <sheetName val="견적_집계"/>
      <sheetName val="PULLING_SUPT등"/>
      <sheetName val="Sheet1_(2)"/>
      <sheetName val="PAGE_1"/>
      <sheetName val="_생산성_분석_체계_절차_xlsx"/>
      <sheetName val="BQ_List"/>
      <sheetName val="Break_Down"/>
      <sheetName val="Supervision_List"/>
      <sheetName val="PREAM"/>
      <sheetName val="SUMMARY (0)"/>
      <sheetName val="PL-DATA"/>
      <sheetName val="FRP내역서"/>
      <sheetName val="7_5_1(A)_Data5"/>
      <sheetName val="7_5_1(B)_BOQ_Breakdown5"/>
      <sheetName val="7_5_1(C)_Scope5"/>
      <sheetName val="7_5_1(D)_Basis5"/>
      <sheetName val="7_5_1(E)_Allowance5"/>
      <sheetName val="7_5_2_BOQ_Summary5"/>
      <sheetName val="7_5_3_BOQ5"/>
      <sheetName val="A__Erec_BOQ(Shop)5"/>
      <sheetName val="B__Erec_BOQ(Field)5"/>
      <sheetName val="C__Surface_Protection5"/>
      <sheetName val="A__Erec_BOQ(Shop)_(2)5"/>
      <sheetName val="B__Erec_BOQ(Field)_(2)5"/>
      <sheetName val="C__Surf_Protection5"/>
      <sheetName val="Attachment_#15"/>
      <sheetName val="Attachment_#25"/>
      <sheetName val="302_C15"/>
      <sheetName val="302_C25"/>
      <sheetName val="SUPPLY_(2)5"/>
      <sheetName val="RETURN_(2)5"/>
      <sheetName val="303_(2)5"/>
      <sheetName val="308_(2)5"/>
      <sheetName val="309_(2)5"/>
      <sheetName val="JUNCTION_BOX5"/>
      <sheetName val="PIPE_FITTING5"/>
      <sheetName val="TUBE_FITTING5"/>
      <sheetName val="CABLE_GLAND5"/>
      <sheetName val="BLR_15"/>
      <sheetName val="CONS__EQUIP___5"/>
      <sheetName val="REINF_5"/>
      <sheetName val="ITB_COST4"/>
      <sheetName val="97_사업추정(WEKI)4"/>
      <sheetName val="FIRE_FIGHTING4"/>
      <sheetName val="Cost_control4"/>
      <sheetName val="90EL_JACKET4"/>
      <sheetName val="보온_회사분4"/>
      <sheetName val="plan&amp;section_of_foundation3"/>
      <sheetName val="design_criteria3"/>
      <sheetName val="BM_DATA_SHEET3"/>
      <sheetName val="Tipo_Terzi3"/>
      <sheetName val="Mat_Stelo3"/>
      <sheetName val="Sch_62"/>
      <sheetName val="bill_22"/>
      <sheetName val="1_설계기준2"/>
      <sheetName val="Unit_SUM3"/>
      <sheetName val="표지_(2)2"/>
      <sheetName val="Sheet_12"/>
      <sheetName val="배관물량_(STEEL)2"/>
      <sheetName val="working_load_at_the_btm_ft_2"/>
      <sheetName val="stability_check2"/>
      <sheetName val="Break_Dw2"/>
      <sheetName val="방유제용량_계산서2"/>
      <sheetName val="Material_Specification2"/>
      <sheetName val="special_item_양진규_작성2"/>
      <sheetName val="OUTER_AREA(겹침없음)2"/>
      <sheetName val="CAMP_OPERATING_COST2"/>
      <sheetName val="PERSONNEL_SETUP2"/>
      <sheetName val="LIST_OF_OFFICE_EQUIPMENT2"/>
      <sheetName val="STAFF&amp;INDIRECT_SALARY_-_SUMMAR2"/>
      <sheetName val="KOREAN_STAFF_SALARY_BREAKDOWN2"/>
      <sheetName val="WELFARE_COST_-_SITE2"/>
      <sheetName val="INPUT_DATA2"/>
      <sheetName val="개시대사_(2)2"/>
      <sheetName val="pile_bearing_capa_&amp;_arrenge2"/>
      <sheetName val="design_load2"/>
      <sheetName val="Fab__Skid2"/>
      <sheetName val="입고장부_(4)2"/>
      <sheetName val="FEUILLE_INTERNE2"/>
      <sheetName val="L_V_Separator2"/>
      <sheetName val="CAMP_-_CONSTRUCTION2"/>
      <sheetName val="E_Rate_PM2"/>
      <sheetName val="Schedule_2_and_32"/>
      <sheetName val="CAL_2"/>
      <sheetName val="COMPARISON_TABLE2"/>
      <sheetName val="3_0_Overall_Progress_S-curve2"/>
      <sheetName val="3-4_SPI2"/>
      <sheetName val="7_5_1(A)_Data4"/>
      <sheetName val="7_5_1(B)_BOQ_Breakdown4"/>
      <sheetName val="7_5_1(C)_Scope4"/>
      <sheetName val="7_5_1(D)_Basis4"/>
      <sheetName val="7_5_1(E)_Allowance4"/>
      <sheetName val="7_5_2_BOQ_Summary4"/>
      <sheetName val="7_5_3_BOQ4"/>
      <sheetName val="A__Erec_BOQ(Shop)4"/>
      <sheetName val="B__Erec_BOQ(Field)4"/>
      <sheetName val="C__Surface_Protection4"/>
      <sheetName val="A__Erec_BOQ(Shop)_(2)4"/>
      <sheetName val="B__Erec_BOQ(Field)_(2)4"/>
      <sheetName val="C__Surf_Protection4"/>
      <sheetName val="Attachment_#14"/>
      <sheetName val="Attachment_#24"/>
      <sheetName val="302_C14"/>
      <sheetName val="302_C24"/>
      <sheetName val="SUPPLY_(2)4"/>
      <sheetName val="RETURN_(2)4"/>
      <sheetName val="303_(2)4"/>
      <sheetName val="308_(2)4"/>
      <sheetName val="309_(2)4"/>
      <sheetName val="JUNCTION_BOX4"/>
      <sheetName val="PIPE_FITTING4"/>
      <sheetName val="TUBE_FITTING4"/>
      <sheetName val="CABLE_GLAND4"/>
      <sheetName val="BLR_14"/>
      <sheetName val="CONS__EQUIP___4"/>
      <sheetName val="REINF_4"/>
      <sheetName val="ITB_COST3"/>
      <sheetName val="97_사업추정(WEKI)3"/>
      <sheetName val="FIRE_FIGHTING3"/>
      <sheetName val="Cost_control3"/>
      <sheetName val="90EL_JACKET3"/>
      <sheetName val="보온_회사분3"/>
      <sheetName val="Sheet_11"/>
      <sheetName val="배관물량_(STEEL)1"/>
      <sheetName val="CAL_1"/>
      <sheetName val="3_0_Overall_Progress_S-curve1"/>
      <sheetName val="3-4_SPI1"/>
      <sheetName val="Loading Table"/>
      <sheetName val="공구"/>
      <sheetName val="PI"/>
      <sheetName val="input data-090908"/>
      <sheetName val="Expenses per Cost Code "/>
      <sheetName val="Vent Line size"/>
      <sheetName val="DOWNLOAD"/>
      <sheetName val="상반기손익차2총괄"/>
      <sheetName val="MH Estimation Guide"/>
      <sheetName val="CIV-DWG-ADA"/>
      <sheetName val="CIV-DOC-ADA"/>
      <sheetName val="공사비 내역 (가)"/>
      <sheetName val="STATIC"/>
      <sheetName val="diamètres"/>
      <sheetName val="설계예산서1"/>
      <sheetName val="내"/>
      <sheetName val="실행자재"/>
      <sheetName val="spinning1"/>
      <sheetName val="집계표(OPTION)"/>
      <sheetName val="HRG BHN"/>
      <sheetName val="LD-OVERA÷_x0000_"/>
      <sheetName val="LD-OVERA᯷㧓"/>
      <sheetName val="DIRECT-OFF"/>
      <sheetName val="PLAGCoct03"/>
      <sheetName val="表三甲"/>
      <sheetName val="调整"/>
      <sheetName val="Comp Rate "/>
      <sheetName val="4.1구조설계"/>
      <sheetName val="공문"/>
      <sheetName val="입사시직위"/>
      <sheetName val="MR"/>
      <sheetName val="COMB MNG&amp;STAFF (ALL)  (2)"/>
      <sheetName val="7.0 Crack Check"/>
      <sheetName val="축열조 기초"/>
      <sheetName val="REPORT"/>
      <sheetName val="Fill this out first..."/>
      <sheetName val="Fill this out first___"/>
      <sheetName val="MEASURE LIST"/>
      <sheetName val="Don gia"/>
      <sheetName val="공통가설"/>
      <sheetName val="Forecast Drivers"/>
      <sheetName val="Total_mem"/>
      <sheetName val="Log"/>
      <sheetName val="Section 1~4(1)"/>
      <sheetName val="Section 1~4 "/>
      <sheetName val="Section 5"/>
      <sheetName val="Section 5.2"/>
      <sheetName val="Section 5.3"/>
      <sheetName val="Section 6"/>
      <sheetName val="Section 6.2"/>
      <sheetName val="Attachment 1"/>
      <sheetName val="Attachmenet 2"/>
      <sheetName val="Moment_Con_Capa"/>
      <sheetName val="Moment"/>
      <sheetName val="Shear_Con_Capa"/>
      <sheetName val="Shear"/>
      <sheetName val="PUMP_SHT"/>
      <sheetName val="Elect_(3)"/>
      <sheetName val="C급보_"/>
      <sheetName val="Rev_No"/>
      <sheetName val="Page_10"/>
      <sheetName val="Rectangular_Beam"/>
      <sheetName val="COST_UP"/>
      <sheetName val="간접비_총괄표"/>
      <sheetName val="Eng_hour_DB"/>
      <sheetName val="CRUDE_RE-bar"/>
      <sheetName val="DUTCH_CONE"/>
      <sheetName val="eq_data__x"/>
      <sheetName val="_"/>
      <sheetName val="2_Calculation_1"/>
      <sheetName val="PAGE_3_GENERAL_DETAILS"/>
      <sheetName val="적용_환율"/>
      <sheetName val="GM_000"/>
      <sheetName val="PRECAST_lightconc-II"/>
      <sheetName val="TENDER_PROG_"/>
      <sheetName val="PROC_PROG"/>
      <sheetName val="Block_D"/>
      <sheetName val="Datasheet_GLL_double_weir_(1)"/>
      <sheetName val="eq_data__x005f_x0000__x00"/>
      <sheetName val="33628-Rev__A"/>
      <sheetName val="TYPE-B_평균H"/>
      <sheetName val="Sheet2_(2)"/>
      <sheetName val="6_공사비_내역_(가)"/>
      <sheetName val="기계공사비집계(珆꭭/"/>
      <sheetName val="FA"/>
      <sheetName val="Analisa HS"/>
      <sheetName val="Eng_Hrs"/>
      <sheetName val="NAME"/>
      <sheetName val="Coupling"/>
      <sheetName val="RAW MATERIALS "/>
      <sheetName val="COST-PERSON-J.O."/>
      <sheetName val="GT"/>
      <sheetName val="공량예산"/>
      <sheetName val="예산M6-B"/>
      <sheetName val="Tank"/>
      <sheetName val="Q5434 EQ LIST"/>
      <sheetName val="motor power"/>
      <sheetName val="Painting"/>
      <sheetName val="COST-EST LTI P5C"/>
      <sheetName val="기계시공"/>
      <sheetName val="SLEIPNER - ORMEN LANGE"/>
      <sheetName val="전기 BM_revA('090624).xls"/>
      <sheetName val="定额 (06)"/>
      <sheetName val="Data 1"/>
      <sheetName val="뜃맟뭁돽띿맟_-BLDG"/>
      <sheetName val="SUBCON"/>
      <sheetName val="4-3LEVEL-5 epic.4"/>
      <sheetName val="M_B"/>
      <sheetName val="01"/>
      <sheetName val="Unit Cost"/>
      <sheetName val="45,46"/>
      <sheetName val="COST-TZ"/>
      <sheetName val="Coeff."/>
      <sheetName val="대비"/>
      <sheetName val="TACE"/>
      <sheetName val="SPrep_E4TK(R187)"/>
      <sheetName val="U00"/>
      <sheetName val="U01"/>
      <sheetName val="U02"/>
      <sheetName val="U03"/>
      <sheetName val="U06"/>
      <sheetName val="U07"/>
      <sheetName val="U08"/>
      <sheetName val="U09"/>
      <sheetName val="U10"/>
      <sheetName val="U11"/>
      <sheetName val="U13"/>
      <sheetName val="U21"/>
      <sheetName val="U25"/>
      <sheetName val="U26"/>
      <sheetName val="U29"/>
      <sheetName val="U30"/>
      <sheetName val="U31_Base"/>
      <sheetName val="U40"/>
      <sheetName val="U42"/>
      <sheetName val="U43"/>
      <sheetName val="U45"/>
      <sheetName val="U47"/>
      <sheetName val="U48"/>
      <sheetName val="U60"/>
      <sheetName val="4.단락전류"/>
      <sheetName val="[fdn_bm_pro.xls]기계공사비집계(珆꭭/"/>
      <sheetName val="hvac내역서(제어동)"/>
      <sheetName val="Exchange rates"/>
      <sheetName val="P_x0007__x0000__x000e__x0000_"/>
      <sheetName val="96.12"/>
      <sheetName val="COST-SUM"/>
      <sheetName val="PAD-F"/>
      <sheetName val="LME"/>
      <sheetName val="Tie Beam GN"/>
      <sheetName val="PileCap"/>
      <sheetName val="06-Progress"/>
      <sheetName val="04-Safety"/>
      <sheetName val="BM"/>
      <sheetName val="현장배치"/>
      <sheetName val="system &amp; LOOK_UP_FUNC"/>
      <sheetName val="Base_Data"/>
      <sheetName val="Consumables"/>
      <sheetName val="LABT橿⿋_x0000__x0000_"/>
      <sheetName val="BID FORM"/>
      <sheetName val="Form of Bid"/>
      <sheetName val="건설성적"/>
      <sheetName val="삼성전기"/>
      <sheetName val="Grafenpa"/>
      <sheetName val="단가표"/>
      <sheetName val="노무비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LAB"/>
      <sheetName val="4300 UTILITY BLDG (2)"/>
      <sheetName val="WT-LIST"/>
      <sheetName val="예가표"/>
      <sheetName val="자재단가"/>
      <sheetName val="Price Breakdown(Building)"/>
      <sheetName val="GM_0001"/>
      <sheetName val="PRECAST_lightconc-II1"/>
      <sheetName val="ECL"/>
      <sheetName val="가동비율"/>
      <sheetName val="INST LIST"/>
      <sheetName val="터널조도"/>
      <sheetName val="SUMMARY_(0)"/>
      <sheetName val="Thick"/>
      <sheetName val="기계공사비집계(᝔턀"/>
      <sheetName val="기계공사비집계(ࠀᝋ턀"/>
      <sheetName val="기계공사비집계("/>
      <sheetName val="기계공사비집계(﹗맕ԯ"/>
      <sheetName val="기계공사비집계(ၩ_x0000_堀"/>
      <sheetName val="P_x0007_"/>
      <sheetName val="기계공사비집계(թ_x0000_缀"/>
      <sheetName val="기계공사비집계(썩"/>
      <sheetName val="기계공사비집계(ၩ_x0000_렀"/>
      <sheetName val="기계공사비집계(౩⁯吀"/>
      <sheetName val="기계공사비집계(偩⑔鰀"/>
      <sheetName val="기계공사비집계(i_x0000_ꀀ"/>
      <sheetName val="기계공사비집계(桩♗洀"/>
      <sheetName val="MANPOWER DIRECT TRACKING"/>
      <sheetName val="Timescaled Data"/>
      <sheetName val="Home Office"/>
      <sheetName val="NPK_Gresik"/>
      <sheetName val="LOB"/>
      <sheetName val="Salary"/>
      <sheetName val="Rekapsub-total-ME"/>
      <sheetName val="Item Dominan"/>
      <sheetName val="7_5_1(A)_Data6"/>
      <sheetName val="7_5_1(B)_BOQ_Breakdown6"/>
      <sheetName val="7_5_1(C)_Scope6"/>
      <sheetName val="7_5_1(D)_Basis6"/>
      <sheetName val="7_5_1(E)_Allowance6"/>
      <sheetName val="7_5_2_BOQ_Summary6"/>
      <sheetName val="7_5_3_BOQ6"/>
      <sheetName val="A__Erec_BOQ(Shop)6"/>
      <sheetName val="B__Erec_BOQ(Field)6"/>
      <sheetName val="C__Surface_Protection6"/>
      <sheetName val="A__Erec_BOQ(Shop)_(2)6"/>
      <sheetName val="B__Erec_BOQ(Field)_(2)6"/>
      <sheetName val="C__Surf_Protection6"/>
      <sheetName val="Attachment_#16"/>
      <sheetName val="Attachment_#26"/>
      <sheetName val="302_C16"/>
      <sheetName val="302_C26"/>
      <sheetName val="SUPPLY_(2)6"/>
      <sheetName val="RETURN_(2)6"/>
      <sheetName val="303_(2)6"/>
      <sheetName val="308_(2)6"/>
      <sheetName val="309_(2)6"/>
      <sheetName val="JUNCTION_BOX6"/>
      <sheetName val="PIPE_FITTING6"/>
      <sheetName val="TUBE_FITTING6"/>
      <sheetName val="CABLE_GLAND6"/>
      <sheetName val="CONS__EQUIP___6"/>
      <sheetName val="BLR_16"/>
      <sheetName val="REINF_6"/>
      <sheetName val="ITB_COST5"/>
      <sheetName val="97_사업추정(WEKI)5"/>
      <sheetName val="Cost_control5"/>
      <sheetName val="90EL_JACKET5"/>
      <sheetName val="보온_회사분5"/>
      <sheetName val="FIRE_FIGHTING5"/>
      <sheetName val="Tipo_Terzi4"/>
      <sheetName val="plan&amp;section_of_foundation4"/>
      <sheetName val="design_criteria4"/>
      <sheetName val="BM_DATA_SHEET4"/>
      <sheetName val="Mat_Stelo4"/>
      <sheetName val="Unit_SUM4"/>
      <sheetName val="working_load_at_the_btm_ft_3"/>
      <sheetName val="stability_check3"/>
      <sheetName val="OUTER_AREA(겹침없음)3"/>
      <sheetName val="1_설계기준3"/>
      <sheetName val="bill_23"/>
      <sheetName val="표지_(2)3"/>
      <sheetName val="Break_Dw3"/>
      <sheetName val="방유제용량_계산서3"/>
      <sheetName val="Material_Specification3"/>
      <sheetName val="special_item_양진규_작성3"/>
      <sheetName val="Sch_63"/>
      <sheetName val="pile_bearing_capa_&amp;_arrenge3"/>
      <sheetName val="design_load3"/>
      <sheetName val="Fab__Skid3"/>
      <sheetName val="INPUT_DATA3"/>
      <sheetName val="CAMP_OPERATING_COST3"/>
      <sheetName val="PERSONNEL_SETUP3"/>
      <sheetName val="LIST_OF_OFFICE_EQUIPMENT3"/>
      <sheetName val="STAFF&amp;INDIRECT_SALARY_-_SUMMAR3"/>
      <sheetName val="KOREAN_STAFF_SALARY_BREAKDOWN3"/>
      <sheetName val="WELFARE_COST_-_SITE3"/>
      <sheetName val="개시대사_(2)3"/>
      <sheetName val="입고장부_(4)3"/>
      <sheetName val="FEUILLE_INTERNE3"/>
      <sheetName val="COMPARISON_TABLE3"/>
      <sheetName val="L_V_Separator3"/>
      <sheetName val="CAMP_-_CONSTRUCTION3"/>
      <sheetName val="E_Rate_PM3"/>
      <sheetName val="Schedule_2_and_33"/>
      <sheetName val="Cover_sheet1"/>
      <sheetName val="CAL_3"/>
      <sheetName val="Summary_Sheets1"/>
      <sheetName val="BSD_(2)1"/>
      <sheetName val="TRAY_BM1"/>
      <sheetName val="11_자재단가2"/>
      <sheetName val="1_OF_92"/>
      <sheetName val="품셈_1"/>
      <sheetName val="sc0314_Index1"/>
      <sheetName val="Graph_(LGEN)1"/>
      <sheetName val="선적schedule_(2)1"/>
      <sheetName val="Resource_summary1"/>
      <sheetName val="배관물량_(STEEL)3"/>
      <sheetName val="Sheet_13"/>
      <sheetName val="w't_table1"/>
      <sheetName val="eq_data__x005f_x0000__x005f_x0000__x005f_x0000__1"/>
      <sheetName val="Break_Down1"/>
      <sheetName val="Supervision_List1"/>
      <sheetName val="General_Data3"/>
      <sheetName val="PRICE_COMP3"/>
      <sheetName val="A(Rev_3)3"/>
      <sheetName val="static_cal1"/>
      <sheetName val="crude_SLAB_RE-bar1"/>
      <sheetName val="7_6_3(B)_UG_Piping1"/>
      <sheetName val="PRICE_LIST1"/>
      <sheetName val="7_5_2_BOQ_Summary_1"/>
      <sheetName val="Rekap_A1"/>
      <sheetName val="paint_mat1"/>
      <sheetName val="VE_Estimate1"/>
      <sheetName val="TABLE2-2_OSBL-(SITE_PREP)1"/>
      <sheetName val="OFFER_RATE1"/>
      <sheetName val="Job_Data1"/>
      <sheetName val="Piping_Design_Data1"/>
      <sheetName val="Summary_20021"/>
      <sheetName val="ASME_B_36_10_M1"/>
      <sheetName val="Struct-Grass_root1"/>
      <sheetName val="3_0_Overall_Progress_S-curve3"/>
      <sheetName val="3-4_SPI3"/>
      <sheetName val="-15_01"/>
      <sheetName val="견적_집계1"/>
      <sheetName val="PULLING_SUPT등1"/>
      <sheetName val="Sheet1_(2)1"/>
      <sheetName val="PAGE_11"/>
      <sheetName val="_생산성_분석_체계_절차_xlsx1"/>
      <sheetName val="BQ_List1"/>
      <sheetName val="PAGE_21"/>
      <sheetName val="Page_101"/>
      <sheetName val="C급보_1"/>
      <sheetName val="Rectangular_Beam1"/>
      <sheetName val="CRUDE_RE-bar1"/>
      <sheetName val="COST_UP1"/>
      <sheetName val="간접비_총괄표1"/>
      <sheetName val="Eng_hour_DB1"/>
      <sheetName val="DUTCH_CONE1"/>
      <sheetName val="2_Calculation_11"/>
      <sheetName val="PAGE_3_GENERAL_DETAILS1"/>
      <sheetName val="적용_환율1"/>
      <sheetName val="Elect_(3)1"/>
      <sheetName val="Rev_No1"/>
      <sheetName val="PUMP_SHT1"/>
      <sheetName val="Datasheet_GLL_double_weir_(1)1"/>
      <sheetName val="_1"/>
      <sheetName val="eq_data__x005f_x0000__x001"/>
      <sheetName val="TENDER_PROG_1"/>
      <sheetName val="PROC_PROG1"/>
      <sheetName val="Block_D1"/>
      <sheetName val="Sheet2_(2)1"/>
      <sheetName val="33628-Rev__A1"/>
      <sheetName val="TYPE-B_평균H1"/>
      <sheetName val="co-no_2"/>
      <sheetName val="6_공사비_내역_(가)1"/>
      <sheetName val="Form_A_1"/>
      <sheetName val="Form_A_1_1"/>
      <sheetName val="BOM_Indirect"/>
      <sheetName val="Form_A_1_II_2"/>
      <sheetName val="6_GSTG_PIPING"/>
      <sheetName val="NONS__2,189"/>
      <sheetName val="Reference_Table"/>
      <sheetName val="CAL(1)_"/>
      <sheetName val="member_design"/>
      <sheetName val="soil_bearing_check"/>
      <sheetName val="OCT_FDN"/>
      <sheetName val="PRI_CIV"/>
      <sheetName val="FOR_CIV"/>
      <sheetName val="SUB_CIV"/>
      <sheetName val="ANA_CIV"/>
      <sheetName val="AUX_CIV"/>
      <sheetName val="내역서_"/>
      <sheetName val="hori__vessel(E-895)"/>
      <sheetName val="2_3"/>
      <sheetName val="S_N"/>
      <sheetName val="REF_ONLY"/>
      <sheetName val="SUMMARY_(0)1"/>
      <sheetName val="Loading_Table"/>
      <sheetName val="Pipelines_ASAB_I-II_Brownfield"/>
      <sheetName val="Vent_Line_size"/>
      <sheetName val="4_1구조설계"/>
      <sheetName val="input_data-090908"/>
      <sheetName val="HRG_BHN"/>
      <sheetName val="MH_Estimation_Guide"/>
      <sheetName val="공사비_내역_(가)"/>
      <sheetName val="Comp_Rate_"/>
      <sheetName val="Expenses_per_Cost_Code_"/>
      <sheetName val="COMB_MNG&amp;STAFF_(ALL)__(2)"/>
      <sheetName val="Q5434_EQ_LIST"/>
      <sheetName val="motor_power"/>
      <sheetName val="Forecast_Drivers"/>
      <sheetName val="Fill_this_out_first___"/>
      <sheetName val="Fill_this_out_first___1"/>
      <sheetName val="7_0_Crack_Check"/>
      <sheetName val="축열조_기초"/>
      <sheetName val="Data_1"/>
      <sheetName val="Unit_Cost"/>
      <sheetName val="Section_1~4(1)"/>
      <sheetName val="Section_1~4_"/>
      <sheetName val="Section_5"/>
      <sheetName val="Section_5_2"/>
      <sheetName val="Section_5_3"/>
      <sheetName val="Section_6"/>
      <sheetName val="Section_6_2"/>
      <sheetName val="Attachment_1"/>
      <sheetName val="Attachmenet_2"/>
      <sheetName val="MEASURE_LIST"/>
      <sheetName val="Don_gia"/>
      <sheetName val="Analisa_HS"/>
      <sheetName val="COST-EST_LTI_P5C"/>
      <sheetName val="SLEIPNER_-_ORMEN_LANGE"/>
      <sheetName val="전기_BM_revA('090624)_xls"/>
      <sheetName val="定额_(06)"/>
      <sheetName val="Coeff_"/>
      <sheetName val="RAW_MATERIALS_"/>
      <sheetName val="COST-PERSON-J_O_"/>
      <sheetName val="4-3LEVEL-5_epic_4"/>
      <sheetName val="4_단락전류"/>
      <sheetName val="[fdn_bm_pro_xls]기계공사비집계(珆꭭/"/>
      <sheetName val="Exchange_rates"/>
      <sheetName val="P"/>
      <sheetName val="7_5_1(A)_Data7"/>
      <sheetName val="7_5_1(B)_BOQ_Breakdown7"/>
      <sheetName val="7_5_1(C)_Scope7"/>
      <sheetName val="7_5_1(D)_Basis7"/>
      <sheetName val="7_5_1(E)_Allowance7"/>
      <sheetName val="7_5_2_BOQ_Summary7"/>
      <sheetName val="7_5_3_BOQ7"/>
      <sheetName val="A__Erec_BOQ(Shop)7"/>
      <sheetName val="B__Erec_BOQ(Field)7"/>
      <sheetName val="C__Surface_Protection7"/>
      <sheetName val="A__Erec_BOQ(Shop)_(2)7"/>
      <sheetName val="B__Erec_BOQ(Field)_(2)7"/>
      <sheetName val="C__Surf_Protection7"/>
      <sheetName val="Attachment_#17"/>
      <sheetName val="Attachment_#27"/>
      <sheetName val="302_C17"/>
      <sheetName val="302_C27"/>
      <sheetName val="SUPPLY_(2)7"/>
      <sheetName val="RETURN_(2)7"/>
      <sheetName val="303_(2)7"/>
      <sheetName val="308_(2)7"/>
      <sheetName val="309_(2)7"/>
      <sheetName val="JUNCTION_BOX7"/>
      <sheetName val="PIPE_FITTING7"/>
      <sheetName val="TUBE_FITTING7"/>
      <sheetName val="CABLE_GLAND7"/>
      <sheetName val="CONS__EQUIP___7"/>
      <sheetName val="BLR_17"/>
      <sheetName val="REINF_7"/>
      <sheetName val="ITB_COST6"/>
      <sheetName val="97_사업추정(WEKI)6"/>
      <sheetName val="Cost_control6"/>
      <sheetName val="90EL_JACKET6"/>
      <sheetName val="보온_회사분6"/>
      <sheetName val="FIRE_FIGHTING6"/>
      <sheetName val="Tipo_Terzi5"/>
      <sheetName val="plan&amp;section_of_foundation5"/>
      <sheetName val="design_criteria5"/>
      <sheetName val="BM_DATA_SHEET5"/>
      <sheetName val="Mat_Stelo5"/>
      <sheetName val="Unit_SUM5"/>
      <sheetName val="working_load_at_the_btm_ft_4"/>
      <sheetName val="stability_check4"/>
      <sheetName val="OUTER_AREA(겹침없음)4"/>
      <sheetName val="1_설계기준4"/>
      <sheetName val="bill_24"/>
      <sheetName val="표지_(2)4"/>
      <sheetName val="Break_Dw4"/>
      <sheetName val="방유제용량_계산서4"/>
      <sheetName val="Material_Specification4"/>
      <sheetName val="special_item_양진규_작성4"/>
      <sheetName val="Sch_64"/>
      <sheetName val="pile_bearing_capa_&amp;_arrenge4"/>
      <sheetName val="design_load4"/>
      <sheetName val="Fab__Skid4"/>
      <sheetName val="INPUT_DATA4"/>
      <sheetName val="CAMP_OPERATING_COST4"/>
      <sheetName val="PERSONNEL_SETUP4"/>
      <sheetName val="LIST_OF_OFFICE_EQUIPMENT4"/>
      <sheetName val="STAFF&amp;INDIRECT_SALARY_-_SUMMAR4"/>
      <sheetName val="KOREAN_STAFF_SALARY_BREAKDOWN4"/>
      <sheetName val="WELFARE_COST_-_SITE4"/>
      <sheetName val="개시대사_(2)4"/>
      <sheetName val="입고장부_(4)4"/>
      <sheetName val="FEUILLE_INTERNE4"/>
      <sheetName val="COMPARISON_TABLE4"/>
      <sheetName val="L_V_Separator4"/>
      <sheetName val="CAMP_-_CONSTRUCTION4"/>
      <sheetName val="E_Rate_PM4"/>
      <sheetName val="Schedule_2_and_34"/>
      <sheetName val="Cover_sheet2"/>
      <sheetName val="CAL_4"/>
      <sheetName val="Summary_Sheets2"/>
      <sheetName val="BSD_(2)2"/>
      <sheetName val="TRAY_BM2"/>
      <sheetName val="11_자재단가3"/>
      <sheetName val="1_OF_93"/>
      <sheetName val="품셈_2"/>
      <sheetName val="sc0314_Index2"/>
      <sheetName val="Graph_(LGEN)2"/>
      <sheetName val="선적schedule_(2)2"/>
      <sheetName val="Resource_summary2"/>
      <sheetName val="배관물량_(STEEL)4"/>
      <sheetName val="Sheet_14"/>
      <sheetName val="w't_table2"/>
      <sheetName val="eq_data__x005f_x0000__x005f_x0000__x005f_x0000__2"/>
      <sheetName val="Break_Down2"/>
      <sheetName val="Supervision_List2"/>
      <sheetName val="General_Data4"/>
      <sheetName val="PRICE_COMP4"/>
      <sheetName val="A(Rev_3)4"/>
      <sheetName val="static_cal2"/>
      <sheetName val="crude_SLAB_RE-bar2"/>
      <sheetName val="7_6_3(B)_UG_Piping2"/>
      <sheetName val="PRICE_LIST2"/>
      <sheetName val="7_5_2_BOQ_Summary_2"/>
      <sheetName val="Rekap_A2"/>
      <sheetName val="paint_mat2"/>
      <sheetName val="VE_Estimate2"/>
      <sheetName val="TABLE2-2_OSBL-(SITE_PREP)2"/>
      <sheetName val="OFFER_RATE2"/>
      <sheetName val="Job_Data2"/>
      <sheetName val="Piping_Design_Data2"/>
      <sheetName val="Summary_20022"/>
      <sheetName val="ASME_B_36_10_M2"/>
      <sheetName val="Struct-Grass_root2"/>
      <sheetName val="3_0_Overall_Progress_S-curve4"/>
      <sheetName val="3-4_SPI4"/>
      <sheetName val="-15_02"/>
      <sheetName val="견적_집계2"/>
      <sheetName val="PULLING_SUPT등2"/>
      <sheetName val="Sheet1_(2)2"/>
      <sheetName val="PAGE_12"/>
      <sheetName val="_생산성_분석_체계_절차_xlsx2"/>
      <sheetName val="BQ_List2"/>
      <sheetName val="PAGE_22"/>
      <sheetName val="Page_102"/>
      <sheetName val="C급보_2"/>
      <sheetName val="Rectangular_Beam2"/>
      <sheetName val="CRUDE_RE-bar2"/>
      <sheetName val="COST_UP2"/>
      <sheetName val="간접비_총괄표2"/>
      <sheetName val="Eng_hour_DB2"/>
      <sheetName val="DUTCH_CONE2"/>
      <sheetName val="2_Calculation_12"/>
      <sheetName val="PAGE_3_GENERAL_DETAILS2"/>
      <sheetName val="적용_환율2"/>
      <sheetName val="Elect_(3)2"/>
      <sheetName val="GM_0002"/>
      <sheetName val="PRECAST_lightconc-II2"/>
      <sheetName val="Rev_No2"/>
      <sheetName val="PUMP_SHT2"/>
      <sheetName val="Datasheet_GLL_double_weir_(1)2"/>
      <sheetName val="_2"/>
      <sheetName val="eq_data__x005f_x0000__x002"/>
      <sheetName val="TENDER_PROG_2"/>
      <sheetName val="PROC_PROG2"/>
      <sheetName val="Block_D2"/>
      <sheetName val="Sheet2_(2)2"/>
      <sheetName val="33628-Rev__A2"/>
      <sheetName val="TYPE-B_평균H2"/>
      <sheetName val="co-no_21"/>
      <sheetName val="6_공사비_내역_(가)2"/>
      <sheetName val="Form_A_11"/>
      <sheetName val="Form_A_1_11"/>
      <sheetName val="BOM_Indirect1"/>
      <sheetName val="Form_A_1_II_21"/>
      <sheetName val="6_GSTG_PIPING1"/>
      <sheetName val="NONS__2,1891"/>
      <sheetName val="Reference_Table1"/>
      <sheetName val="CAL(1)_1"/>
      <sheetName val="member_design1"/>
      <sheetName val="soil_bearing_check1"/>
      <sheetName val="OCT_FDN1"/>
      <sheetName val="PRI_CIV1"/>
      <sheetName val="FOR_CIV1"/>
      <sheetName val="SUB_CIV1"/>
      <sheetName val="ANA_CIV1"/>
      <sheetName val="AUX_CIV1"/>
      <sheetName val="내역서_1"/>
      <sheetName val="hori__vessel(E-895)1"/>
      <sheetName val="2_31"/>
      <sheetName val="S_N1"/>
      <sheetName val="REF_ONLY1"/>
      <sheetName val="SUMMARY_(0)2"/>
      <sheetName val="Loading_Table1"/>
      <sheetName val="Pipelines_ASAB_I-II_Brownfield1"/>
      <sheetName val="Vent_Line_size1"/>
      <sheetName val="4_1구조설계1"/>
      <sheetName val="input_data-0909081"/>
      <sheetName val="HRG_BHN1"/>
      <sheetName val="MH_Estimation_Guide1"/>
      <sheetName val="공사비_내역_(가)1"/>
      <sheetName val="Comp_Rate_1"/>
      <sheetName val="Expenses_per_Cost_Code_1"/>
      <sheetName val="COMB_MNG&amp;STAFF_(ALL)__(2)1"/>
      <sheetName val="Q5434_EQ_LIST1"/>
      <sheetName val="motor_power1"/>
      <sheetName val="Forecast_Drivers1"/>
      <sheetName val="Fill_this_out_first___2"/>
      <sheetName val="Fill_this_out_first___3"/>
      <sheetName val="7_0_Crack_Check1"/>
      <sheetName val="축열조_기초1"/>
      <sheetName val="Data_11"/>
      <sheetName val="Unit_Cost1"/>
      <sheetName val="Section_1~4(1)1"/>
      <sheetName val="Section_1~4_1"/>
      <sheetName val="Section_51"/>
      <sheetName val="Section_5_21"/>
      <sheetName val="Section_5_31"/>
      <sheetName val="Section_61"/>
      <sheetName val="Section_6_21"/>
      <sheetName val="Attachment_11"/>
      <sheetName val="Attachmenet_21"/>
      <sheetName val="MEASURE_LIST1"/>
      <sheetName val="Don_gia1"/>
      <sheetName val="Analisa_HS1"/>
      <sheetName val="COST-EST_LTI_P5C1"/>
      <sheetName val="SLEIPNER_-_ORMEN_LANGE1"/>
      <sheetName val="전기_BM_revA('090624)_xls1"/>
      <sheetName val="定额_(06)1"/>
      <sheetName val="Coeff_1"/>
      <sheetName val="RAW_MATERIALS_1"/>
      <sheetName val="COST-PERSON-J_O_1"/>
      <sheetName val="4-3LEVEL-5_epic_41"/>
      <sheetName val="4_단락전류1"/>
      <sheetName val="[fdn_bm_pro_xls]기계공사비집계(珆꭭/1"/>
      <sheetName val="Exchange_rates1"/>
      <sheetName val="2-SITE "/>
      <sheetName val="등부표"/>
      <sheetName val="APP-9"/>
      <sheetName val="뜃맟뭁돽띿맟-BLDG"/>
      <sheetName val="기계공사비집계(珆꭭"/>
      <sheetName val="fdn_bm_pro.xls기계공사비집계(珆꭭"/>
      <sheetName val="PCC EAF"/>
      <sheetName val="PCC LF"/>
      <sheetName val="STD"/>
      <sheetName val="Indeks"/>
      <sheetName val="5-ALAT(1)"/>
      <sheetName val="4-Basic Price"/>
      <sheetName val="1-Rekap"/>
      <sheetName val="기계공사비집계(珆꭭_"/>
      <sheetName val="_fdn_bm_pro.xls_기계공사비집계(珆꭭_"/>
      <sheetName val="기계공사비집계(ၩ"/>
      <sheetName val="기계공사비집계(թ"/>
      <sheetName val="기계공사비집계(i"/>
      <sheetName val="eq_data ????"/>
      <sheetName val="?è"/>
      <sheetName val="Finish list"/>
      <sheetName val="Bldg정보"/>
      <sheetName val="sOURCES"/>
      <sheetName val="자재집계 &amp; 총괄표"/>
      <sheetName val="제직재"/>
      <sheetName val="설직재-1"/>
      <sheetName val="제-노임"/>
      <sheetName val="생산량"/>
      <sheetName val="Unit. Price"/>
      <sheetName val="Engrg Est"/>
      <sheetName val="7"/>
      <sheetName val="5_Peralatan"/>
      <sheetName val="Cover_Flex"/>
      <sheetName val="[fdn_bm_pro.xls]_fdn_bm_pro_x_2"/>
      <sheetName val="가설개략"/>
      <sheetName val="dlvoid"/>
      <sheetName val="Dati base"/>
      <sheetName val="US Inflation Factors"/>
      <sheetName val="Ratios"/>
      <sheetName val="Cover Page"/>
      <sheetName val="유림골조"/>
      <sheetName val="GASATAGG.XLS"/>
      <sheetName val="Informasi"/>
      <sheetName val="CBD"/>
      <sheetName val="BD-PP-OFF"/>
      <sheetName val="InsertListDrawing 1 "/>
      <sheetName val="M1"/>
      <sheetName val="SAT"/>
      <sheetName val="barTable"/>
      <sheetName val="Testing"/>
      <sheetName val="BILL Of QUANTITIES"/>
      <sheetName val="H.Satuan"/>
      <sheetName val="Div26 - Elect"/>
      <sheetName val="2.4.1 Elec_BOQ"/>
      <sheetName val="2.4.1 Inst_BOQ"/>
      <sheetName val="PTF Report"/>
      <sheetName val="page 142"/>
      <sheetName val="BEND LOSS"/>
      <sheetName val="Listenfelder"/>
      <sheetName val="6PILE  (돌출)"/>
      <sheetName val="Tie_Beam_GN"/>
      <sheetName val="system_&amp;_LOOK_UP_FUNC"/>
      <sheetName val="96_12"/>
      <sheetName val="tabulación final"/>
      <sheetName val="송강"/>
      <sheetName val="예정공정표 (2)"/>
      <sheetName val="選択リスト"/>
      <sheetName val="図面番号参照"/>
      <sheetName val="Sh_x0005__x0000__x0000_"/>
      <sheetName val="DTmpData"/>
      <sheetName val="Budget Weight Instructions A"/>
      <sheetName val="P-base-1"/>
      <sheetName val="E-base-1"/>
      <sheetName val="Forecast"/>
      <sheetName val="Basic data"/>
      <sheetName val="Isolasi Luar Dalam"/>
      <sheetName val="Isolasi Luar"/>
      <sheetName val="ADMIN TB-557066_00A"/>
      <sheetName val="LABORATORY TB-557091_00A"/>
      <sheetName val="OME5 TB-557088-001_00A"/>
      <sheetName val="OME4 TB-557087-001_00A"/>
      <sheetName val="OME3 TB-557086-001_00A"/>
      <sheetName val="CMB EMTS TB-557084_00A"/>
      <sheetName val="SLCB TB-557083-002_00B"/>
      <sheetName val="PIB9 TB-557082-003_00B"/>
      <sheetName val="PIB7 TB-557081-003_00B"/>
      <sheetName val="PIB6 TB-557080-003_00B"/>
      <sheetName val="PIB5 TB-557079-002_00B"/>
      <sheetName val="PIB4 TB-557078-002_00B"/>
      <sheetName val="PIB3 TB-557077-002_00B"/>
      <sheetName val="CCB TB-557075-001_00B"/>
      <sheetName val="CCB TB-557073-002_00B"/>
      <sheetName val="CCB TB-557072-001_00A"/>
      <sheetName val="CCB TB-557051_00B"/>
      <sheetName val="MASTER"/>
      <sheetName val="PDMP"/>
      <sheetName val="PCE"/>
      <sheetName val="PRODUK"/>
      <sheetName val="TOOL-ME"/>
      <sheetName val="Sh_x0005_"/>
      <sheetName val="NOC"/>
      <sheetName val="EMPLOYMENT CERTIFICATE"/>
      <sheetName val="Salary cer"/>
      <sheetName val="Master file"/>
      <sheetName val="AC"/>
      <sheetName val="암거공"/>
      <sheetName val="가수금대체"/>
      <sheetName val="손익예상"/>
      <sheetName val="working"/>
      <sheetName val="배관내역"/>
      <sheetName val="공정현황"/>
      <sheetName val="PPJan'06"/>
      <sheetName val="공사계획서"/>
      <sheetName val="품셈표"/>
      <sheetName val="Eq. Mobilization"/>
      <sheetName val="95WBS"/>
      <sheetName val="RDLEVLST"/>
      <sheetName val="Line dP"/>
      <sheetName val="Motor Table"/>
      <sheetName val="PkRp"/>
      <sheetName val="eq_data _x0000__x00"/>
      <sheetName val="DataFormat"/>
      <sheetName val="DataPrep"/>
      <sheetName val="77521"/>
      <sheetName val="Connections"/>
      <sheetName val="Calc"/>
      <sheetName val=" Input "/>
      <sheetName val="3514-HV-0201"/>
      <sheetName val="Table-1"/>
      <sheetName val="금융비용"/>
      <sheetName val="ELECTRIC"/>
      <sheetName val="CTEMCOST"/>
      <sheetName val="SCHEDULE"/>
      <sheetName val="chart"/>
      <sheetName val="Bend_fact "/>
      <sheetName val="Bend_fact_"/>
      <sheetName val="982-6B@"/>
      <sheetName val="간접비"/>
      <sheetName val="system_&amp;_LOOK_UP_FUNC1"/>
      <sheetName val="PROCESS"/>
      <sheetName val="E.1"/>
      <sheetName val="OD"/>
      <sheetName val="Estimate"/>
      <sheetName val="Unitwise breakup"/>
      <sheetName val="실행철강하도"/>
      <sheetName val="Droplist"/>
      <sheetName val="tunda2"/>
      <sheetName val="rekap.c"/>
      <sheetName val="HARGA MATERIAL"/>
      <sheetName val="H_param"/>
      <sheetName val="BQ Arsit"/>
      <sheetName val="An HarSatPek"/>
      <sheetName val="Sat Bah &amp; Up"/>
      <sheetName val="1.사업개요"/>
      <sheetName val="HT-INTROD"/>
      <sheetName val="Site Expenses"/>
      <sheetName val="Récapitulatif"/>
      <sheetName val="ABUT수량-A1"/>
      <sheetName val="steel-gr"/>
      <sheetName val="Cause&amp;Effects"/>
      <sheetName val="Paint - Mat Summ"/>
      <sheetName val="Paint_-_Mat_Summ"/>
      <sheetName val="Piling &amp; Tk Fdn"/>
      <sheetName val="Data Pembukaan_1.1"/>
      <sheetName val="특수선일위대가"/>
      <sheetName val="7_5_1(A)_Data8"/>
      <sheetName val="7_5_1(B)_BOQ_Breakdown8"/>
      <sheetName val="7_5_1(C)_Scope8"/>
      <sheetName val="7_5_1(D)_Basis8"/>
      <sheetName val="7_5_1(E)_Allowance8"/>
      <sheetName val="7_5_2_BOQ_Summary8"/>
      <sheetName val="7_5_3_BOQ8"/>
      <sheetName val="A__Erec_BOQ(Shop)8"/>
      <sheetName val="B__Erec_BOQ(Field)8"/>
      <sheetName val="C__Surface_Protection8"/>
      <sheetName val="A__Erec_BOQ(Shop)_(2)8"/>
      <sheetName val="B__Erec_BOQ(Field)_(2)8"/>
      <sheetName val="C__Surf_Protection8"/>
      <sheetName val="Attachment_#18"/>
      <sheetName val="Attachment_#28"/>
      <sheetName val="302_C18"/>
      <sheetName val="302_C28"/>
      <sheetName val="SUPPLY_(2)8"/>
      <sheetName val="RETURN_(2)8"/>
      <sheetName val="303_(2)8"/>
      <sheetName val="308_(2)8"/>
      <sheetName val="309_(2)8"/>
      <sheetName val="JUNCTION_BOX8"/>
      <sheetName val="PIPE_FITTING8"/>
      <sheetName val="TUBE_FITTING8"/>
      <sheetName val="CABLE_GLAND8"/>
      <sheetName val="CONS__EQUIP___8"/>
      <sheetName val="BLR_18"/>
      <sheetName val="REINF_8"/>
      <sheetName val="ITB_COST7"/>
      <sheetName val="97_사업추정(WEKI)7"/>
      <sheetName val="Cost_control7"/>
      <sheetName val="90EL_JACKET7"/>
      <sheetName val="보온_회사분7"/>
      <sheetName val="FIRE_FIGHTING7"/>
      <sheetName val="plan&amp;section_of_foundation6"/>
      <sheetName val="design_criteria6"/>
      <sheetName val="Sch_65"/>
      <sheetName val="bill_25"/>
      <sheetName val="Mat_Stelo6"/>
      <sheetName val="1_설계기준5"/>
      <sheetName val="Unit_SUM6"/>
      <sheetName val="표지_(2)5"/>
      <sheetName val="배관물량_(STEEL)5"/>
      <sheetName val="Sheet_15"/>
      <sheetName val="Tipo_Terzi6"/>
      <sheetName val="BM_DATA_SHEET6"/>
      <sheetName val="working_load_at_the_btm_ft_5"/>
      <sheetName val="stability_check5"/>
      <sheetName val="Break_Dw5"/>
      <sheetName val="방유제용량_계산서5"/>
      <sheetName val="Material_Specification5"/>
      <sheetName val="special_item_양진규_작성5"/>
      <sheetName val="OUTER_AREA(겹침없음)5"/>
      <sheetName val="CAMP_OPERATING_COST5"/>
      <sheetName val="PERSONNEL_SETUP5"/>
      <sheetName val="LIST_OF_OFFICE_EQUIPMENT5"/>
      <sheetName val="STAFF&amp;INDIRECT_SALARY_-_SUMMAR5"/>
      <sheetName val="KOREAN_STAFF_SALARY_BREAKDOWN5"/>
      <sheetName val="WELFARE_COST_-_SITE5"/>
      <sheetName val="INPUT_DATA5"/>
      <sheetName val="개시대사_(2)5"/>
      <sheetName val="pile_bearing_capa_&amp;_arrenge5"/>
      <sheetName val="design_load5"/>
      <sheetName val="Fab__Skid5"/>
      <sheetName val="입고장부_(4)5"/>
      <sheetName val="FEUILLE_INTERNE5"/>
      <sheetName val="L_V_Separator5"/>
      <sheetName val="CAMP_-_CONSTRUCTION5"/>
      <sheetName val="E_Rate_PM5"/>
      <sheetName val="Schedule_2_and_35"/>
      <sheetName val="CAL_5"/>
      <sheetName val="COMPARISON_TABLE5"/>
      <sheetName val="3_0_Overall_Progress_S-curve5"/>
      <sheetName val="3-4_SPI5"/>
      <sheetName val="BSD_(2)3"/>
      <sheetName val="TRAY_BM3"/>
      <sheetName val="Summary_Sheets3"/>
      <sheetName val="Cover_sheet3"/>
      <sheetName val="11_자재단가4"/>
      <sheetName val="1_OF_94"/>
      <sheetName val="품셈_3"/>
      <sheetName val="sc0314_Index3"/>
      <sheetName val="Graph_(LGEN)3"/>
      <sheetName val="선적schedule_(2)3"/>
      <sheetName val="Resource_summary3"/>
      <sheetName val="w't_table3"/>
      <sheetName val="Struct-Grass_root3"/>
      <sheetName val="PAGE_23"/>
      <sheetName val="7_5_2_BOQ_Summary_3"/>
      <sheetName val="Rekap_A3"/>
      <sheetName val="General_Data5"/>
      <sheetName val="PRICE_COMP5"/>
      <sheetName val="A(Rev_3)5"/>
      <sheetName val="static_cal3"/>
      <sheetName val="crude_SLAB_RE-bar3"/>
      <sheetName val="7_6_3(B)_UG_Piping3"/>
      <sheetName val="PRICE_LIST3"/>
      <sheetName val="paint_mat3"/>
      <sheetName val="VE_Estimate3"/>
      <sheetName val="TABLE2-2_OSBL-(SITE_PREP)3"/>
      <sheetName val="OFFER_RATE3"/>
      <sheetName val="Job_Data3"/>
      <sheetName val="Piping_Design_Data3"/>
      <sheetName val="Summary_20023"/>
      <sheetName val="ASME_B_36_10_M3"/>
      <sheetName val="eq_data__x005f_x0000__x005f_x0000__x005f_x0000__3"/>
      <sheetName val="-15_03"/>
      <sheetName val="견적_집계3"/>
      <sheetName val="PULLING_SUPT등3"/>
      <sheetName val="Sheet1_(2)3"/>
      <sheetName val="PAGE_13"/>
      <sheetName val="_생산성_분석_체계_절차_xlsx3"/>
      <sheetName val="BQ_List3"/>
      <sheetName val="Break_Down3"/>
      <sheetName val="Supervision_List3"/>
      <sheetName val="Page_103"/>
      <sheetName val="간접비_총괄표3"/>
      <sheetName val="CRUDE_RE-bar3"/>
      <sheetName val="Exchange_rates2"/>
      <sheetName val="Eng_hour_DB3"/>
      <sheetName val="COST_UP3"/>
      <sheetName val="DUTCH_CONE3"/>
      <sheetName val="C급보_3"/>
      <sheetName val="PAGE_3_GENERAL_DETAILS3"/>
      <sheetName val="적용_환율3"/>
      <sheetName val="Rectangular_Beam3"/>
      <sheetName val="GM_0003"/>
      <sheetName val="PRECAST_lightconc-II3"/>
      <sheetName val="Rev_No3"/>
      <sheetName val="PUMP_SHT3"/>
      <sheetName val="Elect_(3)3"/>
      <sheetName val="TENDER_PROG_3"/>
      <sheetName val="PROC_PROG3"/>
      <sheetName val="Block_D3"/>
      <sheetName val="2_Calculation_13"/>
      <sheetName val="Datasheet_GLL_double_weir_(1)3"/>
      <sheetName val="_3"/>
      <sheetName val="eq_data__x005f_x0000__x003"/>
      <sheetName val="co-no_22"/>
      <sheetName val="33628-Rev__A3"/>
      <sheetName val="TYPE-B_평균H3"/>
      <sheetName val="6_공사비_내역_(가)3"/>
      <sheetName val="Sheet2_(2)3"/>
      <sheetName val="Form_A_12"/>
      <sheetName val="Form_A_1_12"/>
      <sheetName val="BOM_Indirect2"/>
      <sheetName val="Form_A_1_II_22"/>
      <sheetName val="6_GSTG_PIPING2"/>
      <sheetName val="NONS__2,1892"/>
      <sheetName val="내역서_2"/>
      <sheetName val="Reference_Table2"/>
      <sheetName val="CAL(1)_2"/>
      <sheetName val="member_design2"/>
      <sheetName val="soil_bearing_check2"/>
      <sheetName val="OCT_FDN2"/>
      <sheetName val="PRI_CIV2"/>
      <sheetName val="FOR_CIV2"/>
      <sheetName val="SUB_CIV2"/>
      <sheetName val="ANA_CIV2"/>
      <sheetName val="AUX_CIV2"/>
      <sheetName val="hori__vessel(E-895)2"/>
      <sheetName val="2_32"/>
      <sheetName val="S_N2"/>
      <sheetName val="REF_ONLY2"/>
      <sheetName val="Loading_Table2"/>
      <sheetName val="SUMMARY_(0)3"/>
      <sheetName val="Vent_Line_size2"/>
      <sheetName val="Pipelines_ASAB_I-II_Brownfield2"/>
      <sheetName val="MEASURE_LIST2"/>
      <sheetName val="4_1구조설계2"/>
      <sheetName val="HRG_BHN2"/>
      <sheetName val="input_data-0909082"/>
      <sheetName val="MH_Estimation_Guide2"/>
      <sheetName val="공사비_내역_(가)2"/>
      <sheetName val="Don_gia2"/>
      <sheetName val="Comp_Rate_2"/>
      <sheetName val="Data_12"/>
      <sheetName val="Expenses_per_Cost_Code_2"/>
      <sheetName val="7_0_Crack_Check2"/>
      <sheetName val="축열조_기초2"/>
      <sheetName val="Fill_this_out_first___4"/>
      <sheetName val="Fill_this_out_first___5"/>
      <sheetName val="COMB_MNG&amp;STAFF_(ALL)__(2)2"/>
      <sheetName val="Forecast_Drivers2"/>
      <sheetName val="Q5434_EQ_LIST2"/>
      <sheetName val="motor_power2"/>
      <sheetName val="Unit_Cost2"/>
      <sheetName val="Section_1~4(1)2"/>
      <sheetName val="Section_1~4_2"/>
      <sheetName val="Section_52"/>
      <sheetName val="Section_5_22"/>
      <sheetName val="Section_5_32"/>
      <sheetName val="Section_62"/>
      <sheetName val="Section_6_22"/>
      <sheetName val="Attachment_12"/>
      <sheetName val="Attachmenet_22"/>
      <sheetName val="Analisa_HS2"/>
      <sheetName val="RAW_MATERIALS_2"/>
      <sheetName val="COST-PERSON-J_O_2"/>
      <sheetName val="COST-EST_LTI_P5C2"/>
      <sheetName val="SLEIPNER_-_ORMEN_LANGE2"/>
      <sheetName val="전기_BM_revA('090624)_xls2"/>
      <sheetName val="定额_(06)2"/>
      <sheetName val="Coeff_2"/>
      <sheetName val="4-3LEVEL-5_epic_42"/>
      <sheetName val="4_단락전류2"/>
      <sheetName val="[fdn_bm_pro_xls]기계공사비집계(珆꭭/2"/>
      <sheetName val="2-SITE_"/>
      <sheetName val="BID_FORM"/>
      <sheetName val="Form_of_Bid"/>
      <sheetName val="INST_LIST"/>
      <sheetName val="MANPOWER_DIRECT_TRACKING"/>
      <sheetName val="Timescaled_Data"/>
      <sheetName val="Home_Office"/>
      <sheetName val="Code_02"/>
      <sheetName val="Code_03"/>
      <sheetName val="Code_04"/>
      <sheetName val="Code_05"/>
      <sheetName val="Code_06"/>
      <sheetName val="Code_07"/>
      <sheetName val="Code_09"/>
      <sheetName val="4300_UTILITY_BLDG_(2)"/>
      <sheetName val="Price_Breakdown(Building)"/>
      <sheetName val="Item_Dominan"/>
      <sheetName val="Finish_list"/>
      <sheetName val="PCC_EAF"/>
      <sheetName val="PCC_LF"/>
      <sheetName val="4-Basic_Price"/>
      <sheetName val="_fdn_bm_pro_xls_기계공사비집계(珆꭭_"/>
      <sheetName val="eq_data_????"/>
      <sheetName val="Unit__Price"/>
      <sheetName val="Dati_base"/>
      <sheetName val="US_Inflation_Factors"/>
      <sheetName val="Cover_Page"/>
      <sheetName val="fdn_bm_pro_xls기계공사비집계(珆꭭"/>
      <sheetName val="Engrg_Est"/>
      <sheetName val="Cost"/>
      <sheetName val="KEYS"/>
      <sheetName val="[fdn_bm_pro.xls]_fdn_bm_pro_x_3"/>
      <sheetName val="[fdn_bm_pro.xls]_fdn_bm_pro_x_4"/>
      <sheetName val="[fdn_bm_pro.xls]_fdn_bm_pro_x_5"/>
      <sheetName val="_fdn_bm_pro_xls_기계공사비집계(珆꭭_1"/>
      <sheetName val="eq_data ____"/>
      <sheetName val="_è"/>
      <sheetName val="_fdn_bm_pro.xls__fdn_bm_pro_x_2"/>
      <sheetName val="Pipe ID"/>
      <sheetName val="Step"/>
      <sheetName val="database"/>
      <sheetName val="5-Peralatan"/>
      <sheetName val="XLR_NoRangeSheet"/>
      <sheetName val="Cost Data"/>
      <sheetName val="チューブ仕様"/>
      <sheetName val="Cutoff"/>
      <sheetName val="자재집계_&amp;_총괄표"/>
      <sheetName val="[fdn_bm_pro_xls]_fdn_bm_pro_x_2"/>
      <sheetName val="GASATAGG_XLS"/>
      <sheetName val="BEND_LOSS"/>
      <sheetName val="eq_data_1"/>
      <sheetName val="7_5_1(A)_Data9"/>
      <sheetName val="7_5_1(B)_BOQ_Breakdown9"/>
      <sheetName val="7_5_1(C)_Scope9"/>
      <sheetName val="7_5_1(D)_Basis9"/>
      <sheetName val="7_5_1(E)_Allowance9"/>
      <sheetName val="7_5_2_BOQ_Summary9"/>
      <sheetName val="7_5_3_BOQ9"/>
      <sheetName val="A__Erec_BOQ(Shop)9"/>
      <sheetName val="B__Erec_BOQ(Field)9"/>
      <sheetName val="C__Surface_Protection9"/>
      <sheetName val="A__Erec_BOQ(Shop)_(2)9"/>
      <sheetName val="B__Erec_BOQ(Field)_(2)9"/>
      <sheetName val="C__Surf_Protection9"/>
      <sheetName val="Attachment_#19"/>
      <sheetName val="Attachment_#29"/>
      <sheetName val="302_C19"/>
      <sheetName val="302_C29"/>
      <sheetName val="SUPPLY_(2)9"/>
      <sheetName val="RETURN_(2)9"/>
      <sheetName val="303_(2)9"/>
      <sheetName val="308_(2)9"/>
      <sheetName val="309_(2)9"/>
      <sheetName val="JUNCTION_BOX9"/>
      <sheetName val="PIPE_FITTING9"/>
      <sheetName val="TUBE_FITTING9"/>
      <sheetName val="CABLE_GLAND9"/>
      <sheetName val="CONS__EQUIP___9"/>
      <sheetName val="BLR_19"/>
      <sheetName val="REINF_9"/>
      <sheetName val="ITB_COST8"/>
      <sheetName val="97_사업추정(WEKI)8"/>
      <sheetName val="90EL_JACKET8"/>
      <sheetName val="보온_회사분8"/>
      <sheetName val="Cost_control8"/>
      <sheetName val="FIRE_FIGHTING8"/>
      <sheetName val="Tipo_Terzi7"/>
      <sheetName val="plan&amp;section_of_foundation7"/>
      <sheetName val="design_criteria7"/>
      <sheetName val="BM_DATA_SHEET7"/>
      <sheetName val="Mat_Stelo7"/>
      <sheetName val="Unit_SUM7"/>
      <sheetName val="1_설계기준6"/>
      <sheetName val="working_load_at_the_btm_ft_6"/>
      <sheetName val="stability_check6"/>
      <sheetName val="OUTER_AREA(겹침없음)6"/>
      <sheetName val="Material_Specification6"/>
      <sheetName val="special_item_양진규_작성6"/>
      <sheetName val="bill_26"/>
      <sheetName val="방유제용량_계산서6"/>
      <sheetName val="Break_Dw6"/>
      <sheetName val="표지_(2)6"/>
      <sheetName val="pile_bearing_capa_&amp;_arrenge6"/>
      <sheetName val="design_load6"/>
      <sheetName val="Fab__Skid6"/>
      <sheetName val="Sch_66"/>
      <sheetName val="INPUT_DATA6"/>
      <sheetName val="CAMP_OPERATING_COST6"/>
      <sheetName val="PERSONNEL_SETUP6"/>
      <sheetName val="LIST_OF_OFFICE_EQUIPMENT6"/>
      <sheetName val="STAFF&amp;INDIRECT_SALARY_-_SUMMAR6"/>
      <sheetName val="KOREAN_STAFF_SALARY_BREAKDOWN6"/>
      <sheetName val="WELFARE_COST_-_SITE6"/>
      <sheetName val="개시대사_(2)6"/>
      <sheetName val="입고장부_(4)6"/>
      <sheetName val="FEUILLE_INTERNE6"/>
      <sheetName val="COMPARISON_TABLE6"/>
      <sheetName val="L_V_Separator6"/>
      <sheetName val="CAMP_-_CONSTRUCTION6"/>
      <sheetName val="E_Rate_PM6"/>
      <sheetName val="Schedule_2_and_36"/>
      <sheetName val="CAL_6"/>
      <sheetName val="11_자재단가5"/>
      <sheetName val="1_OF_95"/>
      <sheetName val="Cover_sheet4"/>
      <sheetName val="BSD_(2)4"/>
      <sheetName val="TRAY_BM4"/>
      <sheetName val="Graph_(LGEN)4"/>
      <sheetName val="선적schedule_(2)4"/>
      <sheetName val="Summary_Sheets4"/>
      <sheetName val="품셈_4"/>
      <sheetName val="sc0314_Index4"/>
      <sheetName val="Resource_summary4"/>
      <sheetName val="배관물량_(STEEL)6"/>
      <sheetName val="Sheet_16"/>
      <sheetName val="w't_table4"/>
      <sheetName val="eq_data__x005f_x0000__x005f_x0000__x005f_x0000__4"/>
      <sheetName val="Struct-Grass_root4"/>
      <sheetName val="-15_04"/>
      <sheetName val="3_0_Overall_Progress_S-curve6"/>
      <sheetName val="3-4_SPI6"/>
      <sheetName val="General_Data6"/>
      <sheetName val="PRICE_COMP6"/>
      <sheetName val="A(Rev_3)6"/>
      <sheetName val="static_cal4"/>
      <sheetName val="crude_SLAB_RE-bar4"/>
      <sheetName val="7_6_3(B)_UG_Piping4"/>
      <sheetName val="PRICE_LIST4"/>
      <sheetName val="7_5_2_BOQ_Summary_4"/>
      <sheetName val="Rekap_A4"/>
      <sheetName val="paint_mat4"/>
      <sheetName val="VE_Estimate4"/>
      <sheetName val="TABLE2-2_OSBL-(SITE_PREP)4"/>
      <sheetName val="PAGE_24"/>
      <sheetName val="OFFER_RATE4"/>
      <sheetName val="Job_Data4"/>
      <sheetName val="Piping_Design_Data4"/>
      <sheetName val="Summary_20024"/>
      <sheetName val="ASME_B_36_10_M4"/>
      <sheetName val="Break_Down4"/>
      <sheetName val="Supervision_List4"/>
      <sheetName val="견적_집계4"/>
      <sheetName val="PULLING_SUPT등4"/>
      <sheetName val="Sheet1_(2)4"/>
      <sheetName val="PAGE_14"/>
      <sheetName val="_생산성_분석_체계_절차_xlsx4"/>
      <sheetName val="BQ_List4"/>
      <sheetName val="Page_104"/>
      <sheetName val="C급보_4"/>
      <sheetName val="Rectangular_Beam4"/>
      <sheetName val="간접비_총괄표4"/>
      <sheetName val="Eng_hour_DB4"/>
      <sheetName val="CRUDE_RE-bar4"/>
      <sheetName val="DUTCH_CONE4"/>
      <sheetName val="PAGE_3_GENERAL_DETAILS4"/>
      <sheetName val="적용_환율4"/>
      <sheetName val="GM_0004"/>
      <sheetName val="PRECAST_lightconc-II4"/>
      <sheetName val="Elect_(3)4"/>
      <sheetName val="Rev_No4"/>
      <sheetName val="COST_UP4"/>
      <sheetName val="PUMP_SHT4"/>
      <sheetName val="TENDER_PROG_4"/>
      <sheetName val="PROC_PROG4"/>
      <sheetName val="Block_D4"/>
      <sheetName val="2_Calculation_14"/>
      <sheetName val="Datasheet_GLL_double_weir_(1)4"/>
      <sheetName val="_4"/>
      <sheetName val="eq_data__x005f_x0000__x004"/>
      <sheetName val="33628-Rev__A4"/>
      <sheetName val="TYPE-B_평균H4"/>
      <sheetName val="6_공사비_내역_(가)4"/>
      <sheetName val="Sheet2_(2)4"/>
      <sheetName val="REF_ONLY3"/>
      <sheetName val="co-no_23"/>
      <sheetName val="Form_A_13"/>
      <sheetName val="Form_A_1_13"/>
      <sheetName val="BOM_Indirect3"/>
      <sheetName val="Form_A_1_II_23"/>
      <sheetName val="6_GSTG_PIPING3"/>
      <sheetName val="NONS__2,1893"/>
      <sheetName val="COMB_MNG&amp;STAFF_(ALL)__(2)3"/>
      <sheetName val="Reference_Table3"/>
      <sheetName val="CAL(1)_3"/>
      <sheetName val="member_design3"/>
      <sheetName val="soil_bearing_check3"/>
      <sheetName val="OCT_FDN3"/>
      <sheetName val="PRI_CIV3"/>
      <sheetName val="FOR_CIV3"/>
      <sheetName val="SUB_CIV3"/>
      <sheetName val="ANA_CIV3"/>
      <sheetName val="AUX_CIV3"/>
      <sheetName val="내역서_3"/>
      <sheetName val="hori__vessel(E-895)3"/>
      <sheetName val="2_33"/>
      <sheetName val="S_N3"/>
      <sheetName val="Loading_Table3"/>
      <sheetName val="SUMMARY_(0)4"/>
      <sheetName val="4_1구조설계3"/>
      <sheetName val="Pipelines_ASAB_I-II_Brownfield3"/>
      <sheetName val="MH_Estimation_Guide3"/>
      <sheetName val="공사비_내역_(가)3"/>
      <sheetName val="input_data-0909083"/>
      <sheetName val="HRG_BHN3"/>
      <sheetName val="Vent_Line_size3"/>
      <sheetName val="Expenses_per_Cost_Code_3"/>
      <sheetName val="Comp_Rate_3"/>
      <sheetName val="Analisa_HS3"/>
      <sheetName val="Section_1~4(1)3"/>
      <sheetName val="Section_1~4_3"/>
      <sheetName val="Section_53"/>
      <sheetName val="Section_5_23"/>
      <sheetName val="Section_5_33"/>
      <sheetName val="Section_63"/>
      <sheetName val="Section_6_23"/>
      <sheetName val="Attachment_13"/>
      <sheetName val="Attachmenet_23"/>
      <sheetName val="7_0_Crack_Check3"/>
      <sheetName val="축열조_기초3"/>
      <sheetName val="Fill_this_out_first___6"/>
      <sheetName val="Fill_this_out_first___7"/>
      <sheetName val="Forecast_Drivers3"/>
      <sheetName val="RAW_MATERIALS_3"/>
      <sheetName val="COST-PERSON-J_O_3"/>
      <sheetName val="MEASURE_LIST3"/>
      <sheetName val="Don_gia3"/>
      <sheetName val="COST-EST_LTI_P5C3"/>
      <sheetName val="SLEIPNER_-_ORMEN_LANGE3"/>
      <sheetName val="전기_BM_revA('090624)_xls3"/>
      <sheetName val="定额_(06)3"/>
      <sheetName val="Tie_Beam_GN1"/>
      <sheetName val="4_단락전류3"/>
      <sheetName val="Q5434_EQ_LIST3"/>
      <sheetName val="motor_power3"/>
      <sheetName val="Data_13"/>
      <sheetName val="4-3LEVEL-5_epic_43"/>
      <sheetName val="Unit_Cost3"/>
      <sheetName val="Coeff_3"/>
      <sheetName val="[fdn_bm_pro_xls]기계공사비집계(珆꭭/3"/>
      <sheetName val="96_121"/>
      <sheetName val="Exchange_rates3"/>
      <sheetName val="BID_FORM1"/>
      <sheetName val="Form_of_Bid1"/>
      <sheetName val="INST_LIST1"/>
      <sheetName val="Item_Dominan1"/>
      <sheetName val="Code_021"/>
      <sheetName val="Code_031"/>
      <sheetName val="Code_041"/>
      <sheetName val="Code_051"/>
      <sheetName val="Code_061"/>
      <sheetName val="Code_071"/>
      <sheetName val="Code_091"/>
      <sheetName val="4300_UTILITY_BLDG_(2)1"/>
      <sheetName val="Price_Breakdown(Building)1"/>
      <sheetName val="MANPOWER_DIRECT_TRACKING1"/>
      <sheetName val="Timescaled_Data1"/>
      <sheetName val="Home_Office1"/>
      <sheetName val="fdn_bm_pro_xls기계공사비집계(珆꭭1"/>
      <sheetName val="2-SITE_1"/>
      <sheetName val="eq_data_????1"/>
      <sheetName val="PCC_EAF1"/>
      <sheetName val="PCC_LF1"/>
      <sheetName val="4-Basic_Price1"/>
      <sheetName val="Finish_list1"/>
      <sheetName val="Dati_base1"/>
      <sheetName val="US_Inflation_Factors1"/>
      <sheetName val="Cover_Page1"/>
      <sheetName val="Unit__Price1"/>
      <sheetName val="자재집계_&amp;_총괄표1"/>
      <sheetName val="Engrg_Est1"/>
      <sheetName val="[fdn_bm_pro_xls]_fdn_bm_pro_x_1"/>
      <sheetName val="GASATAGG_XLS1"/>
      <sheetName val="BEND_LOSS1"/>
      <sheetName val="eq_data_2"/>
      <sheetName val="7_5_1(A)_Data10"/>
      <sheetName val="7_5_1(B)_BOQ_Breakdown10"/>
      <sheetName val="7_5_1(C)_Scope10"/>
      <sheetName val="7_5_1(D)_Basis10"/>
      <sheetName val="7_5_1(E)_Allowance10"/>
      <sheetName val="7_5_2_BOQ_Summary10"/>
      <sheetName val="7_5_3_BOQ10"/>
      <sheetName val="A__Erec_BOQ(Shop)10"/>
      <sheetName val="B__Erec_BOQ(Field)10"/>
      <sheetName val="C__Surface_Protection10"/>
      <sheetName val="A__Erec_BOQ(Shop)_(2)10"/>
      <sheetName val="B__Erec_BOQ(Field)_(2)10"/>
      <sheetName val="C__Surf_Protection10"/>
      <sheetName val="Attachment_#110"/>
      <sheetName val="Attachment_#210"/>
      <sheetName val="302_C110"/>
      <sheetName val="302_C210"/>
      <sheetName val="SUPPLY_(2)10"/>
      <sheetName val="RETURN_(2)10"/>
      <sheetName val="303_(2)10"/>
      <sheetName val="308_(2)10"/>
      <sheetName val="309_(2)10"/>
      <sheetName val="JUNCTION_BOX10"/>
      <sheetName val="PIPE_FITTING10"/>
      <sheetName val="TUBE_FITTING10"/>
      <sheetName val="CABLE_GLAND10"/>
      <sheetName val="CONS__EQUIP___10"/>
      <sheetName val="BLR_110"/>
      <sheetName val="REINF_10"/>
      <sheetName val="ITB_COST9"/>
      <sheetName val="97_사업추정(WEKI)9"/>
      <sheetName val="90EL_JACKET9"/>
      <sheetName val="보온_회사분9"/>
      <sheetName val="Cost_control9"/>
      <sheetName val="FIRE_FIGHTING9"/>
      <sheetName val="Tipo_Terzi8"/>
      <sheetName val="plan&amp;section_of_foundation8"/>
      <sheetName val="design_criteria8"/>
      <sheetName val="BM_DATA_SHEET8"/>
      <sheetName val="Mat_Stelo8"/>
      <sheetName val="Unit_SUM8"/>
      <sheetName val="1_설계기준7"/>
      <sheetName val="working_load_at_the_btm_ft_7"/>
      <sheetName val="stability_check7"/>
      <sheetName val="OUTER_AREA(겹침없음)7"/>
      <sheetName val="Material_Specification7"/>
      <sheetName val="special_item_양진규_작성7"/>
      <sheetName val="bill_27"/>
      <sheetName val="방유제용량_계산서7"/>
      <sheetName val="Break_Dw7"/>
      <sheetName val="표지_(2)7"/>
      <sheetName val="pile_bearing_capa_&amp;_arrenge7"/>
      <sheetName val="design_load7"/>
      <sheetName val="Fab__Skid7"/>
      <sheetName val="Sch_67"/>
      <sheetName val="INPUT_DATA7"/>
      <sheetName val="CAMP_OPERATING_COST7"/>
      <sheetName val="PERSONNEL_SETUP7"/>
      <sheetName val="LIST_OF_OFFICE_EQUIPMENT7"/>
      <sheetName val="STAFF&amp;INDIRECT_SALARY_-_SUMMAR7"/>
      <sheetName val="KOREAN_STAFF_SALARY_BREAKDOWN7"/>
      <sheetName val="WELFARE_COST_-_SITE7"/>
      <sheetName val="개시대사_(2)7"/>
      <sheetName val="입고장부_(4)7"/>
      <sheetName val="FEUILLE_INTERNE7"/>
      <sheetName val="COMPARISON_TABLE7"/>
      <sheetName val="L_V_Separator7"/>
      <sheetName val="CAMP_-_CONSTRUCTION7"/>
      <sheetName val="E_Rate_PM7"/>
      <sheetName val="Schedule_2_and_37"/>
      <sheetName val="CAL_7"/>
      <sheetName val="11_자재단가6"/>
      <sheetName val="1_OF_96"/>
      <sheetName val="Cover_sheet5"/>
      <sheetName val="BSD_(2)5"/>
      <sheetName val="TRAY_BM5"/>
      <sheetName val="Graph_(LGEN)5"/>
      <sheetName val="선적schedule_(2)5"/>
      <sheetName val="Summary_Sheets5"/>
      <sheetName val="품셈_5"/>
      <sheetName val="sc0314_Index5"/>
      <sheetName val="Resource_summary5"/>
      <sheetName val="배관물량_(STEEL)7"/>
      <sheetName val="Sheet_17"/>
      <sheetName val="w't_table5"/>
      <sheetName val="eq_data__x005f_x0000__x005f_x0000__x005f_x0000__5"/>
      <sheetName val="Struct-Grass_root5"/>
      <sheetName val="-15_05"/>
      <sheetName val="3_0_Overall_Progress_S-curve7"/>
      <sheetName val="3-4_SPI7"/>
      <sheetName val="General_Data7"/>
      <sheetName val="PRICE_COMP7"/>
      <sheetName val="A(Rev_3)7"/>
      <sheetName val="static_cal5"/>
      <sheetName val="crude_SLAB_RE-bar5"/>
      <sheetName val="7_6_3(B)_UG_Piping5"/>
      <sheetName val="PRICE_LIST5"/>
      <sheetName val="7_5_2_BOQ_Summary_5"/>
      <sheetName val="Rekap_A5"/>
      <sheetName val="paint_mat5"/>
      <sheetName val="VE_Estimate5"/>
      <sheetName val="TABLE2-2_OSBL-(SITE_PREP)5"/>
      <sheetName val="PAGE_25"/>
      <sheetName val="OFFER_RATE5"/>
      <sheetName val="Job_Data5"/>
      <sheetName val="Piping_Design_Data5"/>
      <sheetName val="Summary_20025"/>
      <sheetName val="ASME_B_36_10_M5"/>
      <sheetName val="Break_Down5"/>
      <sheetName val="Supervision_List5"/>
      <sheetName val="견적_집계5"/>
      <sheetName val="PULLING_SUPT등5"/>
      <sheetName val="Sheet1_(2)5"/>
      <sheetName val="PAGE_15"/>
      <sheetName val="_생산성_분석_체계_절차_xlsx5"/>
      <sheetName val="BQ_List5"/>
      <sheetName val="Page_105"/>
      <sheetName val="C급보_5"/>
      <sheetName val="Rectangular_Beam5"/>
      <sheetName val="간접비_총괄표5"/>
      <sheetName val="Eng_hour_DB5"/>
      <sheetName val="CRUDE_RE-bar5"/>
      <sheetName val="DUTCH_CONE5"/>
      <sheetName val="PAGE_3_GENERAL_DETAILS5"/>
      <sheetName val="적용_환율5"/>
      <sheetName val="GM_0005"/>
      <sheetName val="PRECAST_lightconc-II5"/>
      <sheetName val="Elect_(3)5"/>
      <sheetName val="Rev_No5"/>
      <sheetName val="COST_UP5"/>
      <sheetName val="PUMP_SHT5"/>
      <sheetName val="TENDER_PROG_5"/>
      <sheetName val="PROC_PROG5"/>
      <sheetName val="Block_D5"/>
      <sheetName val="2_Calculation_15"/>
      <sheetName val="Datasheet_GLL_double_weir_(1)5"/>
      <sheetName val="_5"/>
      <sheetName val="eq_data__x005f_x0000__x005"/>
      <sheetName val="33628-Rev__A5"/>
      <sheetName val="TYPE-B_평균H5"/>
      <sheetName val="6_공사비_내역_(가)5"/>
      <sheetName val="Sheet2_(2)5"/>
      <sheetName val="REF_ONLY4"/>
      <sheetName val="co-no_24"/>
      <sheetName val="Form_A_14"/>
      <sheetName val="Form_A_1_14"/>
      <sheetName val="BOM_Indirect4"/>
      <sheetName val="Form_A_1_II_24"/>
      <sheetName val="6_GSTG_PIPING4"/>
      <sheetName val="NONS__2,1894"/>
      <sheetName val="COMB_MNG&amp;STAFF_(ALL)__(2)4"/>
      <sheetName val="Reference_Table4"/>
      <sheetName val="CAL(1)_4"/>
      <sheetName val="member_design4"/>
      <sheetName val="soil_bearing_check4"/>
      <sheetName val="OCT_FDN4"/>
      <sheetName val="PRI_CIV4"/>
      <sheetName val="FOR_CIV4"/>
      <sheetName val="SUB_CIV4"/>
      <sheetName val="ANA_CIV4"/>
      <sheetName val="AUX_CIV4"/>
      <sheetName val="내역서_4"/>
      <sheetName val="hori__vessel(E-895)4"/>
      <sheetName val="2_34"/>
      <sheetName val="S_N4"/>
      <sheetName val="Loading_Table4"/>
      <sheetName val="SUMMARY_(0)5"/>
      <sheetName val="4_1구조설계4"/>
      <sheetName val="Pipelines_ASAB_I-II_Brownfield4"/>
      <sheetName val="MH_Estimation_Guide4"/>
      <sheetName val="공사비_내역_(가)4"/>
      <sheetName val="input_data-0909084"/>
      <sheetName val="HRG_BHN4"/>
      <sheetName val="Vent_Line_size4"/>
      <sheetName val="Expenses_per_Cost_Code_4"/>
      <sheetName val="Comp_Rate_4"/>
      <sheetName val="Analisa_HS4"/>
      <sheetName val="Section_1~4(1)4"/>
      <sheetName val="Section_1~4_4"/>
      <sheetName val="Section_54"/>
      <sheetName val="Section_5_24"/>
      <sheetName val="Section_5_34"/>
      <sheetName val="Section_64"/>
      <sheetName val="Section_6_24"/>
      <sheetName val="Attachment_14"/>
      <sheetName val="Attachmenet_24"/>
      <sheetName val="7_0_Crack_Check4"/>
      <sheetName val="축열조_기초4"/>
      <sheetName val="Fill_this_out_first___8"/>
      <sheetName val="Fill_this_out_first___9"/>
      <sheetName val="Forecast_Drivers4"/>
      <sheetName val="RAW_MATERIALS_4"/>
      <sheetName val="COST-PERSON-J_O_4"/>
      <sheetName val="MEASURE_LIST4"/>
      <sheetName val="Don_gia4"/>
      <sheetName val="COST-EST_LTI_P5C4"/>
      <sheetName val="SLEIPNER_-_ORMEN_LANGE4"/>
      <sheetName val="전기_BM_revA('090624)_xls4"/>
      <sheetName val="定额_(06)4"/>
      <sheetName val="Tie_Beam_GN2"/>
      <sheetName val="4_단락전류4"/>
      <sheetName val="system_&amp;_LOOK_UP_FUNC2"/>
      <sheetName val="Q5434_EQ_LIST4"/>
      <sheetName val="motor_power4"/>
      <sheetName val="Data_14"/>
      <sheetName val="4-3LEVEL-5_epic_44"/>
      <sheetName val="Unit_Cost4"/>
      <sheetName val="Coeff_4"/>
      <sheetName val="[fdn_bm_pro_xls]기계공사비집계(珆꭭/4"/>
      <sheetName val="96_122"/>
      <sheetName val="Exchange_rates4"/>
      <sheetName val="BID_FORM2"/>
      <sheetName val="Form_of_Bid2"/>
      <sheetName val="INST_LIST2"/>
      <sheetName val="Item_Dominan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Price_Breakdown(Building)2"/>
      <sheetName val="MANPOWER_DIRECT_TRACKING2"/>
      <sheetName val="Timescaled_Data2"/>
      <sheetName val="Home_Office2"/>
      <sheetName val="fdn_bm_pro_xls기계공사비집계(珆꭭2"/>
      <sheetName val="2-SITE_2"/>
      <sheetName val="eq_data_????2"/>
      <sheetName val="PCC_EAF2"/>
      <sheetName val="PCC_LF2"/>
      <sheetName val="4-Basic_Price2"/>
      <sheetName val="_fdn_bm_pro_xls_기계공사비집계(珆꭭_2"/>
      <sheetName val="Finish_list2"/>
      <sheetName val="Dati_base2"/>
      <sheetName val="US_Inflation_Factors2"/>
      <sheetName val="Cover_Page2"/>
      <sheetName val="Unit__Price2"/>
      <sheetName val="자재집계_&amp;_총괄표2"/>
      <sheetName val="Engrg_Est2"/>
      <sheetName val="[fdn_bm_pro_xls]_fdn_bm_pro_x_3"/>
      <sheetName val="GASATAGG_XLS2"/>
      <sheetName val="BEND_LOSS2"/>
      <sheetName val="eq_data_3"/>
      <sheetName val="7_5_1(A)_Data11"/>
      <sheetName val="7_5_1(B)_BOQ_Breakdown11"/>
      <sheetName val="7_5_1(C)_Scope11"/>
      <sheetName val="7_5_1(D)_Basis11"/>
      <sheetName val="7_5_1(E)_Allowance11"/>
      <sheetName val="7_5_2_BOQ_Summary11"/>
      <sheetName val="7_5_3_BOQ11"/>
      <sheetName val="A__Erec_BOQ(Shop)11"/>
      <sheetName val="B__Erec_BOQ(Field)11"/>
      <sheetName val="C__Surface_Protection11"/>
      <sheetName val="A__Erec_BOQ(Shop)_(2)11"/>
      <sheetName val="B__Erec_BOQ(Field)_(2)11"/>
      <sheetName val="C__Surf_Protection11"/>
      <sheetName val="Attachment_#111"/>
      <sheetName val="Attachment_#211"/>
      <sheetName val="302_C111"/>
      <sheetName val="302_C211"/>
      <sheetName val="SUPPLY_(2)11"/>
      <sheetName val="RETURN_(2)11"/>
      <sheetName val="303_(2)11"/>
      <sheetName val="308_(2)11"/>
      <sheetName val="309_(2)11"/>
      <sheetName val="JUNCTION_BOX11"/>
      <sheetName val="PIPE_FITTING11"/>
      <sheetName val="TUBE_FITTING11"/>
      <sheetName val="CABLE_GLAND11"/>
      <sheetName val="CONS__EQUIP___11"/>
      <sheetName val="BLR_111"/>
      <sheetName val="REINF_11"/>
      <sheetName val="ITB_COST10"/>
      <sheetName val="97_사업추정(WEKI)10"/>
      <sheetName val="90EL_JACKET10"/>
      <sheetName val="보온_회사분10"/>
      <sheetName val="Cost_control10"/>
      <sheetName val="FIRE_FIGHTING10"/>
      <sheetName val="Tipo_Terzi9"/>
      <sheetName val="plan&amp;section_of_foundation9"/>
      <sheetName val="design_criteria9"/>
      <sheetName val="BM_DATA_SHEET9"/>
      <sheetName val="Mat_Stelo9"/>
      <sheetName val="Unit_SUM9"/>
      <sheetName val="1_설계기준8"/>
      <sheetName val="working_load_at_the_btm_ft_8"/>
      <sheetName val="stability_check8"/>
      <sheetName val="OUTER_AREA(겹침없음)8"/>
      <sheetName val="Material_Specification8"/>
      <sheetName val="special_item_양진규_작성8"/>
      <sheetName val="bill_28"/>
      <sheetName val="방유제용량_계산서8"/>
      <sheetName val="Break_Dw8"/>
      <sheetName val="표지_(2)8"/>
      <sheetName val="pile_bearing_capa_&amp;_arrenge8"/>
      <sheetName val="design_load8"/>
      <sheetName val="Fab__Skid8"/>
      <sheetName val="Sch_68"/>
      <sheetName val="INPUT_DATA8"/>
      <sheetName val="CAMP_OPERATING_COST8"/>
      <sheetName val="PERSONNEL_SETUP8"/>
      <sheetName val="LIST_OF_OFFICE_EQUIPMENT8"/>
      <sheetName val="STAFF&amp;INDIRECT_SALARY_-_SUMMAR8"/>
      <sheetName val="KOREAN_STAFF_SALARY_BREAKDOWN8"/>
      <sheetName val="WELFARE_COST_-_SITE8"/>
      <sheetName val="개시대사_(2)8"/>
      <sheetName val="입고장부_(4)8"/>
      <sheetName val="FEUILLE_INTERNE8"/>
      <sheetName val="COMPARISON_TABLE8"/>
      <sheetName val="L_V_Separator8"/>
      <sheetName val="CAMP_-_CONSTRUCTION8"/>
      <sheetName val="E_Rate_PM8"/>
      <sheetName val="Schedule_2_and_38"/>
      <sheetName val="CAL_8"/>
      <sheetName val="11_자재단가7"/>
      <sheetName val="1_OF_97"/>
      <sheetName val="Cover_sheet6"/>
      <sheetName val="BSD_(2)6"/>
      <sheetName val="TRAY_BM6"/>
      <sheetName val="Graph_(LGEN)6"/>
      <sheetName val="선적schedule_(2)6"/>
      <sheetName val="Summary_Sheets6"/>
      <sheetName val="품셈_6"/>
      <sheetName val="sc0314_Index6"/>
      <sheetName val="Resource_summary6"/>
      <sheetName val="배관물량_(STEEL)8"/>
      <sheetName val="Sheet_18"/>
      <sheetName val="w't_table6"/>
      <sheetName val="eq_data__x005f_x0000__x005f_x0000__x005f_x0000__6"/>
      <sheetName val="Struct-Grass_root6"/>
      <sheetName val="-15_06"/>
      <sheetName val="3_0_Overall_Progress_S-curve8"/>
      <sheetName val="3-4_SPI8"/>
      <sheetName val="General_Data8"/>
      <sheetName val="PRICE_COMP8"/>
      <sheetName val="A(Rev_3)8"/>
      <sheetName val="static_cal6"/>
      <sheetName val="crude_SLAB_RE-bar6"/>
      <sheetName val="7_6_3(B)_UG_Piping6"/>
      <sheetName val="PRICE_LIST6"/>
      <sheetName val="7_5_2_BOQ_Summary_6"/>
      <sheetName val="Rekap_A6"/>
      <sheetName val="paint_mat6"/>
      <sheetName val="VE_Estimate6"/>
      <sheetName val="TABLE2-2_OSBL-(SITE_PREP)6"/>
      <sheetName val="PAGE_26"/>
      <sheetName val="OFFER_RATE6"/>
      <sheetName val="Job_Data6"/>
      <sheetName val="Piping_Design_Data6"/>
      <sheetName val="Summary_20026"/>
      <sheetName val="ASME_B_36_10_M6"/>
      <sheetName val="Break_Down6"/>
      <sheetName val="Supervision_List6"/>
      <sheetName val="견적_집계6"/>
      <sheetName val="PULLING_SUPT등6"/>
      <sheetName val="Sheet1_(2)6"/>
      <sheetName val="PAGE_16"/>
      <sheetName val="_생산성_분석_체계_절차_xlsx6"/>
      <sheetName val="BQ_List6"/>
      <sheetName val="Page_106"/>
      <sheetName val="C급보_6"/>
      <sheetName val="Rectangular_Beam6"/>
      <sheetName val="간접비_총괄표6"/>
      <sheetName val="Eng_hour_DB6"/>
      <sheetName val="CRUDE_RE-bar6"/>
      <sheetName val="DUTCH_CONE6"/>
      <sheetName val="PAGE_3_GENERAL_DETAILS6"/>
      <sheetName val="적용_환율6"/>
      <sheetName val="GM_0006"/>
      <sheetName val="PRECAST_lightconc-II6"/>
      <sheetName val="Elect_(3)6"/>
      <sheetName val="Rev_No6"/>
      <sheetName val="COST_UP6"/>
      <sheetName val="PUMP_SHT6"/>
      <sheetName val="TENDER_PROG_6"/>
      <sheetName val="PROC_PROG6"/>
      <sheetName val="Block_D6"/>
      <sheetName val="2_Calculation_16"/>
      <sheetName val="Datasheet_GLL_double_weir_(1)6"/>
      <sheetName val="_6"/>
      <sheetName val="eq_data__x005f_x0000__x006"/>
      <sheetName val="33628-Rev__A6"/>
      <sheetName val="TYPE-B_평균H6"/>
      <sheetName val="6_공사비_내역_(가)6"/>
      <sheetName val="Sheet2_(2)6"/>
      <sheetName val="REF_ONLY5"/>
      <sheetName val="co-no_25"/>
      <sheetName val="Form_A_15"/>
      <sheetName val="Form_A_1_15"/>
      <sheetName val="BOM_Indirect5"/>
      <sheetName val="Form_A_1_II_25"/>
      <sheetName val="6_GSTG_PIPING5"/>
      <sheetName val="NONS__2,1895"/>
      <sheetName val="COMB_MNG&amp;STAFF_(ALL)__(2)5"/>
      <sheetName val="Reference_Table5"/>
      <sheetName val="CAL(1)_5"/>
      <sheetName val="member_design5"/>
      <sheetName val="soil_bearing_check5"/>
      <sheetName val="OCT_FDN5"/>
      <sheetName val="PRI_CIV5"/>
      <sheetName val="FOR_CIV5"/>
      <sheetName val="SUB_CIV5"/>
      <sheetName val="ANA_CIV5"/>
      <sheetName val="AUX_CIV5"/>
      <sheetName val="내역서_5"/>
      <sheetName val="hori__vessel(E-895)5"/>
      <sheetName val="2_35"/>
      <sheetName val="S_N5"/>
      <sheetName val="Loading_Table5"/>
      <sheetName val="SUMMARY_(0)6"/>
      <sheetName val="4_1구조설계5"/>
      <sheetName val="Pipelines_ASAB_I-II_Brownfield5"/>
      <sheetName val="MH_Estimation_Guide5"/>
      <sheetName val="공사비_내역_(가)5"/>
      <sheetName val="input_data-0909085"/>
      <sheetName val="HRG_BHN5"/>
      <sheetName val="Vent_Line_size5"/>
      <sheetName val="Expenses_per_Cost_Code_5"/>
      <sheetName val="Comp_Rate_5"/>
      <sheetName val="Analisa_HS5"/>
      <sheetName val="Section_1~4(1)5"/>
      <sheetName val="Section_1~4_5"/>
      <sheetName val="Section_55"/>
      <sheetName val="Section_5_25"/>
      <sheetName val="Section_5_35"/>
      <sheetName val="Section_65"/>
      <sheetName val="Section_6_25"/>
      <sheetName val="Attachment_15"/>
      <sheetName val="Attachmenet_25"/>
      <sheetName val="7_0_Crack_Check5"/>
      <sheetName val="축열조_기초5"/>
      <sheetName val="Fill_this_out_first___10"/>
      <sheetName val="Fill_this_out_first___11"/>
      <sheetName val="Forecast_Drivers5"/>
      <sheetName val="RAW_MATERIALS_5"/>
      <sheetName val="COST-PERSON-J_O_5"/>
      <sheetName val="MEASURE_LIST5"/>
      <sheetName val="Don_gia5"/>
      <sheetName val="COST-EST_LTI_P5C5"/>
      <sheetName val="SLEIPNER_-_ORMEN_LANGE5"/>
      <sheetName val="전기_BM_revA('090624)_xls5"/>
      <sheetName val="定额_(06)5"/>
      <sheetName val="Tie_Beam_GN3"/>
      <sheetName val="4_단락전류5"/>
      <sheetName val="system_&amp;_LOOK_UP_FUNC3"/>
      <sheetName val="Q5434_EQ_LIST5"/>
      <sheetName val="motor_power5"/>
      <sheetName val="Data_15"/>
      <sheetName val="4-3LEVEL-5_epic_45"/>
      <sheetName val="Unit_Cost5"/>
      <sheetName val="Coeff_5"/>
      <sheetName val="[fdn_bm_pro_xls]기계공사비집계(珆꭭/5"/>
      <sheetName val="96_123"/>
      <sheetName val="Exchange_rates5"/>
      <sheetName val="BID_FORM3"/>
      <sheetName val="Form_of_Bid3"/>
      <sheetName val="INST_LIST3"/>
      <sheetName val="Item_Dominan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Price_Breakdown(Building)3"/>
      <sheetName val="MANPOWER_DIRECT_TRACKING3"/>
      <sheetName val="Timescaled_Data3"/>
      <sheetName val="Home_Office3"/>
      <sheetName val="fdn_bm_pro_xls기계공사비집계(珆꭭3"/>
      <sheetName val="2-SITE_3"/>
      <sheetName val="eq_data_????3"/>
      <sheetName val="PCC_EAF3"/>
      <sheetName val="PCC_LF3"/>
      <sheetName val="4-Basic_Price3"/>
      <sheetName val="_fdn_bm_pro_xls_기계공사비집계(珆꭭_3"/>
      <sheetName val="Finish_list3"/>
      <sheetName val="Dati_base3"/>
      <sheetName val="US_Inflation_Factors3"/>
      <sheetName val="Cover_Page3"/>
      <sheetName val="Unit__Price3"/>
      <sheetName val="자재집계_&amp;_총괄표3"/>
      <sheetName val="Engrg_Est3"/>
      <sheetName val="[fdn_bm_pro_xls]_fdn_bm_pro_x_4"/>
      <sheetName val="GASATAGG_XLS3"/>
      <sheetName val="BEND_LOSS3"/>
      <sheetName val="eq_data_4"/>
      <sheetName val="7_5_1(A)_Data12"/>
      <sheetName val="7_5_1(B)_BOQ_Breakdown12"/>
      <sheetName val="7_5_1(C)_Scope12"/>
      <sheetName val="7_5_1(D)_Basis12"/>
      <sheetName val="7_5_1(E)_Allowance12"/>
      <sheetName val="7_5_2_BOQ_Summary12"/>
      <sheetName val="7_5_3_BOQ12"/>
      <sheetName val="A__Erec_BOQ(Shop)12"/>
      <sheetName val="B__Erec_BOQ(Field)12"/>
      <sheetName val="C__Surface_Protection12"/>
      <sheetName val="A__Erec_BOQ(Shop)_(2)12"/>
      <sheetName val="B__Erec_BOQ(Field)_(2)12"/>
      <sheetName val="C__Surf_Protection12"/>
      <sheetName val="Attachment_#112"/>
      <sheetName val="Attachment_#212"/>
      <sheetName val="302_C112"/>
      <sheetName val="302_C212"/>
      <sheetName val="SUPPLY_(2)12"/>
      <sheetName val="RETURN_(2)12"/>
      <sheetName val="303_(2)12"/>
      <sheetName val="308_(2)12"/>
      <sheetName val="309_(2)12"/>
      <sheetName val="JUNCTION_BOX12"/>
      <sheetName val="PIPE_FITTING12"/>
      <sheetName val="TUBE_FITTING12"/>
      <sheetName val="CABLE_GLAND12"/>
      <sheetName val="CONS__EQUIP___12"/>
      <sheetName val="BLR_112"/>
      <sheetName val="REINF_12"/>
      <sheetName val="ITB_COST11"/>
      <sheetName val="97_사업추정(WEKI)11"/>
      <sheetName val="90EL_JACKET11"/>
      <sheetName val="보온_회사분11"/>
      <sheetName val="Cost_control11"/>
      <sheetName val="FIRE_FIGHTING11"/>
      <sheetName val="Tipo_Terzi10"/>
      <sheetName val="plan&amp;section_of_foundation10"/>
      <sheetName val="design_criteria10"/>
      <sheetName val="BM_DATA_SHEET10"/>
      <sheetName val="Mat_Stelo10"/>
      <sheetName val="Unit_SUM10"/>
      <sheetName val="1_설계기준9"/>
      <sheetName val="working_load_at_the_btm_ft_9"/>
      <sheetName val="stability_check9"/>
      <sheetName val="OUTER_AREA(겹침없음)9"/>
      <sheetName val="Material_Specification9"/>
      <sheetName val="special_item_양진규_작성9"/>
      <sheetName val="bill_29"/>
      <sheetName val="방유제용량_계산서9"/>
      <sheetName val="Break_Dw9"/>
      <sheetName val="표지_(2)9"/>
      <sheetName val="pile_bearing_capa_&amp;_arrenge9"/>
      <sheetName val="design_load9"/>
      <sheetName val="Fab__Skid9"/>
      <sheetName val="Sch_69"/>
      <sheetName val="INPUT_DATA9"/>
      <sheetName val="CAMP_OPERATING_COST9"/>
      <sheetName val="PERSONNEL_SETUP9"/>
      <sheetName val="LIST_OF_OFFICE_EQUIPMENT9"/>
      <sheetName val="STAFF&amp;INDIRECT_SALARY_-_SUMMAR9"/>
      <sheetName val="KOREAN_STAFF_SALARY_BREAKDOWN9"/>
      <sheetName val="WELFARE_COST_-_SITE9"/>
      <sheetName val="개시대사_(2)9"/>
      <sheetName val="입고장부_(4)9"/>
      <sheetName val="FEUILLE_INTERNE9"/>
      <sheetName val="COMPARISON_TABLE9"/>
      <sheetName val="L_V_Separator9"/>
      <sheetName val="CAMP_-_CONSTRUCTION9"/>
      <sheetName val="E_Rate_PM9"/>
      <sheetName val="Schedule_2_and_39"/>
      <sheetName val="CAL_9"/>
      <sheetName val="11_자재단가8"/>
      <sheetName val="1_OF_98"/>
      <sheetName val="Cover_sheet7"/>
      <sheetName val="BSD_(2)7"/>
      <sheetName val="TRAY_BM7"/>
      <sheetName val="Graph_(LGEN)7"/>
      <sheetName val="선적schedule_(2)7"/>
      <sheetName val="Summary_Sheets7"/>
      <sheetName val="품셈_7"/>
      <sheetName val="sc0314_Index7"/>
      <sheetName val="Resource_summary7"/>
      <sheetName val="배관물량_(STEEL)9"/>
      <sheetName val="Sheet_19"/>
      <sheetName val="w't_table7"/>
      <sheetName val="eq_data__x005f_x0000__x005f_x0000__x005f_x0000__7"/>
      <sheetName val="Struct-Grass_root7"/>
      <sheetName val="-15_07"/>
      <sheetName val="3_0_Overall_Progress_S-curve9"/>
      <sheetName val="3-4_SPI9"/>
      <sheetName val="General_Data9"/>
      <sheetName val="PRICE_COMP9"/>
      <sheetName val="A(Rev_3)9"/>
      <sheetName val="static_cal7"/>
      <sheetName val="crude_SLAB_RE-bar7"/>
      <sheetName val="7_6_3(B)_UG_Piping7"/>
      <sheetName val="PRICE_LIST7"/>
      <sheetName val="7_5_2_BOQ_Summary_7"/>
      <sheetName val="Rekap_A7"/>
      <sheetName val="paint_mat7"/>
      <sheetName val="VE_Estimate7"/>
      <sheetName val="TABLE2-2_OSBL-(SITE_PREP)7"/>
      <sheetName val="PAGE_27"/>
      <sheetName val="OFFER_RATE7"/>
      <sheetName val="Job_Data7"/>
      <sheetName val="Piping_Design_Data7"/>
      <sheetName val="Summary_20027"/>
      <sheetName val="ASME_B_36_10_M7"/>
      <sheetName val="Break_Down7"/>
      <sheetName val="Supervision_List7"/>
      <sheetName val="견적_집계7"/>
      <sheetName val="PULLING_SUPT등7"/>
      <sheetName val="Sheet1_(2)7"/>
      <sheetName val="PAGE_17"/>
      <sheetName val="_생산성_분석_체계_절차_xlsx7"/>
      <sheetName val="BQ_List7"/>
      <sheetName val="Page_107"/>
      <sheetName val="C급보_7"/>
      <sheetName val="Rectangular_Beam7"/>
      <sheetName val="간접비_총괄표7"/>
      <sheetName val="Eng_hour_DB7"/>
      <sheetName val="CRUDE_RE-bar7"/>
      <sheetName val="DUTCH_CONE7"/>
      <sheetName val="PAGE_3_GENERAL_DETAILS7"/>
      <sheetName val="적용_환율7"/>
      <sheetName val="GM_0007"/>
      <sheetName val="PRECAST_lightconc-II7"/>
      <sheetName val="Elect_(3)7"/>
      <sheetName val="Rev_No7"/>
      <sheetName val="COST_UP7"/>
      <sheetName val="PUMP_SHT7"/>
      <sheetName val="TENDER_PROG_7"/>
      <sheetName val="PROC_PROG7"/>
      <sheetName val="Block_D7"/>
      <sheetName val="2_Calculation_17"/>
      <sheetName val="Datasheet_GLL_double_weir_(1)7"/>
      <sheetName val="_7"/>
      <sheetName val="eq_data__x005f_x0000__x007"/>
      <sheetName val="33628-Rev__A7"/>
      <sheetName val="TYPE-B_평균H7"/>
      <sheetName val="6_공사비_내역_(가)7"/>
      <sheetName val="Sheet2_(2)7"/>
      <sheetName val="REF_ONLY6"/>
      <sheetName val="co-no_26"/>
      <sheetName val="Form_A_16"/>
      <sheetName val="Form_A_1_16"/>
      <sheetName val="BOM_Indirect6"/>
      <sheetName val="Form_A_1_II_26"/>
      <sheetName val="6_GSTG_PIPING6"/>
      <sheetName val="NONS__2,1896"/>
      <sheetName val="COMB_MNG&amp;STAFF_(ALL)__(2)6"/>
      <sheetName val="Reference_Table6"/>
      <sheetName val="CAL(1)_6"/>
      <sheetName val="member_design6"/>
      <sheetName val="soil_bearing_check6"/>
      <sheetName val="OCT_FDN6"/>
      <sheetName val="PRI_CIV6"/>
      <sheetName val="FOR_CIV6"/>
      <sheetName val="SUB_CIV6"/>
      <sheetName val="ANA_CIV6"/>
      <sheetName val="AUX_CIV6"/>
      <sheetName val="내역서_6"/>
      <sheetName val="hori__vessel(E-895)6"/>
      <sheetName val="2_36"/>
      <sheetName val="S_N6"/>
      <sheetName val="Loading_Table6"/>
      <sheetName val="SUMMARY_(0)7"/>
      <sheetName val="4_1구조설계6"/>
      <sheetName val="Pipelines_ASAB_I-II_Brownfield6"/>
      <sheetName val="MH_Estimation_Guide6"/>
      <sheetName val="공사비_내역_(가)6"/>
      <sheetName val="input_data-0909086"/>
      <sheetName val="HRG_BHN6"/>
      <sheetName val="Vent_Line_size6"/>
      <sheetName val="Expenses_per_Cost_Code_6"/>
      <sheetName val="Comp_Rate_6"/>
      <sheetName val="Analisa_HS6"/>
      <sheetName val="Section_1~4(1)6"/>
      <sheetName val="Section_1~4_6"/>
      <sheetName val="Section_56"/>
      <sheetName val="Section_5_26"/>
      <sheetName val="Section_5_36"/>
      <sheetName val="Section_66"/>
      <sheetName val="Section_6_26"/>
      <sheetName val="Attachment_16"/>
      <sheetName val="Attachmenet_26"/>
      <sheetName val="7_0_Crack_Check6"/>
      <sheetName val="축열조_기초6"/>
      <sheetName val="Fill_this_out_first___12"/>
      <sheetName val="Fill_this_out_first___13"/>
      <sheetName val="Forecast_Drivers6"/>
      <sheetName val="RAW_MATERIALS_6"/>
      <sheetName val="COST-PERSON-J_O_6"/>
      <sheetName val="MEASURE_LIST6"/>
      <sheetName val="Don_gia6"/>
      <sheetName val="COST-EST_LTI_P5C6"/>
      <sheetName val="SLEIPNER_-_ORMEN_LANGE6"/>
      <sheetName val="전기_BM_revA('090624)_xls6"/>
      <sheetName val="定额_(06)6"/>
      <sheetName val="Tie_Beam_GN4"/>
      <sheetName val="4_단락전류6"/>
      <sheetName val="system_&amp;_LOOK_UP_FUNC4"/>
      <sheetName val="Q5434_EQ_LIST6"/>
      <sheetName val="motor_power6"/>
      <sheetName val="Data_16"/>
      <sheetName val="4-3LEVEL-5_epic_46"/>
      <sheetName val="Unit_Cost6"/>
      <sheetName val="Coeff_6"/>
      <sheetName val="[fdn_bm_pro_xls]기계공사비집계(珆꭭/6"/>
      <sheetName val="96_124"/>
      <sheetName val="Exchange_rates6"/>
      <sheetName val="BID_FORM4"/>
      <sheetName val="Form_of_Bid4"/>
      <sheetName val="INST_LIST4"/>
      <sheetName val="Item_Dominan4"/>
      <sheetName val="Code_024"/>
      <sheetName val="Code_034"/>
      <sheetName val="Code_044"/>
      <sheetName val="Code_054"/>
      <sheetName val="Code_064"/>
      <sheetName val="Code_074"/>
      <sheetName val="Code_094"/>
      <sheetName val="4300_UTILITY_BLDG_(2)4"/>
      <sheetName val="Price_Breakdown(Building)4"/>
      <sheetName val="MANPOWER_DIRECT_TRACKING4"/>
      <sheetName val="Timescaled_Data4"/>
      <sheetName val="Home_Office4"/>
      <sheetName val="fdn_bm_pro_xls기계공사비집계(珆꭭4"/>
      <sheetName val="2-SITE_4"/>
      <sheetName val="eq_data_????4"/>
      <sheetName val="PCC_EAF4"/>
      <sheetName val="PCC_LF4"/>
      <sheetName val="4-Basic_Price4"/>
      <sheetName val="_fdn_bm_pro_xls_기계공사비집계(珆꭭_4"/>
      <sheetName val="Finish_list4"/>
      <sheetName val="Dati_base4"/>
      <sheetName val="US_Inflation_Factors4"/>
      <sheetName val="Cover_Page4"/>
      <sheetName val="Unit__Price4"/>
      <sheetName val="자재집계_&amp;_총괄표4"/>
      <sheetName val="Engrg_Est4"/>
      <sheetName val="[fdn_bm_pro_xls]_fdn_bm_pro_x_5"/>
      <sheetName val="GASATAGG_XLS4"/>
      <sheetName val="BEND_LOSS4"/>
      <sheetName val="eq_data_5"/>
      <sheetName val="7_5_1(A)_Data13"/>
      <sheetName val="7_5_1(B)_BOQ_Breakdown13"/>
      <sheetName val="7_5_1(C)_Scope13"/>
      <sheetName val="7_5_1(D)_Basis13"/>
      <sheetName val="7_5_1(E)_Allowance13"/>
      <sheetName val="7_5_2_BOQ_Summary13"/>
      <sheetName val="7_5_3_BOQ13"/>
      <sheetName val="A__Erec_BOQ(Shop)13"/>
      <sheetName val="B__Erec_BOQ(Field)13"/>
      <sheetName val="C__Surface_Protection13"/>
      <sheetName val="A__Erec_BOQ(Shop)_(2)13"/>
      <sheetName val="B__Erec_BOQ(Field)_(2)13"/>
      <sheetName val="C__Surf_Protection13"/>
      <sheetName val="Attachment_#113"/>
      <sheetName val="Attachment_#213"/>
      <sheetName val="302_C113"/>
      <sheetName val="302_C213"/>
      <sheetName val="SUPPLY_(2)13"/>
      <sheetName val="RETURN_(2)13"/>
      <sheetName val="303_(2)13"/>
      <sheetName val="308_(2)13"/>
      <sheetName val="309_(2)13"/>
      <sheetName val="JUNCTION_BOX13"/>
      <sheetName val="PIPE_FITTING13"/>
      <sheetName val="TUBE_FITTING13"/>
      <sheetName val="CABLE_GLAND13"/>
      <sheetName val="CONS__EQUIP___13"/>
      <sheetName val="BLR_113"/>
      <sheetName val="REINF_13"/>
      <sheetName val="ITB_COST12"/>
      <sheetName val="97_사업추정(WEKI)12"/>
      <sheetName val="90EL_JACKET12"/>
      <sheetName val="보온_회사분12"/>
      <sheetName val="Cost_control12"/>
      <sheetName val="FIRE_FIGHTING12"/>
      <sheetName val="Tipo_Terzi11"/>
      <sheetName val="plan&amp;section_of_foundation11"/>
      <sheetName val="design_criteria11"/>
      <sheetName val="BM_DATA_SHEET11"/>
      <sheetName val="Mat_Stelo11"/>
      <sheetName val="Unit_SUM11"/>
      <sheetName val="1_설계기준10"/>
      <sheetName val="working_load_at_the_btm_ft_10"/>
      <sheetName val="stability_check10"/>
      <sheetName val="OUTER_AREA(겹침없음)10"/>
      <sheetName val="Material_Specification10"/>
      <sheetName val="special_item_양진규_작성10"/>
      <sheetName val="bill_210"/>
      <sheetName val="방유제용량_계산서10"/>
      <sheetName val="Break_Dw10"/>
      <sheetName val="표지_(2)10"/>
      <sheetName val="pile_bearing_capa_&amp;_arrenge10"/>
      <sheetName val="design_load10"/>
      <sheetName val="Fab__Skid10"/>
      <sheetName val="Sch_610"/>
      <sheetName val="INPUT_DATA10"/>
      <sheetName val="CAMP_OPERATING_COST10"/>
      <sheetName val="PERSONNEL_SETUP10"/>
      <sheetName val="LIST_OF_OFFICE_EQUIPMENT10"/>
      <sheetName val="STAFF&amp;INDIRECT_SALARY_-_SUMMA10"/>
      <sheetName val="KOREAN_STAFF_SALARY_BREAKDOWN10"/>
      <sheetName val="WELFARE_COST_-_SITE10"/>
      <sheetName val="개시대사_(2)10"/>
      <sheetName val="입고장부_(4)10"/>
      <sheetName val="FEUILLE_INTERNE10"/>
      <sheetName val="COMPARISON_TABLE10"/>
      <sheetName val="L_V_Separator10"/>
      <sheetName val="CAMP_-_CONSTRUCTION10"/>
      <sheetName val="E_Rate_PM10"/>
      <sheetName val="Schedule_2_and_310"/>
      <sheetName val="CAL_10"/>
      <sheetName val="11_자재단가9"/>
      <sheetName val="1_OF_99"/>
      <sheetName val="Cover_sheet8"/>
      <sheetName val="BSD_(2)8"/>
      <sheetName val="TRAY_BM8"/>
      <sheetName val="Graph_(LGEN)8"/>
      <sheetName val="선적schedule_(2)8"/>
      <sheetName val="Summary_Sheets8"/>
      <sheetName val="품셈_8"/>
      <sheetName val="sc0314_Index8"/>
      <sheetName val="Resource_summary8"/>
      <sheetName val="배관물량_(STEEL)10"/>
      <sheetName val="Sheet_110"/>
      <sheetName val="w't_table8"/>
      <sheetName val="eq_data__x005f_x0000__x005f_x0000__x005f_x0000__8"/>
      <sheetName val="Struct-Grass_root8"/>
      <sheetName val="-15_08"/>
      <sheetName val="3_0_Overall_Progress_S-curve10"/>
      <sheetName val="3-4_SPI10"/>
      <sheetName val="General_Data10"/>
      <sheetName val="PRICE_COMP10"/>
      <sheetName val="A(Rev_3)10"/>
      <sheetName val="static_cal8"/>
      <sheetName val="crude_SLAB_RE-bar8"/>
      <sheetName val="7_6_3(B)_UG_Piping8"/>
      <sheetName val="PRICE_LIST8"/>
      <sheetName val="7_5_2_BOQ_Summary_8"/>
      <sheetName val="Rekap_A8"/>
      <sheetName val="paint_mat8"/>
      <sheetName val="VE_Estimate8"/>
      <sheetName val="TABLE2-2_OSBL-(SITE_PREP)8"/>
      <sheetName val="PAGE_28"/>
      <sheetName val="OFFER_RATE8"/>
      <sheetName val="Job_Data8"/>
      <sheetName val="Piping_Design_Data8"/>
      <sheetName val="Summary_20028"/>
      <sheetName val="ASME_B_36_10_M8"/>
      <sheetName val="Break_Down8"/>
      <sheetName val="Supervision_List8"/>
      <sheetName val="견적_집계8"/>
      <sheetName val="PULLING_SUPT등8"/>
      <sheetName val="Sheet1_(2)8"/>
      <sheetName val="PAGE_18"/>
      <sheetName val="_생산성_분석_체계_절차_xlsx8"/>
      <sheetName val="BQ_List8"/>
      <sheetName val="Page_108"/>
      <sheetName val="C급보_8"/>
      <sheetName val="Rectangular_Beam8"/>
      <sheetName val="간접비_총괄표8"/>
      <sheetName val="Eng_hour_DB8"/>
      <sheetName val="CRUDE_RE-bar8"/>
      <sheetName val="DUTCH_CONE8"/>
      <sheetName val="PAGE_3_GENERAL_DETAILS8"/>
      <sheetName val="적용_환율8"/>
      <sheetName val="GM_0008"/>
      <sheetName val="PRECAST_lightconc-II8"/>
      <sheetName val="Elect_(3)8"/>
      <sheetName val="Rev_No8"/>
      <sheetName val="COST_UP8"/>
      <sheetName val="PUMP_SHT8"/>
      <sheetName val="TENDER_PROG_8"/>
      <sheetName val="PROC_PROG8"/>
      <sheetName val="Block_D8"/>
      <sheetName val="2_Calculation_18"/>
      <sheetName val="Datasheet_GLL_double_weir_(1)8"/>
      <sheetName val="_8"/>
      <sheetName val="eq_data__x005f_x0000__x008"/>
      <sheetName val="33628-Rev__A8"/>
      <sheetName val="TYPE-B_평균H8"/>
      <sheetName val="6_공사비_내역_(가)8"/>
      <sheetName val="Sheet2_(2)8"/>
      <sheetName val="REF_ONLY7"/>
      <sheetName val="co-no_27"/>
      <sheetName val="Form_A_17"/>
      <sheetName val="Form_A_1_17"/>
      <sheetName val="BOM_Indirect7"/>
      <sheetName val="Form_A_1_II_27"/>
      <sheetName val="6_GSTG_PIPING7"/>
      <sheetName val="NONS__2,1897"/>
      <sheetName val="COMB_MNG&amp;STAFF_(ALL)__(2)7"/>
      <sheetName val="Reference_Table7"/>
      <sheetName val="CAL(1)_7"/>
      <sheetName val="member_design7"/>
      <sheetName val="soil_bearing_check7"/>
      <sheetName val="OCT_FDN7"/>
      <sheetName val="PRI_CIV7"/>
      <sheetName val="FOR_CIV7"/>
      <sheetName val="SUB_CIV7"/>
      <sheetName val="ANA_CIV7"/>
      <sheetName val="AUX_CIV7"/>
      <sheetName val="내역서_7"/>
      <sheetName val="hori__vessel(E-895)7"/>
      <sheetName val="2_37"/>
      <sheetName val="S_N7"/>
      <sheetName val="Loading_Table7"/>
      <sheetName val="SUMMARY_(0)8"/>
      <sheetName val="4_1구조설계7"/>
      <sheetName val="Pipelines_ASAB_I-II_Brownfield7"/>
      <sheetName val="MH_Estimation_Guide7"/>
      <sheetName val="공사비_내역_(가)7"/>
      <sheetName val="input_data-0909087"/>
      <sheetName val="HRG_BHN7"/>
      <sheetName val="Vent_Line_size7"/>
      <sheetName val="Expenses_per_Cost_Code_7"/>
      <sheetName val="Comp_Rate_7"/>
      <sheetName val="Analisa_HS7"/>
      <sheetName val="Section_1~4(1)7"/>
      <sheetName val="Section_1~4_7"/>
      <sheetName val="Section_57"/>
      <sheetName val="Section_5_27"/>
      <sheetName val="Section_5_37"/>
      <sheetName val="Section_67"/>
      <sheetName val="Section_6_27"/>
      <sheetName val="Attachment_17"/>
      <sheetName val="Attachmenet_27"/>
      <sheetName val="7_0_Crack_Check7"/>
      <sheetName val="축열조_기초7"/>
      <sheetName val="Fill_this_out_first___14"/>
      <sheetName val="Fill_this_out_first___15"/>
      <sheetName val="Forecast_Drivers7"/>
      <sheetName val="RAW_MATERIALS_7"/>
      <sheetName val="COST-PERSON-J_O_7"/>
      <sheetName val="MEASURE_LIST7"/>
      <sheetName val="Don_gia7"/>
      <sheetName val="COST-EST_LTI_P5C7"/>
      <sheetName val="SLEIPNER_-_ORMEN_LANGE7"/>
      <sheetName val="전기_BM_revA('090624)_xls7"/>
      <sheetName val="定额_(06)7"/>
      <sheetName val="Tie_Beam_GN5"/>
      <sheetName val="4_단락전류7"/>
      <sheetName val="system_&amp;_LOOK_UP_FUNC5"/>
      <sheetName val="Q5434_EQ_LIST7"/>
      <sheetName val="motor_power7"/>
      <sheetName val="Data_17"/>
      <sheetName val="4-3LEVEL-5_epic_47"/>
      <sheetName val="Unit_Cost7"/>
      <sheetName val="Coeff_7"/>
      <sheetName val="[fdn_bm_pro_xls]기계공사비집계(珆꭭/7"/>
      <sheetName val="96_125"/>
      <sheetName val="Exchange_rates7"/>
      <sheetName val="BID_FORM5"/>
      <sheetName val="Form_of_Bid5"/>
      <sheetName val="INST_LIST5"/>
      <sheetName val="Item_Dominan5"/>
      <sheetName val="Code_025"/>
      <sheetName val="Code_035"/>
      <sheetName val="Code_045"/>
      <sheetName val="Code_055"/>
      <sheetName val="Code_065"/>
      <sheetName val="Code_075"/>
      <sheetName val="Code_095"/>
      <sheetName val="4300_UTILITY_BLDG_(2)5"/>
      <sheetName val="Price_Breakdown(Building)5"/>
      <sheetName val="MANPOWER_DIRECT_TRACKING5"/>
      <sheetName val="Timescaled_Data5"/>
      <sheetName val="Home_Office5"/>
      <sheetName val="fdn_bm_pro_xls기계공사비집계(珆꭭5"/>
      <sheetName val="2-SITE_5"/>
      <sheetName val="eq_data_????5"/>
      <sheetName val="PCC_EAF5"/>
      <sheetName val="PCC_LF5"/>
      <sheetName val="4-Basic_Price5"/>
      <sheetName val="_fdn_bm_pro_xls_기계공사비집계(珆꭭_5"/>
      <sheetName val="Finish_list5"/>
      <sheetName val="Dati_base5"/>
      <sheetName val="US_Inflation_Factors5"/>
      <sheetName val="Cover_Page5"/>
      <sheetName val="Unit__Price5"/>
      <sheetName val="자재집계_&amp;_총괄표5"/>
      <sheetName val="Engrg_Est5"/>
      <sheetName val="[fdn_bm_pro_xls]_fdn_bm_pro_x_6"/>
      <sheetName val="GASATAGG_XLS5"/>
      <sheetName val="BEND_LOSS5"/>
      <sheetName val="eq_data_6"/>
      <sheetName val="7_5_1(A)_Data14"/>
      <sheetName val="7_5_1(B)_BOQ_Breakdown14"/>
      <sheetName val="7_5_1(C)_Scope14"/>
      <sheetName val="7_5_1(D)_Basis14"/>
      <sheetName val="7_5_1(E)_Allowance14"/>
      <sheetName val="7_5_2_BOQ_Summary14"/>
      <sheetName val="7_5_3_BOQ14"/>
      <sheetName val="A__Erec_BOQ(Shop)14"/>
      <sheetName val="B__Erec_BOQ(Field)14"/>
      <sheetName val="C__Surface_Protection14"/>
      <sheetName val="A__Erec_BOQ(Shop)_(2)14"/>
      <sheetName val="B__Erec_BOQ(Field)_(2)14"/>
      <sheetName val="C__Surf_Protection14"/>
      <sheetName val="Attachment_#114"/>
      <sheetName val="Attachment_#214"/>
      <sheetName val="302_C114"/>
      <sheetName val="302_C214"/>
      <sheetName val="SUPPLY_(2)14"/>
      <sheetName val="RETURN_(2)14"/>
      <sheetName val="303_(2)14"/>
      <sheetName val="308_(2)14"/>
      <sheetName val="309_(2)14"/>
      <sheetName val="JUNCTION_BOX14"/>
      <sheetName val="PIPE_FITTING14"/>
      <sheetName val="TUBE_FITTING14"/>
      <sheetName val="CABLE_GLAND14"/>
      <sheetName val="CONS__EQUIP___14"/>
      <sheetName val="BLR_114"/>
      <sheetName val="REINF_14"/>
      <sheetName val="ITB_COST13"/>
      <sheetName val="97_사업추정(WEKI)13"/>
      <sheetName val="90EL_JACKET13"/>
      <sheetName val="보온_회사분13"/>
      <sheetName val="Cost_control13"/>
      <sheetName val="FIRE_FIGHTING13"/>
      <sheetName val="Tipo_Terzi12"/>
      <sheetName val="plan&amp;section_of_foundation12"/>
      <sheetName val="design_criteria12"/>
      <sheetName val="BM_DATA_SHEET12"/>
      <sheetName val="Mat_Stelo12"/>
      <sheetName val="Unit_SUM12"/>
      <sheetName val="1_설계기준11"/>
      <sheetName val="working_load_at_the_btm_ft_11"/>
      <sheetName val="stability_check11"/>
      <sheetName val="OUTER_AREA(겹침없음)11"/>
      <sheetName val="Material_Specification11"/>
      <sheetName val="special_item_양진규_작성11"/>
      <sheetName val="bill_211"/>
      <sheetName val="방유제용량_계산서11"/>
      <sheetName val="Break_Dw11"/>
      <sheetName val="표지_(2)11"/>
      <sheetName val="pile_bearing_capa_&amp;_arrenge11"/>
      <sheetName val="design_load11"/>
      <sheetName val="Fab__Skid11"/>
      <sheetName val="Sch_611"/>
      <sheetName val="INPUT_DATA11"/>
      <sheetName val="CAMP_OPERATING_COST11"/>
      <sheetName val="PERSONNEL_SETUP11"/>
      <sheetName val="LIST_OF_OFFICE_EQUIPMENT11"/>
      <sheetName val="STAFF&amp;INDIRECT_SALARY_-_SUMMA11"/>
      <sheetName val="KOREAN_STAFF_SALARY_BREAKDOWN11"/>
      <sheetName val="WELFARE_COST_-_SITE11"/>
      <sheetName val="개시대사_(2)11"/>
      <sheetName val="입고장부_(4)11"/>
      <sheetName val="FEUILLE_INTERNE11"/>
      <sheetName val="COMPARISON_TABLE11"/>
      <sheetName val="L_V_Separator11"/>
      <sheetName val="CAMP_-_CONSTRUCTION11"/>
      <sheetName val="E_Rate_PM11"/>
      <sheetName val="Schedule_2_and_311"/>
      <sheetName val="CAL_11"/>
      <sheetName val="11_자재단가10"/>
      <sheetName val="1_OF_910"/>
      <sheetName val="Cover_sheet9"/>
      <sheetName val="BSD_(2)9"/>
      <sheetName val="TRAY_BM9"/>
      <sheetName val="Graph_(LGEN)9"/>
      <sheetName val="선적schedule_(2)9"/>
      <sheetName val="Summary_Sheets9"/>
      <sheetName val="품셈_9"/>
      <sheetName val="sc0314_Index9"/>
      <sheetName val="Resource_summary9"/>
      <sheetName val="배관물량_(STEEL)11"/>
      <sheetName val="Sheet_111"/>
      <sheetName val="w't_table9"/>
      <sheetName val="eq_data__x005f_x0000__x005f_x0000__x005f_x0000__9"/>
      <sheetName val="Struct-Grass_root9"/>
      <sheetName val="-15_09"/>
      <sheetName val="3_0_Overall_Progress_S-curve11"/>
      <sheetName val="3-4_SPI11"/>
      <sheetName val="General_Data11"/>
      <sheetName val="PRICE_COMP11"/>
      <sheetName val="A(Rev_3)11"/>
      <sheetName val="static_cal9"/>
      <sheetName val="crude_SLAB_RE-bar9"/>
      <sheetName val="7_6_3(B)_UG_Piping9"/>
      <sheetName val="PRICE_LIST9"/>
      <sheetName val="7_5_2_BOQ_Summary_9"/>
      <sheetName val="Rekap_A9"/>
      <sheetName val="paint_mat9"/>
      <sheetName val="VE_Estimate9"/>
      <sheetName val="TABLE2-2_OSBL-(SITE_PREP)9"/>
      <sheetName val="PAGE_29"/>
      <sheetName val="OFFER_RATE9"/>
      <sheetName val="Job_Data9"/>
      <sheetName val="Piping_Design_Data9"/>
      <sheetName val="Summary_20029"/>
      <sheetName val="ASME_B_36_10_M9"/>
      <sheetName val="Break_Down9"/>
      <sheetName val="Supervision_List9"/>
      <sheetName val="견적_집계9"/>
      <sheetName val="PULLING_SUPT등9"/>
      <sheetName val="Sheet1_(2)9"/>
      <sheetName val="PAGE_19"/>
      <sheetName val="_생산성_분석_체계_절차_xlsx9"/>
      <sheetName val="BQ_List9"/>
      <sheetName val="Page_109"/>
      <sheetName val="C급보_9"/>
      <sheetName val="Rectangular_Beam9"/>
      <sheetName val="간접비_총괄표9"/>
      <sheetName val="Eng_hour_DB9"/>
      <sheetName val="CRUDE_RE-bar9"/>
      <sheetName val="DUTCH_CONE9"/>
      <sheetName val="PAGE_3_GENERAL_DETAILS9"/>
      <sheetName val="적용_환율9"/>
      <sheetName val="GM_0009"/>
      <sheetName val="PRECAST_lightconc-II9"/>
      <sheetName val="Elect_(3)9"/>
      <sheetName val="Rev_No9"/>
      <sheetName val="COST_UP9"/>
      <sheetName val="PUMP_SHT9"/>
      <sheetName val="TENDER_PROG_9"/>
      <sheetName val="PROC_PROG9"/>
      <sheetName val="Block_D9"/>
      <sheetName val="2_Calculation_19"/>
      <sheetName val="Datasheet_GLL_double_weir_(1)9"/>
      <sheetName val="_9"/>
      <sheetName val="eq_data__x005f_x0000__x009"/>
      <sheetName val="33628-Rev__A9"/>
      <sheetName val="TYPE-B_평균H9"/>
      <sheetName val="6_공사비_내역_(가)9"/>
      <sheetName val="Sheet2_(2)9"/>
      <sheetName val="REF_ONLY8"/>
      <sheetName val="co-no_28"/>
      <sheetName val="Form_A_18"/>
      <sheetName val="Form_A_1_18"/>
      <sheetName val="BOM_Indirect8"/>
      <sheetName val="Form_A_1_II_28"/>
      <sheetName val="6_GSTG_PIPING8"/>
      <sheetName val="NONS__2,1898"/>
      <sheetName val="COMB_MNG&amp;STAFF_(ALL)__(2)8"/>
      <sheetName val="Reference_Table8"/>
      <sheetName val="CAL(1)_8"/>
      <sheetName val="member_design8"/>
      <sheetName val="soil_bearing_check8"/>
      <sheetName val="OCT_FDN8"/>
      <sheetName val="PRI_CIV8"/>
      <sheetName val="FOR_CIV8"/>
      <sheetName val="SUB_CIV8"/>
      <sheetName val="ANA_CIV8"/>
      <sheetName val="AUX_CIV8"/>
      <sheetName val="내역서_8"/>
      <sheetName val="hori__vessel(E-895)8"/>
      <sheetName val="2_38"/>
      <sheetName val="S_N8"/>
      <sheetName val="Loading_Table8"/>
      <sheetName val="SUMMARY_(0)9"/>
      <sheetName val="4_1구조설계8"/>
      <sheetName val="Pipelines_ASAB_I-II_Brownfield8"/>
      <sheetName val="MH_Estimation_Guide8"/>
      <sheetName val="공사비_내역_(가)8"/>
      <sheetName val="input_data-0909088"/>
      <sheetName val="HRG_BHN8"/>
      <sheetName val="Vent_Line_size8"/>
      <sheetName val="Expenses_per_Cost_Code_8"/>
      <sheetName val="Comp_Rate_8"/>
      <sheetName val="Analisa_HS8"/>
      <sheetName val="Section_1~4(1)8"/>
      <sheetName val="Section_1~4_8"/>
      <sheetName val="Section_58"/>
      <sheetName val="Section_5_28"/>
      <sheetName val="Section_5_38"/>
      <sheetName val="Section_68"/>
      <sheetName val="Section_6_28"/>
      <sheetName val="Attachment_18"/>
      <sheetName val="Attachmenet_28"/>
      <sheetName val="7_0_Crack_Check8"/>
      <sheetName val="축열조_기초8"/>
      <sheetName val="Fill_this_out_first___16"/>
      <sheetName val="Fill_this_out_first___17"/>
      <sheetName val="Forecast_Drivers8"/>
      <sheetName val="RAW_MATERIALS_8"/>
      <sheetName val="COST-PERSON-J_O_8"/>
      <sheetName val="MEASURE_LIST8"/>
      <sheetName val="Don_gia8"/>
      <sheetName val="COST-EST_LTI_P5C8"/>
      <sheetName val="SLEIPNER_-_ORMEN_LANGE8"/>
      <sheetName val="전기_BM_revA('090624)_xls8"/>
      <sheetName val="定额_(06)8"/>
      <sheetName val="Tie_Beam_GN6"/>
      <sheetName val="4_단락전류8"/>
      <sheetName val="system_&amp;_LOOK_UP_FUNC6"/>
      <sheetName val="Q5434_EQ_LIST8"/>
      <sheetName val="motor_power8"/>
      <sheetName val="Data_18"/>
      <sheetName val="4-3LEVEL-5_epic_48"/>
      <sheetName val="Unit_Cost8"/>
      <sheetName val="Coeff_8"/>
      <sheetName val="[fdn_bm_pro_xls]기계공사비집계(珆꭭/8"/>
      <sheetName val="96_126"/>
      <sheetName val="Exchange_rates8"/>
      <sheetName val="BID_FORM6"/>
      <sheetName val="Form_of_Bid6"/>
      <sheetName val="INST_LIST6"/>
      <sheetName val="Item_Dominan6"/>
      <sheetName val="Code_026"/>
      <sheetName val="Code_036"/>
      <sheetName val="Code_046"/>
      <sheetName val="Code_056"/>
      <sheetName val="Code_066"/>
      <sheetName val="Code_076"/>
      <sheetName val="Code_096"/>
      <sheetName val="4300_UTILITY_BLDG_(2)6"/>
      <sheetName val="Price_Breakdown(Building)6"/>
      <sheetName val="MANPOWER_DIRECT_TRACKING6"/>
      <sheetName val="Timescaled_Data6"/>
      <sheetName val="Home_Office6"/>
      <sheetName val="fdn_bm_pro_xls기계공사비집계(珆꭭6"/>
      <sheetName val="2-SITE_6"/>
      <sheetName val="eq_data_????6"/>
      <sheetName val="PCC_EAF6"/>
      <sheetName val="PCC_LF6"/>
      <sheetName val="4-Basic_Price6"/>
      <sheetName val="_fdn_bm_pro_xls_기계공사비집계(珆꭭_6"/>
      <sheetName val="Finish_list6"/>
      <sheetName val="Dati_base6"/>
      <sheetName val="US_Inflation_Factors6"/>
      <sheetName val="Cover_Page6"/>
      <sheetName val="Unit__Price6"/>
      <sheetName val="자재집계_&amp;_총괄표6"/>
      <sheetName val="Engrg_Est6"/>
      <sheetName val="[fdn_bm_pro_xls]_fdn_bm_pro_x_7"/>
      <sheetName val="GASATAGG_XLS6"/>
      <sheetName val="BEND_LOSS6"/>
      <sheetName val="eq_data_7"/>
      <sheetName val="PREMI"/>
      <sheetName val="직원동원SCH"/>
      <sheetName val="관람석제출"/>
      <sheetName val="GAJI"/>
      <sheetName val="Div26_-_Elect"/>
      <sheetName val="eq_data__x1"/>
      <sheetName val="2_4_1_Elec_BOQ"/>
      <sheetName val="2_4_1_Inst_BOQ"/>
      <sheetName val="PTF_Report"/>
      <sheetName val="InsertListDrawing_1_"/>
      <sheetName val="BILL_Of_QUANTITIES"/>
      <sheetName val="page_142"/>
      <sheetName val="H_Satuan"/>
      <sheetName val="6PILE__(돌출)"/>
      <sheetName val="tabulación_final"/>
      <sheetName val="예정공정표_(2)"/>
      <sheetName val="Sh"/>
      <sheetName val="ADMIN_TB-557066_00A"/>
      <sheetName val="LABORATORY_TB-557091_00A"/>
      <sheetName val="OME5_TB-557088-001_00A"/>
      <sheetName val="OME4_TB-557087-001_00A"/>
      <sheetName val="OME3_TB-557086-001_00A"/>
      <sheetName val="CMB_EMTS_TB-557084_00A"/>
      <sheetName val="SLCB_TB-557083-002_00B"/>
      <sheetName val="PIB9_TB-557082-003_00B"/>
      <sheetName val="PIB7_TB-557081-003_00B"/>
      <sheetName val="PIB6_TB-557080-003_00B"/>
      <sheetName val="PIB5_TB-557079-002_00B"/>
      <sheetName val="PIB4_TB-557078-002_00B"/>
      <sheetName val="PIB3_TB-557077-002_00B"/>
      <sheetName val="CCB_TB-557075-001_00B"/>
      <sheetName val="CCB_TB-557073-002_00B"/>
      <sheetName val="CCB_TB-557072-001_00A"/>
      <sheetName val="CCB_TB-557051_00B"/>
      <sheetName val="Budget_Weight_Instructions_A"/>
      <sheetName val="Basic_data"/>
      <sheetName val="Isolasi_Luar_Dalam"/>
      <sheetName val="Isolasi_Luar"/>
      <sheetName val="Sh"/>
      <sheetName val="EMPLOYMENT_CERTIFICATE"/>
      <sheetName val="Salary_cer"/>
      <sheetName val="Master_file"/>
      <sheetName val="eq_data _x005f_x005f_x005f_x0000__x005f_x005f_x00"/>
      <sheetName val="eq_data _x005f_x005f_x005f_x0000__x00"/>
      <sheetName val="eq_data__x005f_x005f_x005f_x0000__x005f_x005f_x00"/>
      <sheetName val="listes"/>
      <sheetName val="eq_data__x2"/>
      <sheetName val="page_1421"/>
      <sheetName val="InsertListDrawing_1_1"/>
      <sheetName val="BILL_Of_QUANTITIES1"/>
      <sheetName val="H_Satuan1"/>
      <sheetName val="Div26_-_Elect1"/>
      <sheetName val="2_4_1_Elec_BOQ1"/>
      <sheetName val="2_4_1_Inst_BOQ1"/>
      <sheetName val="PTF_Report1"/>
      <sheetName val="6PILE__(돌출)1"/>
      <sheetName val="tabulación_final1"/>
      <sheetName val="예정공정표_(2)1"/>
      <sheetName val="ADMIN_TB-557066_00A1"/>
      <sheetName val="LABORATORY_TB-557091_00A1"/>
      <sheetName val="OME5_TB-557088-001_00A1"/>
      <sheetName val="OME4_TB-557087-001_00A1"/>
      <sheetName val="OME3_TB-557086-001_00A1"/>
      <sheetName val="CMB_EMTS_TB-557084_00A1"/>
      <sheetName val="SLCB_TB-557083-002_00B1"/>
      <sheetName val="PIB9_TB-557082-003_00B1"/>
      <sheetName val="PIB7_TB-557081-003_00B1"/>
      <sheetName val="PIB6_TB-557080-003_00B1"/>
      <sheetName val="PIB5_TB-557079-002_00B1"/>
      <sheetName val="PIB4_TB-557078-002_00B1"/>
      <sheetName val="PIB3_TB-557077-002_00B1"/>
      <sheetName val="CCB_TB-557075-001_00B1"/>
      <sheetName val="CCB_TB-557073-002_00B1"/>
      <sheetName val="CCB_TB-557072-001_00A1"/>
      <sheetName val="CCB_TB-557051_00B1"/>
      <sheetName val="Budget_Weight_Instructions_A1"/>
      <sheetName val="Basic_data1"/>
      <sheetName val="Isolasi_Luar_Dalam1"/>
      <sheetName val="Isolasi_Luar1"/>
      <sheetName val="EMPLOYMENT_CERTIFICATE1"/>
      <sheetName val="Salary_cer1"/>
      <sheetName val="Master_file1"/>
      <sheetName val="eq_data__x3"/>
      <sheetName val="page_1422"/>
      <sheetName val="InsertListDrawing_1_2"/>
      <sheetName val="BILL_Of_QUANTITIES2"/>
      <sheetName val="H_Satuan2"/>
      <sheetName val="Div26_-_Elect2"/>
      <sheetName val="2_4_1_Elec_BOQ2"/>
      <sheetName val="2_4_1_Inst_BOQ2"/>
      <sheetName val="PTF_Report2"/>
      <sheetName val="6PILE__(돌출)2"/>
      <sheetName val="tabulación_final2"/>
      <sheetName val="예정공정표_(2)2"/>
      <sheetName val="ADMIN_TB-557066_00A2"/>
      <sheetName val="LABORATORY_TB-557091_00A2"/>
      <sheetName val="OME5_TB-557088-001_00A2"/>
      <sheetName val="OME4_TB-557087-001_00A2"/>
      <sheetName val="OME3_TB-557086-001_00A2"/>
      <sheetName val="CMB_EMTS_TB-557084_00A2"/>
      <sheetName val="SLCB_TB-557083-002_00B2"/>
      <sheetName val="PIB9_TB-557082-003_00B2"/>
      <sheetName val="PIB7_TB-557081-003_00B2"/>
      <sheetName val="PIB6_TB-557080-003_00B2"/>
      <sheetName val="PIB5_TB-557079-002_00B2"/>
      <sheetName val="PIB4_TB-557078-002_00B2"/>
      <sheetName val="PIB3_TB-557077-002_00B2"/>
      <sheetName val="CCB_TB-557075-001_00B2"/>
      <sheetName val="CCB_TB-557073-002_00B2"/>
      <sheetName val="CCB_TB-557072-001_00A2"/>
      <sheetName val="CCB_TB-557051_00B2"/>
      <sheetName val="Budget_Weight_Instructions_A2"/>
      <sheetName val="Basic_data2"/>
      <sheetName val="Isolasi_Luar_Dalam2"/>
      <sheetName val="Isolasi_Luar2"/>
      <sheetName val="EMPLOYMENT_CERTIFICATE2"/>
      <sheetName val="Salary_cer2"/>
      <sheetName val="Master_file2"/>
      <sheetName val="eq_data__x4"/>
      <sheetName val="page_1423"/>
      <sheetName val="InsertListDrawing_1_3"/>
      <sheetName val="BILL_Of_QUANTITIES3"/>
      <sheetName val="H_Satuan3"/>
      <sheetName val="Div26_-_Elect3"/>
      <sheetName val="2_4_1_Elec_BOQ3"/>
      <sheetName val="2_4_1_Inst_BOQ3"/>
      <sheetName val="PTF_Report3"/>
      <sheetName val="6PILE__(돌출)3"/>
      <sheetName val="tabulación_final3"/>
      <sheetName val="예정공정표_(2)3"/>
      <sheetName val="ADMIN_TB-557066_00A3"/>
      <sheetName val="LABORATORY_TB-557091_00A3"/>
      <sheetName val="OME5_TB-557088-001_00A3"/>
      <sheetName val="OME4_TB-557087-001_00A3"/>
      <sheetName val="OME3_TB-557086-001_00A3"/>
      <sheetName val="CMB_EMTS_TB-557084_00A3"/>
      <sheetName val="SLCB_TB-557083-002_00B3"/>
      <sheetName val="PIB9_TB-557082-003_00B3"/>
      <sheetName val="PIB7_TB-557081-003_00B3"/>
      <sheetName val="PIB6_TB-557080-003_00B3"/>
      <sheetName val="PIB5_TB-557079-002_00B3"/>
      <sheetName val="PIB4_TB-557078-002_00B3"/>
      <sheetName val="PIB3_TB-557077-002_00B3"/>
      <sheetName val="CCB_TB-557075-001_00B3"/>
      <sheetName val="CCB_TB-557073-002_00B3"/>
      <sheetName val="CCB_TB-557072-001_00A3"/>
      <sheetName val="CCB_TB-557051_00B3"/>
      <sheetName val="Budget_Weight_Instructions_A3"/>
      <sheetName val="Basic_data3"/>
      <sheetName val="Isolasi_Luar_Dalam3"/>
      <sheetName val="Isolasi_Luar3"/>
      <sheetName val="EMPLOYMENT_CERTIFICATE3"/>
      <sheetName val="Salary_cer3"/>
      <sheetName val="Master_file3"/>
      <sheetName val="eq_data__x5"/>
      <sheetName val="page_1424"/>
      <sheetName val="InsertListDrawing_1_4"/>
      <sheetName val="BILL_Of_QUANTITIES4"/>
      <sheetName val="H_Satuan4"/>
      <sheetName val="Div26_-_Elect4"/>
      <sheetName val="2_4_1_Elec_BOQ4"/>
      <sheetName val="2_4_1_Inst_BOQ4"/>
      <sheetName val="PTF_Report4"/>
      <sheetName val="6PILE__(돌출)4"/>
      <sheetName val="tabulación_final4"/>
      <sheetName val="예정공정표_(2)4"/>
      <sheetName val="ADMIN_TB-557066_00A4"/>
      <sheetName val="LABORATORY_TB-557091_00A4"/>
      <sheetName val="OME5_TB-557088-001_00A4"/>
      <sheetName val="OME4_TB-557087-001_00A4"/>
      <sheetName val="OME3_TB-557086-001_00A4"/>
      <sheetName val="CMB_EMTS_TB-557084_00A4"/>
      <sheetName val="SLCB_TB-557083-002_00B4"/>
      <sheetName val="PIB9_TB-557082-003_00B4"/>
      <sheetName val="PIB7_TB-557081-003_00B4"/>
      <sheetName val="PIB6_TB-557080-003_00B4"/>
      <sheetName val="PIB5_TB-557079-002_00B4"/>
      <sheetName val="PIB4_TB-557078-002_00B4"/>
      <sheetName val="PIB3_TB-557077-002_00B4"/>
      <sheetName val="CCB_TB-557075-001_00B4"/>
      <sheetName val="CCB_TB-557073-002_00B4"/>
      <sheetName val="CCB_TB-557072-001_00A4"/>
      <sheetName val="CCB_TB-557051_00B4"/>
      <sheetName val="Budget_Weight_Instructions_A4"/>
      <sheetName val="Basic_data4"/>
      <sheetName val="Isolasi_Luar_Dalam4"/>
      <sheetName val="Isolasi_Luar4"/>
      <sheetName val="EMPLOYMENT_CERTIFICATE4"/>
      <sheetName val="Salary_cer4"/>
      <sheetName val="Master_file4"/>
      <sheetName val="eq_data__x6"/>
      <sheetName val="page_1425"/>
      <sheetName val="InsertListDrawing_1_5"/>
      <sheetName val="BILL_Of_QUANTITIES5"/>
      <sheetName val="H_Satuan5"/>
      <sheetName val="Div26_-_Elect5"/>
      <sheetName val="2_4_1_Elec_BOQ5"/>
      <sheetName val="2_4_1_Inst_BOQ5"/>
      <sheetName val="PTF_Report5"/>
      <sheetName val="6PILE__(돌출)5"/>
      <sheetName val="tabulación_final5"/>
      <sheetName val="예정공정표_(2)5"/>
      <sheetName val="ADMIN_TB-557066_00A5"/>
      <sheetName val="LABORATORY_TB-557091_00A5"/>
      <sheetName val="OME5_TB-557088-001_00A5"/>
      <sheetName val="OME4_TB-557087-001_00A5"/>
      <sheetName val="OME3_TB-557086-001_00A5"/>
      <sheetName val="CMB_EMTS_TB-557084_00A5"/>
      <sheetName val="SLCB_TB-557083-002_00B5"/>
      <sheetName val="PIB9_TB-557082-003_00B5"/>
      <sheetName val="PIB7_TB-557081-003_00B5"/>
      <sheetName val="PIB6_TB-557080-003_00B5"/>
      <sheetName val="PIB5_TB-557079-002_00B5"/>
      <sheetName val="PIB4_TB-557078-002_00B5"/>
      <sheetName val="PIB3_TB-557077-002_00B5"/>
      <sheetName val="CCB_TB-557075-001_00B5"/>
      <sheetName val="CCB_TB-557073-002_00B5"/>
      <sheetName val="CCB_TB-557072-001_00A5"/>
      <sheetName val="CCB_TB-557051_00B5"/>
      <sheetName val="Budget_Weight_Instructions_A5"/>
      <sheetName val="Basic_data5"/>
      <sheetName val="Isolasi_Luar_Dalam5"/>
      <sheetName val="Isolasi_Luar5"/>
      <sheetName val="EMPLOYMENT_CERTIFICATE5"/>
      <sheetName val="Salary_cer5"/>
      <sheetName val="Master_file5"/>
      <sheetName val="COVER "/>
      <sheetName val="DTS schedule"/>
      <sheetName val="3.Procurement"/>
      <sheetName val="Prefab"/>
      <sheetName val="지수"/>
      <sheetName val="EQ USED (CORRECTED)"/>
      <sheetName val="설 계"/>
      <sheetName val="afis"/>
      <sheetName val="D&amp;W"/>
      <sheetName val="100"/>
      <sheetName val="104(1)a"/>
      <sheetName val="eq_data__x0000__x00"/>
      <sheetName val="CT-35"/>
      <sheetName val="CT-0.4KV"/>
      <sheetName val="[fdn_bm_pro.xls]_fdn_bm_pro_x_6"/>
      <sheetName val="[fdn_bm_pro.xls]_fdn_bm_pro_x_7"/>
      <sheetName val="[fdn_bm_pro.xls]_fdn_bm_pro_x_8"/>
      <sheetName val="eq_data_____"/>
      <sheetName val="_fdn_bm_pro_xls__fdn_bm_pro_x_2"/>
      <sheetName val="SYMBOL"/>
      <sheetName val="Spool Index"/>
      <sheetName val="Struktur Gas"/>
      <sheetName val="unitprice"/>
      <sheetName val="SEX"/>
      <sheetName val="CH"/>
      <sheetName val="AHS_Umum"/>
      <sheetName val="BILLING PROCESS"/>
      <sheetName val="Div2"/>
      <sheetName val="D7(1)"/>
      <sheetName val="Hardasar-PSJJ"/>
      <sheetName val="FORCE"/>
      <sheetName val="UPAH (2)"/>
      <sheetName val="Pekerjaan"/>
      <sheetName val="Analisa"/>
      <sheetName val="time"/>
      <sheetName val="PRIMARY LOAD"/>
      <sheetName val="DHS"/>
      <sheetName val="Anal"/>
      <sheetName val="RAB"/>
      <sheetName val="an-aspal"/>
      <sheetName val="REKAP"/>
      <sheetName val="부재력정리"/>
      <sheetName val="Rate"/>
      <sheetName val="pivot1"/>
      <sheetName val="ANALISA HARGA SATUAN"/>
      <sheetName val="Data-Pdk"/>
      <sheetName val="An-Lat"/>
      <sheetName val="dftr harga"/>
      <sheetName val="hrg. sat pek"/>
      <sheetName val="prhit tulangan"/>
      <sheetName val="Rekapitulasi"/>
      <sheetName val="vol pek"/>
      <sheetName val="Data-pendukung"/>
      <sheetName val="Anal-BM"/>
      <sheetName val="DRAIN DRUM PIT D-301"/>
      <sheetName val="hsd Alat"/>
      <sheetName val="urtek"/>
      <sheetName val="bill"/>
      <sheetName val="Daya"/>
      <sheetName val="10"/>
      <sheetName val="49일위"/>
      <sheetName val="22일위"/>
      <sheetName val="7_5_1(A)_Data15"/>
      <sheetName val="7_5_1(B)_BOQ_Breakdown15"/>
      <sheetName val="7_5_1(C)_Scope15"/>
      <sheetName val="7_5_1(D)_Basis15"/>
      <sheetName val="7_5_1(E)_Allowance15"/>
      <sheetName val="7_5_2_BOQ_Summary15"/>
      <sheetName val="7_5_3_BOQ15"/>
      <sheetName val="A__Erec_BOQ(Shop)15"/>
      <sheetName val="B__Erec_BOQ(Field)15"/>
      <sheetName val="C__Surface_Protection15"/>
      <sheetName val="A__Erec_BOQ(Shop)_(2)15"/>
      <sheetName val="B__Erec_BOQ(Field)_(2)15"/>
      <sheetName val="C__Surf_Protection15"/>
      <sheetName val="Attachment_#115"/>
      <sheetName val="Attachment_#215"/>
      <sheetName val="302_C115"/>
      <sheetName val="302_C215"/>
      <sheetName val="SUPPLY_(2)15"/>
      <sheetName val="RETURN_(2)15"/>
      <sheetName val="303_(2)15"/>
      <sheetName val="308_(2)15"/>
      <sheetName val="309_(2)15"/>
      <sheetName val="JUNCTION_BOX15"/>
      <sheetName val="PIPE_FITTING15"/>
      <sheetName val="TUBE_FITTING15"/>
      <sheetName val="CABLE_GLAND15"/>
      <sheetName val="CONS__EQUIP___15"/>
      <sheetName val="BLR_115"/>
      <sheetName val="REINF_15"/>
      <sheetName val="ITB_COST14"/>
      <sheetName val="97_사업추정(WEKI)14"/>
      <sheetName val="Cost_control14"/>
      <sheetName val="보온_회사분14"/>
      <sheetName val="90EL_JACKET14"/>
      <sheetName val="FIRE_FIGHTING14"/>
      <sheetName val="Tipo_Terzi13"/>
      <sheetName val="plan&amp;section_of_foundation13"/>
      <sheetName val="design_criteria13"/>
      <sheetName val="BM_DATA_SHEET13"/>
      <sheetName val="Mat_Stelo13"/>
      <sheetName val="Unit_SUM13"/>
      <sheetName val="working_load_at_the_btm_ft_12"/>
      <sheetName val="stability_check12"/>
      <sheetName val="OUTER_AREA(겹침없음)12"/>
      <sheetName val="1_설계기준12"/>
      <sheetName val="bill_212"/>
      <sheetName val="special_item_양진규_작성12"/>
      <sheetName val="Break_Dw12"/>
      <sheetName val="방유제용량_계산서12"/>
      <sheetName val="pile_bearing_capa_&amp;_arrenge12"/>
      <sheetName val="design_load12"/>
      <sheetName val="Fab__Skid12"/>
      <sheetName val="Material_Specification12"/>
      <sheetName val="개시대사_(2)12"/>
      <sheetName val="CAMP_OPERATING_COST12"/>
      <sheetName val="PERSONNEL_SETUP12"/>
      <sheetName val="LIST_OF_OFFICE_EQUIPMENT12"/>
      <sheetName val="STAFF&amp;INDIRECT_SALARY_-_SUMMA12"/>
      <sheetName val="KOREAN_STAFF_SALARY_BREAKDOWN12"/>
      <sheetName val="WELFARE_COST_-_SITE12"/>
      <sheetName val="Sch_612"/>
      <sheetName val="표지_(2)12"/>
      <sheetName val="INPUT_DATA12"/>
      <sheetName val="L_V_Separator12"/>
      <sheetName val="입고장부_(4)12"/>
      <sheetName val="FEUILLE_INTERNE12"/>
      <sheetName val="CAMP_-_CONSTRUCTION12"/>
      <sheetName val="E_Rate_PM12"/>
      <sheetName val="Schedule_2_and_312"/>
      <sheetName val="CAL_12"/>
      <sheetName val="BSD_(2)10"/>
      <sheetName val="TRAY_BM10"/>
      <sheetName val="COMPARISON_TABLE12"/>
      <sheetName val="Cover_sheet10"/>
      <sheetName val="11_자재단가11"/>
      <sheetName val="1_OF_911"/>
      <sheetName val="Graph_(LGEN)10"/>
      <sheetName val="선적schedule_(2)10"/>
      <sheetName val="Summary_Sheets10"/>
      <sheetName val="품셈_10"/>
      <sheetName val="sc0314_Index10"/>
      <sheetName val="Resource_summary10"/>
      <sheetName val="w't_table10"/>
      <sheetName val="eq_data__x005f_x0000__x005f_x0000__x005f_x0000_10"/>
      <sheetName val="General_Data12"/>
      <sheetName val="PRICE_COMP12"/>
      <sheetName val="A(Rev_3)12"/>
      <sheetName val="static_cal10"/>
      <sheetName val="crude_SLAB_RE-bar10"/>
      <sheetName val="7_6_3(B)_UG_Piping10"/>
      <sheetName val="PRICE_LIST10"/>
      <sheetName val="7_5_2_BOQ_Summary_10"/>
      <sheetName val="Rekap_A10"/>
      <sheetName val="paint_mat10"/>
      <sheetName val="VE_Estimate10"/>
      <sheetName val="TABLE2-2_OSBL-(SITE_PREP)10"/>
      <sheetName val="OFFER_RATE10"/>
      <sheetName val="Job_Data10"/>
      <sheetName val="Piping_Design_Data10"/>
      <sheetName val="Summary_200210"/>
      <sheetName val="ASME_B_36_10_M10"/>
      <sheetName val="배관물량_(STEEL)12"/>
      <sheetName val="Sheet_112"/>
      <sheetName val="3_0_Overall_Progress_S-curve12"/>
      <sheetName val="3-4_SPI12"/>
      <sheetName val="-15_010"/>
      <sheetName val="견적_집계10"/>
      <sheetName val="PULLING_SUPT등10"/>
      <sheetName val="Sheet1_(2)10"/>
      <sheetName val="PAGE_110"/>
      <sheetName val="_생산성_분석_체계_절차_xlsx10"/>
      <sheetName val="BQ_List10"/>
      <sheetName val="Struct-Grass_root10"/>
      <sheetName val="Break_Down10"/>
      <sheetName val="Supervision_List10"/>
      <sheetName val="PAGE_210"/>
      <sheetName val="Page_1010"/>
      <sheetName val="Tie_Beam_GN7"/>
      <sheetName val="system_&amp;_LOOK_UP_FUNC7"/>
      <sheetName val="96_127"/>
      <sheetName val="eq_data__x7"/>
      <sheetName val="page_1426"/>
      <sheetName val="InsertListDrawing_1_6"/>
      <sheetName val="BILL_Of_QUANTITIES6"/>
      <sheetName val="H_Satuan6"/>
      <sheetName val="Div26_-_Elect6"/>
      <sheetName val="2_4_1_Elec_BOQ6"/>
      <sheetName val="2_4_1_Inst_BOQ6"/>
      <sheetName val="PTF_Report6"/>
      <sheetName val="6PILE__(돌출)6"/>
      <sheetName val="tabulación_final6"/>
      <sheetName val="예정공정표_(2)6"/>
      <sheetName val="ADMIN_TB-557066_00A6"/>
      <sheetName val="LABORATORY_TB-557091_00A6"/>
      <sheetName val="OME5_TB-557088-001_00A6"/>
      <sheetName val="OME4_TB-557087-001_00A6"/>
      <sheetName val="OME3_TB-557086-001_00A6"/>
      <sheetName val="CMB_EMTS_TB-557084_00A6"/>
      <sheetName val="SLCB_TB-557083-002_00B6"/>
      <sheetName val="PIB9_TB-557082-003_00B6"/>
      <sheetName val="PIB7_TB-557081-003_00B6"/>
      <sheetName val="PIB6_TB-557080-003_00B6"/>
      <sheetName val="PIB5_TB-557079-002_00B6"/>
      <sheetName val="PIB4_TB-557078-002_00B6"/>
      <sheetName val="PIB3_TB-557077-002_00B6"/>
      <sheetName val="CCB_TB-557075-001_00B6"/>
      <sheetName val="CCB_TB-557073-002_00B6"/>
      <sheetName val="CCB_TB-557072-001_00A6"/>
      <sheetName val="CCB_TB-557051_00B6"/>
      <sheetName val="Budget_Weight_Instructions_A6"/>
      <sheetName val="Basic_data6"/>
      <sheetName val="Isolasi_Luar_Dalam6"/>
      <sheetName val="Isolasi_Luar6"/>
      <sheetName val="EMPLOYMENT_CERTIFICATE6"/>
      <sheetName val="Salary_cer6"/>
      <sheetName val="Master_file6"/>
      <sheetName val="7_5_1(A)_Data16"/>
      <sheetName val="7_5_1(B)_BOQ_Breakdown16"/>
      <sheetName val="7_5_1(C)_Scope16"/>
      <sheetName val="7_5_1(D)_Basis16"/>
      <sheetName val="7_5_1(E)_Allowance16"/>
      <sheetName val="7_5_2_BOQ_Summary16"/>
      <sheetName val="7_5_3_BOQ16"/>
      <sheetName val="A__Erec_BOQ(Shop)16"/>
      <sheetName val="B__Erec_BOQ(Field)16"/>
      <sheetName val="C__Surface_Protection16"/>
      <sheetName val="A__Erec_BOQ(Shop)_(2)16"/>
      <sheetName val="B__Erec_BOQ(Field)_(2)16"/>
      <sheetName val="C__Surf_Protection16"/>
      <sheetName val="Attachment_#116"/>
      <sheetName val="Attachment_#216"/>
      <sheetName val="302_C116"/>
      <sheetName val="302_C216"/>
      <sheetName val="SUPPLY_(2)16"/>
      <sheetName val="RETURN_(2)16"/>
      <sheetName val="303_(2)16"/>
      <sheetName val="308_(2)16"/>
      <sheetName val="309_(2)16"/>
      <sheetName val="JUNCTION_BOX16"/>
      <sheetName val="PIPE_FITTING16"/>
      <sheetName val="TUBE_FITTING16"/>
      <sheetName val="CABLE_GLAND16"/>
      <sheetName val="CONS__EQUIP___16"/>
      <sheetName val="BLR_116"/>
      <sheetName val="REINF_16"/>
      <sheetName val="ITB_COST15"/>
      <sheetName val="97_사업추정(WEKI)15"/>
      <sheetName val="Cost_control15"/>
      <sheetName val="보온_회사분15"/>
      <sheetName val="90EL_JACKET15"/>
      <sheetName val="FIRE_FIGHTING15"/>
      <sheetName val="Tipo_Terzi14"/>
      <sheetName val="plan&amp;section_of_foundation14"/>
      <sheetName val="design_criteria14"/>
      <sheetName val="BM_DATA_SHEET14"/>
      <sheetName val="Mat_Stelo14"/>
      <sheetName val="Unit_SUM14"/>
      <sheetName val="working_load_at_the_btm_ft_13"/>
      <sheetName val="stability_check13"/>
      <sheetName val="OUTER_AREA(겹침없음)13"/>
      <sheetName val="1_설계기준13"/>
      <sheetName val="bill_213"/>
      <sheetName val="special_item_양진규_작성13"/>
      <sheetName val="Break_Dw13"/>
      <sheetName val="방유제용량_계산서13"/>
      <sheetName val="pile_bearing_capa_&amp;_arrenge13"/>
      <sheetName val="design_load13"/>
      <sheetName val="Fab__Skid13"/>
      <sheetName val="Material_Specification13"/>
      <sheetName val="개시대사_(2)13"/>
      <sheetName val="CAMP_OPERATING_COST13"/>
      <sheetName val="PERSONNEL_SETUP13"/>
      <sheetName val="LIST_OF_OFFICE_EQUIPMENT13"/>
      <sheetName val="STAFF&amp;INDIRECT_SALARY_-_SUMMA13"/>
      <sheetName val="KOREAN_STAFF_SALARY_BREAKDOWN13"/>
      <sheetName val="WELFARE_COST_-_SITE13"/>
      <sheetName val="Sch_613"/>
      <sheetName val="표지_(2)13"/>
      <sheetName val="INPUT_DATA13"/>
      <sheetName val="L_V_Separator13"/>
      <sheetName val="입고장부_(4)13"/>
      <sheetName val="FEUILLE_INTERNE13"/>
      <sheetName val="CAMP_-_CONSTRUCTION13"/>
      <sheetName val="E_Rate_PM13"/>
      <sheetName val="Schedule_2_and_313"/>
      <sheetName val="CAL_13"/>
      <sheetName val="BSD_(2)11"/>
      <sheetName val="TRAY_BM11"/>
      <sheetName val="COMPARISON_TABLE13"/>
      <sheetName val="Cover_sheet11"/>
      <sheetName val="11_자재단가12"/>
      <sheetName val="1_OF_912"/>
      <sheetName val="Graph_(LGEN)11"/>
      <sheetName val="선적schedule_(2)11"/>
      <sheetName val="Summary_Sheets11"/>
      <sheetName val="품셈_11"/>
      <sheetName val="sc0314_Index11"/>
      <sheetName val="Resource_summary11"/>
      <sheetName val="w't_table11"/>
      <sheetName val="eq_data__x005f_x0000__x005f_x0000__x005f_x0000_11"/>
      <sheetName val="General_Data13"/>
      <sheetName val="PRICE_COMP13"/>
      <sheetName val="A(Rev_3)13"/>
      <sheetName val="static_cal11"/>
      <sheetName val="crude_SLAB_RE-bar11"/>
      <sheetName val="7_6_3(B)_UG_Piping11"/>
      <sheetName val="PRICE_LIST11"/>
      <sheetName val="7_5_2_BOQ_Summary_11"/>
      <sheetName val="Rekap_A11"/>
      <sheetName val="paint_mat11"/>
      <sheetName val="VE_Estimate11"/>
      <sheetName val="TABLE2-2_OSBL-(SITE_PREP)11"/>
      <sheetName val="OFFER_RATE11"/>
      <sheetName val="Job_Data11"/>
      <sheetName val="Piping_Design_Data11"/>
      <sheetName val="Summary_200211"/>
      <sheetName val="ASME_B_36_10_M11"/>
      <sheetName val="배관물량_(STEEL)13"/>
      <sheetName val="Sheet_113"/>
      <sheetName val="3_0_Overall_Progress_S-curve13"/>
      <sheetName val="3-4_SPI13"/>
      <sheetName val="-15_011"/>
      <sheetName val="견적_집계11"/>
      <sheetName val="PULLING_SUPT등11"/>
      <sheetName val="Sheet1_(2)11"/>
      <sheetName val="PAGE_111"/>
      <sheetName val="_생산성_분석_체계_절차_xlsx11"/>
      <sheetName val="BQ_List11"/>
      <sheetName val="Struct-Grass_root11"/>
      <sheetName val="Break_Down11"/>
      <sheetName val="Supervision_List11"/>
      <sheetName val="PAGE_211"/>
      <sheetName val="Page_1011"/>
      <sheetName val="간접비_총괄표10"/>
      <sheetName val="Eng_hour_DB10"/>
      <sheetName val="COST_UP10"/>
      <sheetName val="CRUDE_RE-bar10"/>
      <sheetName val="DUTCH_CONE10"/>
      <sheetName val="C급보_10"/>
      <sheetName val="PAGE_3_GENERAL_DETAILS10"/>
      <sheetName val="적용_환율10"/>
      <sheetName val="Rectangular_Beam10"/>
      <sheetName val="GM_00010"/>
      <sheetName val="PRECAST_lightconc-II10"/>
      <sheetName val="Rev_No10"/>
      <sheetName val="PUMP_SHT10"/>
      <sheetName val="Elect_(3)10"/>
      <sheetName val="TENDER_PROG_10"/>
      <sheetName val="PROC_PROG10"/>
      <sheetName val="2_Calculation_110"/>
      <sheetName val="Block_D10"/>
      <sheetName val="_10"/>
      <sheetName val="Datasheet_GLL_double_weir_(1)10"/>
      <sheetName val="eq_data__x005f_x0000__x0010"/>
      <sheetName val="33628-Rev__A10"/>
      <sheetName val="TYPE-B_평균H10"/>
      <sheetName val="Sheet2_(2)10"/>
      <sheetName val="6_공사비_내역_(가)10"/>
      <sheetName val="co-no_29"/>
      <sheetName val="Form_A_19"/>
      <sheetName val="Form_A_1_19"/>
      <sheetName val="BOM_Indirect9"/>
      <sheetName val="Form_A_1_II_29"/>
      <sheetName val="6_GSTG_PIPING9"/>
      <sheetName val="NONS__2,1899"/>
      <sheetName val="Reference_Table9"/>
      <sheetName val="CAL(1)_9"/>
      <sheetName val="member_design9"/>
      <sheetName val="soil_bearing_check9"/>
      <sheetName val="OCT_FDN9"/>
      <sheetName val="PRI_CIV9"/>
      <sheetName val="FOR_CIV9"/>
      <sheetName val="SUB_CIV9"/>
      <sheetName val="ANA_CIV9"/>
      <sheetName val="AUX_CIV9"/>
      <sheetName val="내역서_9"/>
      <sheetName val="hori__vessel(E-895)9"/>
      <sheetName val="2_39"/>
      <sheetName val="S_N9"/>
      <sheetName val="REF_ONLY9"/>
      <sheetName val="Loading_Table9"/>
      <sheetName val="SUMMARY_(0)10"/>
      <sheetName val="Vent_Line_size9"/>
      <sheetName val="Pipelines_ASAB_I-II_Brownfield9"/>
      <sheetName val="4_1구조설계9"/>
      <sheetName val="MH_Estimation_Guide9"/>
      <sheetName val="공사비_내역_(가)9"/>
      <sheetName val="input_data-0909089"/>
      <sheetName val="HRG_BHN9"/>
      <sheetName val="Fill_this_out_first___18"/>
      <sheetName val="Fill_this_out_first___19"/>
      <sheetName val="Expenses_per_Cost_Code_9"/>
      <sheetName val="Comp_Rate_9"/>
      <sheetName val="7_0_Crack_Check9"/>
      <sheetName val="축열조_기초9"/>
      <sheetName val="COMB_MNG&amp;STAFF_(ALL)__(2)9"/>
      <sheetName val="Q5434_EQ_LIST9"/>
      <sheetName val="motor_power9"/>
      <sheetName val="MEASURE_LIST9"/>
      <sheetName val="Don_gia9"/>
      <sheetName val="Section_1~4(1)9"/>
      <sheetName val="Section_1~4_9"/>
      <sheetName val="Section_59"/>
      <sheetName val="Section_5_29"/>
      <sheetName val="Section_5_39"/>
      <sheetName val="Section_69"/>
      <sheetName val="Section_6_29"/>
      <sheetName val="Attachment_19"/>
      <sheetName val="Attachmenet_29"/>
      <sheetName val="Forecast_Drivers9"/>
      <sheetName val="Data_19"/>
      <sheetName val="Unit_Cost9"/>
      <sheetName val="4-3LEVEL-5_epic_49"/>
      <sheetName val="Exchange_rates9"/>
      <sheetName val="Analisa_HS9"/>
      <sheetName val="COST-EST_LTI_P5C9"/>
      <sheetName val="SLEIPNER_-_ORMEN_LANGE9"/>
      <sheetName val="전기_BM_revA('090624)_xls9"/>
      <sheetName val="定额_(06)9"/>
      <sheetName val="Coeff_9"/>
      <sheetName val="RAW_MATERIALS_9"/>
      <sheetName val="COST-PERSON-J_O_9"/>
      <sheetName val="4_단락전류9"/>
      <sheetName val="[fdn_bm_pro_xls]기계공사비집계(珆꭭/9"/>
      <sheetName val="Tie_Beam_GN8"/>
      <sheetName val="system_&amp;_LOOK_UP_FUNC8"/>
      <sheetName val="96_128"/>
      <sheetName val="BID_FORM7"/>
      <sheetName val="Form_of_Bid7"/>
      <sheetName val="INST_LIST7"/>
      <sheetName val="Item_Dominan7"/>
      <sheetName val="2-SITE_7"/>
      <sheetName val="Finish_list7"/>
      <sheetName val="MANPOWER_DIRECT_TRACKING7"/>
      <sheetName val="Timescaled_Data7"/>
      <sheetName val="Home_Office7"/>
      <sheetName val="Code_027"/>
      <sheetName val="Code_037"/>
      <sheetName val="Code_047"/>
      <sheetName val="Code_057"/>
      <sheetName val="Code_067"/>
      <sheetName val="Code_077"/>
      <sheetName val="Code_097"/>
      <sheetName val="4300_UTILITY_BLDG_(2)7"/>
      <sheetName val="Price_Breakdown(Building)7"/>
      <sheetName val="Dati_base7"/>
      <sheetName val="US_Inflation_Factors7"/>
      <sheetName val="Cover_Page7"/>
      <sheetName val="PCC_EAF7"/>
      <sheetName val="PCC_LF7"/>
      <sheetName val="4-Basic_Price7"/>
      <sheetName val="_fdn_bm_pro_xls_기계공사비집계(珆꭭_7"/>
      <sheetName val="eq_data_????7"/>
      <sheetName val="Unit__Price7"/>
      <sheetName val="자재집계_&amp;_총괄표7"/>
      <sheetName val="[fdn_bm_pro_xls]_fdn_bm_pro_x_8"/>
      <sheetName val="Engrg_Est7"/>
      <sheetName val="eq_data_8"/>
      <sheetName val="eq_data__x8"/>
      <sheetName val="fdn_bm_pro_xls기계공사비집계(珆꭭7"/>
      <sheetName val="GASATAGG_XLS7"/>
      <sheetName val="page_1427"/>
      <sheetName val="InsertListDrawing_1_7"/>
      <sheetName val="BILL_Of_QUANTITIES7"/>
      <sheetName val="H_Satuan7"/>
      <sheetName val="Div26_-_Elect7"/>
      <sheetName val="2_4_1_Elec_BOQ7"/>
      <sheetName val="2_4_1_Inst_BOQ7"/>
      <sheetName val="PTF_Report7"/>
      <sheetName val="BEND_LOSS7"/>
      <sheetName val="6PILE__(돌출)7"/>
      <sheetName val="tabulación_final7"/>
      <sheetName val="예정공정표_(2)7"/>
      <sheetName val="ADMIN_TB-557066_00A7"/>
      <sheetName val="LABORATORY_TB-557091_00A7"/>
      <sheetName val="OME5_TB-557088-001_00A7"/>
      <sheetName val="OME4_TB-557087-001_00A7"/>
      <sheetName val="OME3_TB-557086-001_00A7"/>
      <sheetName val="CMB_EMTS_TB-557084_00A7"/>
      <sheetName val="SLCB_TB-557083-002_00B7"/>
      <sheetName val="PIB9_TB-557082-003_00B7"/>
      <sheetName val="PIB7_TB-557081-003_00B7"/>
      <sheetName val="PIB6_TB-557080-003_00B7"/>
      <sheetName val="PIB5_TB-557079-002_00B7"/>
      <sheetName val="PIB4_TB-557078-002_00B7"/>
      <sheetName val="PIB3_TB-557077-002_00B7"/>
      <sheetName val="CCB_TB-557075-001_00B7"/>
      <sheetName val="CCB_TB-557073-002_00B7"/>
      <sheetName val="CCB_TB-557072-001_00A7"/>
      <sheetName val="CCB_TB-557051_00B7"/>
      <sheetName val="Budget_Weight_Instructions_A7"/>
      <sheetName val="Basic_data7"/>
      <sheetName val="Isolasi_Luar_Dalam7"/>
      <sheetName val="Isolasi_Luar7"/>
      <sheetName val="EMPLOYMENT_CERTIFICATE7"/>
      <sheetName val="Salary_cer7"/>
      <sheetName val="Master_file7"/>
      <sheetName val="7_5_1(A)_Data17"/>
      <sheetName val="7_5_1(B)_BOQ_Breakdown17"/>
      <sheetName val="7_5_1(C)_Scope17"/>
      <sheetName val="7_5_1(D)_Basis17"/>
      <sheetName val="7_5_1(E)_Allowance17"/>
      <sheetName val="7_5_2_BOQ_Summary17"/>
      <sheetName val="7_5_3_BOQ17"/>
      <sheetName val="A__Erec_BOQ(Shop)17"/>
      <sheetName val="B__Erec_BOQ(Field)17"/>
      <sheetName val="C__Surface_Protection17"/>
      <sheetName val="A__Erec_BOQ(Shop)_(2)17"/>
      <sheetName val="B__Erec_BOQ(Field)_(2)17"/>
      <sheetName val="C__Surf_Protection17"/>
      <sheetName val="Attachment_#117"/>
      <sheetName val="Attachment_#217"/>
      <sheetName val="302_C117"/>
      <sheetName val="302_C217"/>
      <sheetName val="SUPPLY_(2)17"/>
      <sheetName val="RETURN_(2)17"/>
      <sheetName val="303_(2)17"/>
      <sheetName val="308_(2)17"/>
      <sheetName val="309_(2)17"/>
      <sheetName val="JUNCTION_BOX17"/>
      <sheetName val="PIPE_FITTING17"/>
      <sheetName val="TUBE_FITTING17"/>
      <sheetName val="CABLE_GLAND17"/>
      <sheetName val="CONS__EQUIP___17"/>
      <sheetName val="BLR_117"/>
      <sheetName val="REINF_17"/>
      <sheetName val="ITB_COST16"/>
      <sheetName val="97_사업추정(WEKI)16"/>
      <sheetName val="Cost_control16"/>
      <sheetName val="보온_회사분16"/>
      <sheetName val="90EL_JACKET16"/>
      <sheetName val="FIRE_FIGHTING16"/>
      <sheetName val="Tipo_Terzi15"/>
      <sheetName val="plan&amp;section_of_foundation15"/>
      <sheetName val="design_criteria15"/>
      <sheetName val="BM_DATA_SHEET15"/>
      <sheetName val="Mat_Stelo15"/>
      <sheetName val="Unit_SUM15"/>
      <sheetName val="working_load_at_the_btm_ft_14"/>
      <sheetName val="stability_check14"/>
      <sheetName val="OUTER_AREA(겹침없음)14"/>
      <sheetName val="1_설계기준14"/>
      <sheetName val="bill_214"/>
      <sheetName val="special_item_양진규_작성14"/>
      <sheetName val="Break_Dw14"/>
      <sheetName val="방유제용량_계산서14"/>
      <sheetName val="pile_bearing_capa_&amp;_arrenge14"/>
      <sheetName val="design_load14"/>
      <sheetName val="Fab__Skid14"/>
      <sheetName val="Material_Specification14"/>
      <sheetName val="개시대사_(2)14"/>
      <sheetName val="CAMP_OPERATING_COST14"/>
      <sheetName val="PERSONNEL_SETUP14"/>
      <sheetName val="LIST_OF_OFFICE_EQUIPMENT14"/>
      <sheetName val="STAFF&amp;INDIRECT_SALARY_-_SUMMA14"/>
      <sheetName val="KOREAN_STAFF_SALARY_BREAKDOWN14"/>
      <sheetName val="WELFARE_COST_-_SITE14"/>
      <sheetName val="Sch_614"/>
      <sheetName val="표지_(2)14"/>
      <sheetName val="INPUT_DATA14"/>
      <sheetName val="L_V_Separator14"/>
      <sheetName val="입고장부_(4)14"/>
      <sheetName val="FEUILLE_INTERNE14"/>
      <sheetName val="COMPARISON_TABLE14"/>
      <sheetName val="CAMP_-_CONSTRUCTION14"/>
      <sheetName val="E_Rate_PM14"/>
      <sheetName val="Schedule_2_and_314"/>
      <sheetName val="CAL_14"/>
      <sheetName val="11_자재단가13"/>
      <sheetName val="1_OF_913"/>
      <sheetName val="BSD_(2)12"/>
      <sheetName val="TRAY_BM12"/>
      <sheetName val="Cover_sheet12"/>
      <sheetName val="품셈_12"/>
      <sheetName val="Graph_(LGEN)12"/>
      <sheetName val="선적schedule_(2)12"/>
      <sheetName val="Summary_Sheets12"/>
      <sheetName val="sc0314_Index12"/>
      <sheetName val="Resource_summary12"/>
      <sheetName val="w't_table12"/>
      <sheetName val="eq_data__x005f_x0000__x005f_x0000__x005f_x0000_12"/>
      <sheetName val="General_Data14"/>
      <sheetName val="PRICE_COMP14"/>
      <sheetName val="A(Rev_3)14"/>
      <sheetName val="static_cal12"/>
      <sheetName val="crude_SLAB_RE-bar12"/>
      <sheetName val="7_6_3(B)_UG_Piping12"/>
      <sheetName val="PRICE_LIST12"/>
      <sheetName val="7_5_2_BOQ_Summary_12"/>
      <sheetName val="Rekap_A12"/>
      <sheetName val="paint_mat12"/>
      <sheetName val="VE_Estimate12"/>
      <sheetName val="TABLE2-2_OSBL-(SITE_PREP)12"/>
      <sheetName val="OFFER_RATE12"/>
      <sheetName val="Job_Data12"/>
      <sheetName val="Piping_Design_Data12"/>
      <sheetName val="Summary_200212"/>
      <sheetName val="ASME_B_36_10_M12"/>
      <sheetName val="배관물량_(STEEL)14"/>
      <sheetName val="Sheet_114"/>
      <sheetName val="3_0_Overall_Progress_S-curve14"/>
      <sheetName val="3-4_SPI14"/>
      <sheetName val="-15_012"/>
      <sheetName val="견적_집계12"/>
      <sheetName val="PULLING_SUPT등12"/>
      <sheetName val="Sheet1_(2)12"/>
      <sheetName val="PAGE_112"/>
      <sheetName val="_생산성_분석_체계_절차_xlsx12"/>
      <sheetName val="BQ_List12"/>
      <sheetName val="Struct-Grass_root12"/>
      <sheetName val="Break_Down12"/>
      <sheetName val="Supervision_List12"/>
      <sheetName val="Page_1012"/>
      <sheetName val="PAGE_212"/>
      <sheetName val="간접비_총괄표11"/>
      <sheetName val="Eng_hour_DB11"/>
      <sheetName val="CRUDE_RE-bar11"/>
      <sheetName val="DUTCH_CONE11"/>
      <sheetName val="C급보_11"/>
      <sheetName val="PAGE_3_GENERAL_DETAILS11"/>
      <sheetName val="적용_환율11"/>
      <sheetName val="Rectangular_Beam11"/>
      <sheetName val="COST_UP11"/>
      <sheetName val="GM_00011"/>
      <sheetName val="PRECAST_lightconc-II11"/>
      <sheetName val="Rev_No11"/>
      <sheetName val="PUMP_SHT11"/>
      <sheetName val="Elect_(3)11"/>
      <sheetName val="TENDER_PROG_11"/>
      <sheetName val="PROC_PROG11"/>
      <sheetName val="Block_D11"/>
      <sheetName val="2_Calculation_111"/>
      <sheetName val="Datasheet_GLL_double_weir_(1)11"/>
      <sheetName val="_11"/>
      <sheetName val="eq_data__x005f_x0000__x0011"/>
      <sheetName val="co-no_210"/>
      <sheetName val="33628-Rev__A11"/>
      <sheetName val="TYPE-B_평균H11"/>
      <sheetName val="6_공사비_내역_(가)11"/>
      <sheetName val="Sheet2_(2)11"/>
      <sheetName val="Form_A_110"/>
      <sheetName val="Form_A_1_110"/>
      <sheetName val="BOM_Indirect10"/>
      <sheetName val="Form_A_1_II_210"/>
      <sheetName val="6_GSTG_PIPING10"/>
      <sheetName val="NONS__2,18910"/>
      <sheetName val="Reference_Table10"/>
      <sheetName val="CAL(1)_10"/>
      <sheetName val="member_design10"/>
      <sheetName val="soil_bearing_check10"/>
      <sheetName val="OCT_FDN10"/>
      <sheetName val="PRI_CIV10"/>
      <sheetName val="FOR_CIV10"/>
      <sheetName val="SUB_CIV10"/>
      <sheetName val="ANA_CIV10"/>
      <sheetName val="AUX_CIV10"/>
      <sheetName val="내역서_10"/>
      <sheetName val="hori__vessel(E-895)10"/>
      <sheetName val="2_310"/>
      <sheetName val="S_N10"/>
      <sheetName val="REF_ONLY10"/>
      <sheetName val="Loading_Table10"/>
      <sheetName val="SUMMARY_(0)11"/>
      <sheetName val="Pipelines_ASAB_I-II_Brownfiel10"/>
      <sheetName val="Vent_Line_size10"/>
      <sheetName val="input_data-09090810"/>
      <sheetName val="Expenses_per_Cost_Code_10"/>
      <sheetName val="MH_Estimation_Guide10"/>
      <sheetName val="공사비_내역_(가)10"/>
      <sheetName val="HRG_BHN10"/>
      <sheetName val="Comp_Rate_10"/>
      <sheetName val="4_1구조설계10"/>
      <sheetName val="COMB_MNG&amp;STAFF_(ALL)__(2)10"/>
      <sheetName val="7_0_Crack_Check10"/>
      <sheetName val="축열조_기초10"/>
      <sheetName val="Fill_this_out_first___20"/>
      <sheetName val="Fill_this_out_first___21"/>
      <sheetName val="Data_110"/>
      <sheetName val="MEASURE_LIST10"/>
      <sheetName val="Don_gia10"/>
      <sheetName val="4-3LEVEL-5_epic_410"/>
      <sheetName val="Q5434_EQ_LIST10"/>
      <sheetName val="motor_power10"/>
      <sheetName val="Forecast_Drivers10"/>
      <sheetName val="Unit_Cost10"/>
      <sheetName val="Section_1~4(1)10"/>
      <sheetName val="Section_1~4_10"/>
      <sheetName val="Section_510"/>
      <sheetName val="Section_5_210"/>
      <sheetName val="Section_5_310"/>
      <sheetName val="Section_610"/>
      <sheetName val="Section_6_210"/>
      <sheetName val="Attachment_110"/>
      <sheetName val="Attachmenet_210"/>
      <sheetName val="Exchange_rates10"/>
      <sheetName val="COST-EST_LTI_P5C10"/>
      <sheetName val="SLEIPNER_-_ORMEN_LANGE10"/>
      <sheetName val="전기_BM_revA('090624)_xls10"/>
      <sheetName val="定额_(06)10"/>
      <sheetName val="96_129"/>
      <sheetName val="Analisa_HS10"/>
      <sheetName val="RAW_MATERIALS_10"/>
      <sheetName val="COST-PERSON-J_O_10"/>
      <sheetName val="Coeff_10"/>
      <sheetName val="Tie_Beam_GN9"/>
      <sheetName val="4_단락전류10"/>
      <sheetName val="system_&amp;_LOOK_UP_FUNC9"/>
      <sheetName val="[fdn_bm_pro_xls]기계공사비집계(珆꭭/10"/>
      <sheetName val="2-SITE_8"/>
      <sheetName val="BID_FORM8"/>
      <sheetName val="Form_of_Bid8"/>
      <sheetName val="Item_Dominan8"/>
      <sheetName val="INST_LIST8"/>
      <sheetName val="PCC_EAF8"/>
      <sheetName val="PCC_LF8"/>
      <sheetName val="4-Basic_Price8"/>
      <sheetName val="_fdn_bm_pro_xls_기계공사비집계(珆꭭_8"/>
      <sheetName val="MANPOWER_DIRECT_TRACKING8"/>
      <sheetName val="Timescaled_Data8"/>
      <sheetName val="Home_Office8"/>
      <sheetName val="Code_028"/>
      <sheetName val="Code_038"/>
      <sheetName val="Code_048"/>
      <sheetName val="Code_058"/>
      <sheetName val="Code_068"/>
      <sheetName val="Code_078"/>
      <sheetName val="Code_098"/>
      <sheetName val="4300_UTILITY_BLDG_(2)8"/>
      <sheetName val="Price_Breakdown(Building)8"/>
      <sheetName val="eq_data_????8"/>
      <sheetName val="자재집계_&amp;_총괄표8"/>
      <sheetName val="Finish_list8"/>
      <sheetName val="Engrg_Est8"/>
      <sheetName val="[fdn_bm_pro_xls]_fdn_bm_pro_x_9"/>
      <sheetName val="Dati_base8"/>
      <sheetName val="US_Inflation_Factors8"/>
      <sheetName val="Cover_Page8"/>
      <sheetName val="Unit__Price8"/>
      <sheetName val="eq_data_9"/>
      <sheetName val="eq_data__x9"/>
      <sheetName val="fdn_bm_pro_xls기계공사비집계(珆꭭8"/>
      <sheetName val="GASATAGG_XLS8"/>
      <sheetName val="page_1428"/>
      <sheetName val="InsertListDrawing_1_8"/>
      <sheetName val="BILL_Of_QUANTITIES8"/>
      <sheetName val="H_Satuan8"/>
      <sheetName val="Div26_-_Elect8"/>
      <sheetName val="2_4_1_Elec_BOQ8"/>
      <sheetName val="2_4_1_Inst_BOQ8"/>
      <sheetName val="PTF_Report8"/>
      <sheetName val="BEND_LOSS8"/>
      <sheetName val="6PILE__(돌출)8"/>
      <sheetName val="tabulación_final8"/>
      <sheetName val="예정공정표_(2)8"/>
      <sheetName val="ADMIN_TB-557066_00A8"/>
      <sheetName val="LABORATORY_TB-557091_00A8"/>
      <sheetName val="OME5_TB-557088-001_00A8"/>
      <sheetName val="OME4_TB-557087-001_00A8"/>
      <sheetName val="OME3_TB-557086-001_00A8"/>
      <sheetName val="CMB_EMTS_TB-557084_00A8"/>
      <sheetName val="SLCB_TB-557083-002_00B8"/>
      <sheetName val="PIB9_TB-557082-003_00B8"/>
      <sheetName val="PIB7_TB-557081-003_00B8"/>
      <sheetName val="PIB6_TB-557080-003_00B8"/>
      <sheetName val="PIB5_TB-557079-002_00B8"/>
      <sheetName val="PIB4_TB-557078-002_00B8"/>
      <sheetName val="PIB3_TB-557077-002_00B8"/>
      <sheetName val="CCB_TB-557075-001_00B8"/>
      <sheetName val="CCB_TB-557073-002_00B8"/>
      <sheetName val="CCB_TB-557072-001_00A8"/>
      <sheetName val="CCB_TB-557051_00B8"/>
      <sheetName val="Budget_Weight_Instructions_A8"/>
      <sheetName val="Basic_data8"/>
      <sheetName val="Isolasi_Luar_Dalam8"/>
      <sheetName val="Isolasi_Luar8"/>
      <sheetName val="EMPLOYMENT_CERTIFICATE8"/>
      <sheetName val="Salary_cer8"/>
      <sheetName val="Master_file8"/>
      <sheetName val="Line_dP"/>
      <sheetName val="Motor_Table"/>
      <sheetName val="_Input_"/>
      <sheetName val="Bend_fact_1"/>
      <sheetName val="E_1"/>
      <sheetName val="Unitwise_breakup"/>
      <sheetName val="rekap_c"/>
      <sheetName val="HARGA_MATERIAL"/>
      <sheetName val="BQ_Arsit"/>
      <sheetName val="An_HarSatPek"/>
      <sheetName val="Sat_Bah_&amp;_Up"/>
      <sheetName val="1_사업개요"/>
      <sheetName val="Site_Expenses"/>
      <sheetName val="Paint_-_Mat_Summ1"/>
      <sheetName val="Piling_&amp;_Tk_Fdn"/>
      <sheetName val="Data_Pembukaan_1_1"/>
      <sheetName val="Eq__Mobilization"/>
      <sheetName val="[fdn_bm_pro_xls]_fdn_bm_pro_x10"/>
      <sheetName val="[fdn_bm_pro_xls]_fdn_bm_pro_x11"/>
      <sheetName val="[fdn_bm_pro_xls]_fdn_bm_pro_x12"/>
      <sheetName val="eq_data__x005f_x005f_x005f_x0000__x005f_x005f_x01"/>
      <sheetName val="eq_data__x005f_x005f_x005f_x0000__x00"/>
    </sheetNames>
    <sheetDataSet>
      <sheetData sheetId="0">
        <row r="5">
          <cell r="C5" t="str">
            <v>Isolated type</v>
          </cell>
        </row>
      </sheetData>
      <sheetData sheetId="1">
        <row r="5">
          <cell r="C5" t="str">
            <v>Isolated type</v>
          </cell>
        </row>
      </sheetData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  <row r="15">
          <cell r="C15" t="e">
            <v>#REF!</v>
          </cell>
        </row>
        <row r="16">
          <cell r="C16" t="e">
            <v>#REF!</v>
          </cell>
        </row>
        <row r="17">
          <cell r="C17" t="e">
            <v>#REF!</v>
          </cell>
        </row>
        <row r="18">
          <cell r="C18" t="e">
            <v>#REF!</v>
          </cell>
        </row>
        <row r="19">
          <cell r="C19" t="e">
            <v>#REF!</v>
          </cell>
        </row>
        <row r="20">
          <cell r="C20" t="e">
            <v>#REF!</v>
          </cell>
        </row>
        <row r="21">
          <cell r="C21" t="e">
            <v>#REF!</v>
          </cell>
        </row>
        <row r="22">
          <cell r="C22" t="e">
            <v>#REF!</v>
          </cell>
        </row>
        <row r="23">
          <cell r="C23" t="e">
            <v>#REF!</v>
          </cell>
        </row>
        <row r="24">
          <cell r="C24" t="e">
            <v>#REF!</v>
          </cell>
        </row>
        <row r="25">
          <cell r="C25" t="e">
            <v>#REF!</v>
          </cell>
        </row>
        <row r="26">
          <cell r="C26" t="e">
            <v>#REF!</v>
          </cell>
        </row>
        <row r="27">
          <cell r="C27" t="e">
            <v>#REF!</v>
          </cell>
        </row>
        <row r="28">
          <cell r="C28" t="e">
            <v>#REF!</v>
          </cell>
        </row>
        <row r="29">
          <cell r="C29" t="e">
            <v>#REF!</v>
          </cell>
        </row>
        <row r="30">
          <cell r="C30" t="e">
            <v>#REF!</v>
          </cell>
        </row>
        <row r="31">
          <cell r="C31" t="e">
            <v>#REF!</v>
          </cell>
        </row>
        <row r="32">
          <cell r="C32" t="e">
            <v>#REF!</v>
          </cell>
        </row>
        <row r="33">
          <cell r="C33" t="e">
            <v>#REF!</v>
          </cell>
        </row>
        <row r="34">
          <cell r="C34" t="e">
            <v>#REF!</v>
          </cell>
        </row>
        <row r="35">
          <cell r="C35" t="e">
            <v>#REF!</v>
          </cell>
        </row>
        <row r="36">
          <cell r="C36" t="e">
            <v>#REF!</v>
          </cell>
        </row>
        <row r="37">
          <cell r="C37" t="e">
            <v>#REF!</v>
          </cell>
        </row>
        <row r="38">
          <cell r="C38" t="e">
            <v>#REF!</v>
          </cell>
        </row>
        <row r="39">
          <cell r="C39" t="e">
            <v>#REF!</v>
          </cell>
        </row>
        <row r="40">
          <cell r="C40" t="e">
            <v>#REF!</v>
          </cell>
        </row>
        <row r="41">
          <cell r="C41" t="e">
            <v>#REF!</v>
          </cell>
        </row>
        <row r="42">
          <cell r="C42" t="e">
            <v>#REF!</v>
          </cell>
        </row>
        <row r="43">
          <cell r="C43" t="e">
            <v>#REF!</v>
          </cell>
        </row>
        <row r="44">
          <cell r="C44" t="e">
            <v>#REF!</v>
          </cell>
        </row>
        <row r="45">
          <cell r="C45" t="e">
            <v>#REF!</v>
          </cell>
        </row>
        <row r="46">
          <cell r="C46" t="e">
            <v>#REF!</v>
          </cell>
        </row>
        <row r="47">
          <cell r="C47" t="e">
            <v>#REF!</v>
          </cell>
        </row>
        <row r="48">
          <cell r="C48" t="e">
            <v>#REF!</v>
          </cell>
        </row>
        <row r="49">
          <cell r="C49" t="e">
            <v>#REF!</v>
          </cell>
        </row>
        <row r="50">
          <cell r="C50" t="e">
            <v>#REF!</v>
          </cell>
        </row>
        <row r="51">
          <cell r="C51" t="e">
            <v>#REF!</v>
          </cell>
        </row>
        <row r="52">
          <cell r="C52" t="e">
            <v>#REF!</v>
          </cell>
        </row>
        <row r="53">
          <cell r="C53" t="e">
            <v>#REF!</v>
          </cell>
        </row>
        <row r="54">
          <cell r="C54" t="e">
            <v>#REF!</v>
          </cell>
        </row>
      </sheetData>
      <sheetData sheetId="3">
        <row r="5">
          <cell r="C5" t="str">
            <v>Isolated type</v>
          </cell>
        </row>
      </sheetData>
      <sheetData sheetId="4"/>
      <sheetData sheetId="5"/>
      <sheetData sheetId="6">
        <row r="5">
          <cell r="C5" t="str">
            <v>PACKAGE NO.</v>
          </cell>
        </row>
      </sheetData>
      <sheetData sheetId="7">
        <row r="5">
          <cell r="C5" t="str">
            <v>PACKAGE NO.</v>
          </cell>
        </row>
      </sheetData>
      <sheetData sheetId="8">
        <row r="5">
          <cell r="C5" t="str">
            <v>PACKAGE NO.</v>
          </cell>
        </row>
      </sheetData>
      <sheetData sheetId="9">
        <row r="5">
          <cell r="C5" t="str">
            <v>PACKAGE NO.</v>
          </cell>
        </row>
      </sheetData>
      <sheetData sheetId="10">
        <row r="5">
          <cell r="C5" t="str">
            <v>PACKAGE NO.</v>
          </cell>
        </row>
      </sheetData>
      <sheetData sheetId="11">
        <row r="5">
          <cell r="C5" t="str">
            <v>PACKAGE NO.</v>
          </cell>
        </row>
      </sheetData>
      <sheetData sheetId="12">
        <row r="5">
          <cell r="C5" t="str">
            <v>PACKAGE NO.</v>
          </cell>
        </row>
      </sheetData>
      <sheetData sheetId="13">
        <row r="5">
          <cell r="C5" t="str">
            <v>PACKAGE NO.</v>
          </cell>
        </row>
      </sheetData>
      <sheetData sheetId="14">
        <row r="5">
          <cell r="C5" t="str">
            <v>PACKAGE NO.</v>
          </cell>
        </row>
      </sheetData>
      <sheetData sheetId="15">
        <row r="5">
          <cell r="C5" t="str">
            <v>PACKAGE NO.</v>
          </cell>
        </row>
      </sheetData>
      <sheetData sheetId="16">
        <row r="5">
          <cell r="C5" t="str">
            <v>PACKAGE NO.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 t="str">
            <v>PACKAGE NO.</v>
          </cell>
        </row>
      </sheetData>
      <sheetData sheetId="23">
        <row r="5">
          <cell r="C5" t="str">
            <v>PACKAGE NO.</v>
          </cell>
        </row>
      </sheetData>
      <sheetData sheetId="24">
        <row r="5">
          <cell r="C5" t="str">
            <v>PACKAGE NO.</v>
          </cell>
        </row>
      </sheetData>
      <sheetData sheetId="25">
        <row r="5">
          <cell r="C5" t="str">
            <v>PACKAGE NO.</v>
          </cell>
        </row>
      </sheetData>
      <sheetData sheetId="26">
        <row r="5">
          <cell r="C5" t="str">
            <v>PACKAGE NO.</v>
          </cell>
        </row>
      </sheetData>
      <sheetData sheetId="27">
        <row r="5">
          <cell r="C5" t="str">
            <v>PACKAGE NO.</v>
          </cell>
        </row>
      </sheetData>
      <sheetData sheetId="28">
        <row r="5">
          <cell r="C5" t="str">
            <v>PACKAGE NO.</v>
          </cell>
        </row>
      </sheetData>
      <sheetData sheetId="29">
        <row r="5">
          <cell r="C5" t="str">
            <v>PACKAGE NO.</v>
          </cell>
        </row>
      </sheetData>
      <sheetData sheetId="30">
        <row r="5">
          <cell r="C5" t="str">
            <v>PACKAGE NO.</v>
          </cell>
        </row>
      </sheetData>
      <sheetData sheetId="31">
        <row r="5">
          <cell r="C5" t="str">
            <v>PACKAGE NO.</v>
          </cell>
        </row>
      </sheetData>
      <sheetData sheetId="32">
        <row r="5">
          <cell r="C5" t="str">
            <v>PACKAGE NO.</v>
          </cell>
        </row>
      </sheetData>
      <sheetData sheetId="33">
        <row r="5">
          <cell r="C5" t="str">
            <v>PACKAGE NO.</v>
          </cell>
        </row>
      </sheetData>
      <sheetData sheetId="34">
        <row r="5">
          <cell r="C5" t="str">
            <v>PACKAGE NO.</v>
          </cell>
        </row>
      </sheetData>
      <sheetData sheetId="35">
        <row r="5">
          <cell r="C5" t="str">
            <v>PACKAGE NO.</v>
          </cell>
        </row>
      </sheetData>
      <sheetData sheetId="36">
        <row r="5">
          <cell r="C5" t="str">
            <v>PACKAGE NO.</v>
          </cell>
        </row>
      </sheetData>
      <sheetData sheetId="37">
        <row r="5">
          <cell r="C5" t="str">
            <v>PACKAGE NO.</v>
          </cell>
        </row>
      </sheetData>
      <sheetData sheetId="38">
        <row r="5">
          <cell r="C5" t="str">
            <v>PACKAGE NO.</v>
          </cell>
        </row>
      </sheetData>
      <sheetData sheetId="39">
        <row r="5">
          <cell r="C5" t="str">
            <v>PACKAGE NO.</v>
          </cell>
        </row>
      </sheetData>
      <sheetData sheetId="40">
        <row r="5">
          <cell r="C5" t="str">
            <v>PACKAGE NO.</v>
          </cell>
        </row>
      </sheetData>
      <sheetData sheetId="41" refreshError="1"/>
      <sheetData sheetId="42">
        <row r="5">
          <cell r="C5" t="str">
            <v>PACKAGE NO.</v>
          </cell>
        </row>
      </sheetData>
      <sheetData sheetId="43">
        <row r="5">
          <cell r="C5" t="str">
            <v>PACKAGE NO.</v>
          </cell>
        </row>
      </sheetData>
      <sheetData sheetId="44">
        <row r="5">
          <cell r="C5" t="str">
            <v>PACKAGE NO.</v>
          </cell>
        </row>
      </sheetData>
      <sheetData sheetId="45">
        <row r="5">
          <cell r="C5" t="str">
            <v>PACKAGE NO.</v>
          </cell>
        </row>
      </sheetData>
      <sheetData sheetId="46">
        <row r="5">
          <cell r="C5" t="str">
            <v>PACKAGE NO.</v>
          </cell>
        </row>
      </sheetData>
      <sheetData sheetId="47">
        <row r="5">
          <cell r="C5" t="str">
            <v>PACKAGE NO.</v>
          </cell>
        </row>
      </sheetData>
      <sheetData sheetId="48">
        <row r="5">
          <cell r="C5" t="str">
            <v>PACKAGE NO.</v>
          </cell>
        </row>
      </sheetData>
      <sheetData sheetId="49">
        <row r="5">
          <cell r="C5" t="str">
            <v>PACKAGE NO.</v>
          </cell>
        </row>
      </sheetData>
      <sheetData sheetId="50">
        <row r="5">
          <cell r="C5" t="str">
            <v>PACKAGE NO.</v>
          </cell>
        </row>
      </sheetData>
      <sheetData sheetId="51">
        <row r="5">
          <cell r="C5" t="str">
            <v>PACKAGE NO.</v>
          </cell>
        </row>
      </sheetData>
      <sheetData sheetId="52">
        <row r="5">
          <cell r="C5" t="str">
            <v>PACKAGE NO.</v>
          </cell>
        </row>
      </sheetData>
      <sheetData sheetId="53">
        <row r="5">
          <cell r="C5" t="str">
            <v>PACKAGE NO.</v>
          </cell>
        </row>
      </sheetData>
      <sheetData sheetId="54">
        <row r="5">
          <cell r="C5" t="str">
            <v>PACKAGE NO.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5">
          <cell r="C5">
            <v>100</v>
          </cell>
        </row>
      </sheetData>
      <sheetData sheetId="739">
        <row r="5">
          <cell r="C5">
            <v>100</v>
          </cell>
        </row>
      </sheetData>
      <sheetData sheetId="740">
        <row r="5">
          <cell r="C5">
            <v>100</v>
          </cell>
        </row>
      </sheetData>
      <sheetData sheetId="741">
        <row r="5">
          <cell r="C5">
            <v>100</v>
          </cell>
        </row>
      </sheetData>
      <sheetData sheetId="742">
        <row r="5">
          <cell r="C5">
            <v>100</v>
          </cell>
        </row>
      </sheetData>
      <sheetData sheetId="743">
        <row r="5">
          <cell r="C5">
            <v>100</v>
          </cell>
        </row>
      </sheetData>
      <sheetData sheetId="744">
        <row r="5">
          <cell r="C5">
            <v>100</v>
          </cell>
        </row>
      </sheetData>
      <sheetData sheetId="745">
        <row r="5">
          <cell r="C5">
            <v>100</v>
          </cell>
        </row>
      </sheetData>
      <sheetData sheetId="746">
        <row r="5">
          <cell r="C5">
            <v>100</v>
          </cell>
        </row>
      </sheetData>
      <sheetData sheetId="747">
        <row r="5">
          <cell r="C5">
            <v>100</v>
          </cell>
        </row>
      </sheetData>
      <sheetData sheetId="748">
        <row r="5">
          <cell r="C5">
            <v>100</v>
          </cell>
        </row>
      </sheetData>
      <sheetData sheetId="749">
        <row r="5">
          <cell r="C5">
            <v>100</v>
          </cell>
        </row>
      </sheetData>
      <sheetData sheetId="750">
        <row r="5">
          <cell r="C5">
            <v>100</v>
          </cell>
        </row>
      </sheetData>
      <sheetData sheetId="751">
        <row r="5">
          <cell r="C5">
            <v>100</v>
          </cell>
        </row>
      </sheetData>
      <sheetData sheetId="752">
        <row r="5">
          <cell r="C5">
            <v>100</v>
          </cell>
        </row>
      </sheetData>
      <sheetData sheetId="753">
        <row r="5">
          <cell r="C5">
            <v>100</v>
          </cell>
        </row>
      </sheetData>
      <sheetData sheetId="754">
        <row r="5">
          <cell r="C5">
            <v>100</v>
          </cell>
        </row>
      </sheetData>
      <sheetData sheetId="755">
        <row r="5">
          <cell r="C5">
            <v>100</v>
          </cell>
        </row>
      </sheetData>
      <sheetData sheetId="756">
        <row r="5">
          <cell r="C5">
            <v>100</v>
          </cell>
        </row>
      </sheetData>
      <sheetData sheetId="757">
        <row r="5">
          <cell r="C5">
            <v>100</v>
          </cell>
        </row>
      </sheetData>
      <sheetData sheetId="758">
        <row r="5">
          <cell r="C5">
            <v>100</v>
          </cell>
        </row>
      </sheetData>
      <sheetData sheetId="759">
        <row r="5">
          <cell r="C5">
            <v>100</v>
          </cell>
        </row>
      </sheetData>
      <sheetData sheetId="760">
        <row r="5">
          <cell r="C5">
            <v>100</v>
          </cell>
        </row>
      </sheetData>
      <sheetData sheetId="761">
        <row r="5">
          <cell r="C5">
            <v>100</v>
          </cell>
        </row>
      </sheetData>
      <sheetData sheetId="762">
        <row r="5">
          <cell r="C5">
            <v>100</v>
          </cell>
        </row>
      </sheetData>
      <sheetData sheetId="763">
        <row r="5">
          <cell r="C5">
            <v>100</v>
          </cell>
        </row>
      </sheetData>
      <sheetData sheetId="764">
        <row r="5">
          <cell r="C5">
            <v>100</v>
          </cell>
        </row>
      </sheetData>
      <sheetData sheetId="765">
        <row r="5">
          <cell r="C5">
            <v>100</v>
          </cell>
        </row>
      </sheetData>
      <sheetData sheetId="766">
        <row r="5">
          <cell r="C5">
            <v>100</v>
          </cell>
        </row>
      </sheetData>
      <sheetData sheetId="767">
        <row r="5">
          <cell r="C5">
            <v>100</v>
          </cell>
        </row>
      </sheetData>
      <sheetData sheetId="768">
        <row r="5">
          <cell r="C5">
            <v>100</v>
          </cell>
        </row>
      </sheetData>
      <sheetData sheetId="769">
        <row r="5">
          <cell r="C5">
            <v>100</v>
          </cell>
        </row>
      </sheetData>
      <sheetData sheetId="770">
        <row r="5">
          <cell r="C5">
            <v>100</v>
          </cell>
        </row>
      </sheetData>
      <sheetData sheetId="771">
        <row r="5">
          <cell r="C5">
            <v>100</v>
          </cell>
        </row>
      </sheetData>
      <sheetData sheetId="772">
        <row r="5">
          <cell r="C5">
            <v>100</v>
          </cell>
        </row>
      </sheetData>
      <sheetData sheetId="773">
        <row r="5">
          <cell r="C5">
            <v>100</v>
          </cell>
        </row>
      </sheetData>
      <sheetData sheetId="774">
        <row r="5">
          <cell r="C5">
            <v>100</v>
          </cell>
        </row>
      </sheetData>
      <sheetData sheetId="775">
        <row r="5">
          <cell r="C5">
            <v>100</v>
          </cell>
        </row>
      </sheetData>
      <sheetData sheetId="776">
        <row r="5">
          <cell r="C5">
            <v>100</v>
          </cell>
        </row>
      </sheetData>
      <sheetData sheetId="777">
        <row r="5">
          <cell r="C5">
            <v>100</v>
          </cell>
        </row>
      </sheetData>
      <sheetData sheetId="778">
        <row r="5">
          <cell r="C5">
            <v>100</v>
          </cell>
        </row>
      </sheetData>
      <sheetData sheetId="779">
        <row r="5">
          <cell r="C5">
            <v>100</v>
          </cell>
        </row>
      </sheetData>
      <sheetData sheetId="780">
        <row r="5">
          <cell r="C5">
            <v>100</v>
          </cell>
        </row>
      </sheetData>
      <sheetData sheetId="781">
        <row r="5">
          <cell r="C5">
            <v>100</v>
          </cell>
        </row>
      </sheetData>
      <sheetData sheetId="782">
        <row r="5">
          <cell r="C5">
            <v>100</v>
          </cell>
        </row>
      </sheetData>
      <sheetData sheetId="783">
        <row r="5">
          <cell r="C5">
            <v>100</v>
          </cell>
        </row>
      </sheetData>
      <sheetData sheetId="784">
        <row r="5">
          <cell r="C5">
            <v>100</v>
          </cell>
        </row>
      </sheetData>
      <sheetData sheetId="785">
        <row r="5">
          <cell r="C5">
            <v>100</v>
          </cell>
        </row>
      </sheetData>
      <sheetData sheetId="786">
        <row r="5">
          <cell r="C5">
            <v>100</v>
          </cell>
        </row>
      </sheetData>
      <sheetData sheetId="787">
        <row r="5">
          <cell r="C5">
            <v>100</v>
          </cell>
        </row>
      </sheetData>
      <sheetData sheetId="788">
        <row r="5">
          <cell r="C5">
            <v>100</v>
          </cell>
        </row>
      </sheetData>
      <sheetData sheetId="789">
        <row r="5">
          <cell r="C5">
            <v>100</v>
          </cell>
        </row>
      </sheetData>
      <sheetData sheetId="790">
        <row r="5">
          <cell r="C5">
            <v>100</v>
          </cell>
        </row>
      </sheetData>
      <sheetData sheetId="791">
        <row r="5">
          <cell r="C5">
            <v>100</v>
          </cell>
        </row>
      </sheetData>
      <sheetData sheetId="792">
        <row r="5">
          <cell r="C5">
            <v>100</v>
          </cell>
        </row>
      </sheetData>
      <sheetData sheetId="793">
        <row r="5">
          <cell r="C5">
            <v>100</v>
          </cell>
        </row>
      </sheetData>
      <sheetData sheetId="794">
        <row r="5">
          <cell r="C5">
            <v>100</v>
          </cell>
        </row>
      </sheetData>
      <sheetData sheetId="795">
        <row r="5">
          <cell r="C5">
            <v>100</v>
          </cell>
        </row>
      </sheetData>
      <sheetData sheetId="796">
        <row r="5">
          <cell r="C5">
            <v>100</v>
          </cell>
        </row>
      </sheetData>
      <sheetData sheetId="797">
        <row r="5">
          <cell r="C5">
            <v>100</v>
          </cell>
        </row>
      </sheetData>
      <sheetData sheetId="798">
        <row r="5">
          <cell r="C5">
            <v>100</v>
          </cell>
        </row>
      </sheetData>
      <sheetData sheetId="799">
        <row r="5">
          <cell r="C5">
            <v>100</v>
          </cell>
        </row>
      </sheetData>
      <sheetData sheetId="800">
        <row r="5">
          <cell r="C5">
            <v>100</v>
          </cell>
        </row>
      </sheetData>
      <sheetData sheetId="801">
        <row r="5">
          <cell r="C5">
            <v>100</v>
          </cell>
        </row>
      </sheetData>
      <sheetData sheetId="802">
        <row r="5">
          <cell r="C5">
            <v>100</v>
          </cell>
        </row>
      </sheetData>
      <sheetData sheetId="803">
        <row r="5">
          <cell r="C5">
            <v>100</v>
          </cell>
        </row>
      </sheetData>
      <sheetData sheetId="804">
        <row r="5">
          <cell r="C5">
            <v>100</v>
          </cell>
        </row>
      </sheetData>
      <sheetData sheetId="805">
        <row r="5">
          <cell r="C5">
            <v>100</v>
          </cell>
        </row>
      </sheetData>
      <sheetData sheetId="806">
        <row r="5">
          <cell r="C5">
            <v>100</v>
          </cell>
        </row>
      </sheetData>
      <sheetData sheetId="807">
        <row r="5">
          <cell r="C5">
            <v>100</v>
          </cell>
        </row>
      </sheetData>
      <sheetData sheetId="808">
        <row r="5">
          <cell r="C5">
            <v>100</v>
          </cell>
        </row>
      </sheetData>
      <sheetData sheetId="809">
        <row r="5">
          <cell r="C5">
            <v>100</v>
          </cell>
        </row>
      </sheetData>
      <sheetData sheetId="810">
        <row r="5">
          <cell r="C5">
            <v>100</v>
          </cell>
        </row>
      </sheetData>
      <sheetData sheetId="811">
        <row r="5">
          <cell r="C5">
            <v>100</v>
          </cell>
        </row>
      </sheetData>
      <sheetData sheetId="812">
        <row r="5">
          <cell r="C5">
            <v>100</v>
          </cell>
        </row>
      </sheetData>
      <sheetData sheetId="813">
        <row r="5">
          <cell r="C5">
            <v>100</v>
          </cell>
        </row>
      </sheetData>
      <sheetData sheetId="814">
        <row r="5">
          <cell r="C5">
            <v>100</v>
          </cell>
        </row>
      </sheetData>
      <sheetData sheetId="815">
        <row r="5">
          <cell r="C5">
            <v>100</v>
          </cell>
        </row>
      </sheetData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5">
          <cell r="C5">
            <v>100</v>
          </cell>
        </row>
      </sheetData>
      <sheetData sheetId="867">
        <row r="5">
          <cell r="C5">
            <v>100</v>
          </cell>
        </row>
      </sheetData>
      <sheetData sheetId="868">
        <row r="5">
          <cell r="C5">
            <v>100</v>
          </cell>
        </row>
      </sheetData>
      <sheetData sheetId="869">
        <row r="5">
          <cell r="C5">
            <v>100</v>
          </cell>
        </row>
      </sheetData>
      <sheetData sheetId="870">
        <row r="5">
          <cell r="C5">
            <v>100</v>
          </cell>
        </row>
      </sheetData>
      <sheetData sheetId="871">
        <row r="5">
          <cell r="C5">
            <v>100</v>
          </cell>
        </row>
      </sheetData>
      <sheetData sheetId="872">
        <row r="5">
          <cell r="C5">
            <v>100</v>
          </cell>
        </row>
      </sheetData>
      <sheetData sheetId="873">
        <row r="5">
          <cell r="C5">
            <v>100</v>
          </cell>
        </row>
      </sheetData>
      <sheetData sheetId="874">
        <row r="5">
          <cell r="C5">
            <v>100</v>
          </cell>
        </row>
      </sheetData>
      <sheetData sheetId="875">
        <row r="5">
          <cell r="C5">
            <v>100</v>
          </cell>
        </row>
      </sheetData>
      <sheetData sheetId="876">
        <row r="5">
          <cell r="C5">
            <v>100</v>
          </cell>
        </row>
      </sheetData>
      <sheetData sheetId="877">
        <row r="5">
          <cell r="C5">
            <v>100</v>
          </cell>
        </row>
      </sheetData>
      <sheetData sheetId="878">
        <row r="5">
          <cell r="C5">
            <v>100</v>
          </cell>
        </row>
      </sheetData>
      <sheetData sheetId="879">
        <row r="5">
          <cell r="C5">
            <v>100</v>
          </cell>
        </row>
      </sheetData>
      <sheetData sheetId="880">
        <row r="5">
          <cell r="C5">
            <v>100</v>
          </cell>
        </row>
      </sheetData>
      <sheetData sheetId="881" refreshError="1"/>
      <sheetData sheetId="882" refreshError="1"/>
      <sheetData sheetId="883" refreshError="1"/>
      <sheetData sheetId="884" refreshError="1"/>
      <sheetData sheetId="885">
        <row r="5">
          <cell r="C5">
            <v>100</v>
          </cell>
        </row>
      </sheetData>
      <sheetData sheetId="886">
        <row r="5">
          <cell r="C5">
            <v>100</v>
          </cell>
        </row>
      </sheetData>
      <sheetData sheetId="887">
        <row r="5">
          <cell r="C5">
            <v>100</v>
          </cell>
        </row>
      </sheetData>
      <sheetData sheetId="888">
        <row r="5">
          <cell r="C5">
            <v>100</v>
          </cell>
        </row>
      </sheetData>
      <sheetData sheetId="889">
        <row r="5">
          <cell r="C5">
            <v>100</v>
          </cell>
        </row>
      </sheetData>
      <sheetData sheetId="890">
        <row r="5">
          <cell r="C5">
            <v>100</v>
          </cell>
        </row>
      </sheetData>
      <sheetData sheetId="891">
        <row r="5">
          <cell r="C5">
            <v>100</v>
          </cell>
        </row>
      </sheetData>
      <sheetData sheetId="892">
        <row r="5">
          <cell r="C5">
            <v>100</v>
          </cell>
        </row>
      </sheetData>
      <sheetData sheetId="893">
        <row r="5">
          <cell r="C5">
            <v>100</v>
          </cell>
        </row>
      </sheetData>
      <sheetData sheetId="894">
        <row r="5">
          <cell r="C5">
            <v>100</v>
          </cell>
        </row>
      </sheetData>
      <sheetData sheetId="895">
        <row r="5">
          <cell r="C5">
            <v>100</v>
          </cell>
        </row>
      </sheetData>
      <sheetData sheetId="896">
        <row r="5">
          <cell r="C5">
            <v>100</v>
          </cell>
        </row>
      </sheetData>
      <sheetData sheetId="897">
        <row r="5">
          <cell r="C5">
            <v>100</v>
          </cell>
        </row>
      </sheetData>
      <sheetData sheetId="898">
        <row r="5">
          <cell r="C5">
            <v>100</v>
          </cell>
        </row>
      </sheetData>
      <sheetData sheetId="899">
        <row r="5">
          <cell r="C5">
            <v>100</v>
          </cell>
        </row>
      </sheetData>
      <sheetData sheetId="900">
        <row r="5">
          <cell r="C5">
            <v>100</v>
          </cell>
        </row>
      </sheetData>
      <sheetData sheetId="901">
        <row r="5">
          <cell r="C5">
            <v>100</v>
          </cell>
        </row>
      </sheetData>
      <sheetData sheetId="902">
        <row r="5">
          <cell r="C5">
            <v>100</v>
          </cell>
        </row>
      </sheetData>
      <sheetData sheetId="903">
        <row r="5">
          <cell r="C5">
            <v>100</v>
          </cell>
        </row>
      </sheetData>
      <sheetData sheetId="904">
        <row r="5">
          <cell r="C5">
            <v>100</v>
          </cell>
        </row>
      </sheetData>
      <sheetData sheetId="905">
        <row r="5">
          <cell r="C5">
            <v>100</v>
          </cell>
        </row>
      </sheetData>
      <sheetData sheetId="906">
        <row r="5">
          <cell r="C5">
            <v>100</v>
          </cell>
        </row>
      </sheetData>
      <sheetData sheetId="907">
        <row r="5">
          <cell r="C5">
            <v>100</v>
          </cell>
        </row>
      </sheetData>
      <sheetData sheetId="908">
        <row r="5">
          <cell r="C5">
            <v>100</v>
          </cell>
        </row>
      </sheetData>
      <sheetData sheetId="909">
        <row r="5">
          <cell r="C5">
            <v>100</v>
          </cell>
        </row>
      </sheetData>
      <sheetData sheetId="910">
        <row r="5">
          <cell r="C5">
            <v>100</v>
          </cell>
        </row>
      </sheetData>
      <sheetData sheetId="911">
        <row r="5">
          <cell r="C5">
            <v>100</v>
          </cell>
        </row>
      </sheetData>
      <sheetData sheetId="912">
        <row r="5">
          <cell r="C5">
            <v>100</v>
          </cell>
        </row>
      </sheetData>
      <sheetData sheetId="913">
        <row r="5">
          <cell r="C5">
            <v>100</v>
          </cell>
        </row>
      </sheetData>
      <sheetData sheetId="914">
        <row r="5">
          <cell r="C5">
            <v>100</v>
          </cell>
        </row>
      </sheetData>
      <sheetData sheetId="915">
        <row r="5">
          <cell r="C5">
            <v>100</v>
          </cell>
        </row>
      </sheetData>
      <sheetData sheetId="916">
        <row r="5">
          <cell r="C5">
            <v>100</v>
          </cell>
        </row>
      </sheetData>
      <sheetData sheetId="917">
        <row r="5">
          <cell r="C5">
            <v>100</v>
          </cell>
        </row>
      </sheetData>
      <sheetData sheetId="918">
        <row r="5">
          <cell r="C5">
            <v>100</v>
          </cell>
        </row>
      </sheetData>
      <sheetData sheetId="919">
        <row r="5">
          <cell r="C5">
            <v>100</v>
          </cell>
        </row>
      </sheetData>
      <sheetData sheetId="920">
        <row r="5">
          <cell r="C5">
            <v>100</v>
          </cell>
        </row>
      </sheetData>
      <sheetData sheetId="921">
        <row r="5">
          <cell r="C5">
            <v>100</v>
          </cell>
        </row>
      </sheetData>
      <sheetData sheetId="922">
        <row r="5">
          <cell r="C5">
            <v>100</v>
          </cell>
        </row>
      </sheetData>
      <sheetData sheetId="923">
        <row r="5">
          <cell r="C5">
            <v>100</v>
          </cell>
        </row>
      </sheetData>
      <sheetData sheetId="924">
        <row r="5">
          <cell r="C5">
            <v>100</v>
          </cell>
        </row>
      </sheetData>
      <sheetData sheetId="925">
        <row r="5">
          <cell r="C5">
            <v>100</v>
          </cell>
        </row>
      </sheetData>
      <sheetData sheetId="926">
        <row r="5">
          <cell r="C5">
            <v>100</v>
          </cell>
        </row>
      </sheetData>
      <sheetData sheetId="927">
        <row r="5">
          <cell r="C5">
            <v>100</v>
          </cell>
        </row>
      </sheetData>
      <sheetData sheetId="928">
        <row r="5">
          <cell r="C5">
            <v>100</v>
          </cell>
        </row>
      </sheetData>
      <sheetData sheetId="929">
        <row r="5">
          <cell r="C5">
            <v>100</v>
          </cell>
        </row>
      </sheetData>
      <sheetData sheetId="930">
        <row r="5">
          <cell r="C5">
            <v>100</v>
          </cell>
        </row>
      </sheetData>
      <sheetData sheetId="931">
        <row r="5">
          <cell r="C5">
            <v>100</v>
          </cell>
        </row>
      </sheetData>
      <sheetData sheetId="932">
        <row r="5">
          <cell r="C5">
            <v>100</v>
          </cell>
        </row>
      </sheetData>
      <sheetData sheetId="933">
        <row r="5">
          <cell r="C5">
            <v>100</v>
          </cell>
        </row>
      </sheetData>
      <sheetData sheetId="934">
        <row r="5">
          <cell r="C5">
            <v>100</v>
          </cell>
        </row>
      </sheetData>
      <sheetData sheetId="935">
        <row r="5">
          <cell r="C5">
            <v>100</v>
          </cell>
        </row>
      </sheetData>
      <sheetData sheetId="936">
        <row r="5">
          <cell r="C5">
            <v>100</v>
          </cell>
        </row>
      </sheetData>
      <sheetData sheetId="937">
        <row r="5">
          <cell r="C5">
            <v>100</v>
          </cell>
        </row>
      </sheetData>
      <sheetData sheetId="938">
        <row r="5">
          <cell r="C5">
            <v>100</v>
          </cell>
        </row>
      </sheetData>
      <sheetData sheetId="939">
        <row r="5">
          <cell r="C5">
            <v>100</v>
          </cell>
        </row>
      </sheetData>
      <sheetData sheetId="940">
        <row r="5">
          <cell r="C5">
            <v>100</v>
          </cell>
        </row>
      </sheetData>
      <sheetData sheetId="941">
        <row r="5">
          <cell r="C5">
            <v>100</v>
          </cell>
        </row>
      </sheetData>
      <sheetData sheetId="942">
        <row r="5">
          <cell r="C5">
            <v>100</v>
          </cell>
        </row>
      </sheetData>
      <sheetData sheetId="943">
        <row r="5">
          <cell r="C5">
            <v>100</v>
          </cell>
        </row>
      </sheetData>
      <sheetData sheetId="944">
        <row r="5">
          <cell r="C5">
            <v>100</v>
          </cell>
        </row>
      </sheetData>
      <sheetData sheetId="945">
        <row r="5">
          <cell r="C5">
            <v>100</v>
          </cell>
        </row>
      </sheetData>
      <sheetData sheetId="946">
        <row r="5">
          <cell r="C5">
            <v>100</v>
          </cell>
        </row>
      </sheetData>
      <sheetData sheetId="947">
        <row r="5">
          <cell r="C5">
            <v>100</v>
          </cell>
        </row>
      </sheetData>
      <sheetData sheetId="948">
        <row r="5">
          <cell r="C5">
            <v>100</v>
          </cell>
        </row>
      </sheetData>
      <sheetData sheetId="949">
        <row r="5">
          <cell r="C5">
            <v>100</v>
          </cell>
        </row>
      </sheetData>
      <sheetData sheetId="950">
        <row r="5">
          <cell r="C5">
            <v>100</v>
          </cell>
        </row>
      </sheetData>
      <sheetData sheetId="951">
        <row r="5">
          <cell r="C5">
            <v>100</v>
          </cell>
        </row>
      </sheetData>
      <sheetData sheetId="952">
        <row r="5">
          <cell r="C5">
            <v>100</v>
          </cell>
        </row>
      </sheetData>
      <sheetData sheetId="953">
        <row r="5">
          <cell r="C5">
            <v>100</v>
          </cell>
        </row>
      </sheetData>
      <sheetData sheetId="954">
        <row r="5">
          <cell r="C5">
            <v>100</v>
          </cell>
        </row>
      </sheetData>
      <sheetData sheetId="955">
        <row r="5">
          <cell r="C5">
            <v>100</v>
          </cell>
        </row>
      </sheetData>
      <sheetData sheetId="956">
        <row r="5">
          <cell r="C5">
            <v>100</v>
          </cell>
        </row>
      </sheetData>
      <sheetData sheetId="957">
        <row r="5">
          <cell r="C5">
            <v>100</v>
          </cell>
        </row>
      </sheetData>
      <sheetData sheetId="958">
        <row r="5">
          <cell r="C5">
            <v>100</v>
          </cell>
        </row>
      </sheetData>
      <sheetData sheetId="959">
        <row r="5">
          <cell r="C5">
            <v>100</v>
          </cell>
        </row>
      </sheetData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>
        <row r="5">
          <cell r="C5">
            <v>100</v>
          </cell>
        </row>
      </sheetData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>
        <row r="5">
          <cell r="C5">
            <v>100</v>
          </cell>
        </row>
      </sheetData>
      <sheetData sheetId="1021">
        <row r="5">
          <cell r="C5">
            <v>100</v>
          </cell>
        </row>
      </sheetData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5">
          <cell r="C5">
            <v>100</v>
          </cell>
        </row>
      </sheetData>
      <sheetData sheetId="1042">
        <row r="5">
          <cell r="C5">
            <v>100</v>
          </cell>
        </row>
      </sheetData>
      <sheetData sheetId="1043">
        <row r="5">
          <cell r="C5">
            <v>100</v>
          </cell>
        </row>
      </sheetData>
      <sheetData sheetId="1044">
        <row r="5">
          <cell r="C5">
            <v>100</v>
          </cell>
        </row>
      </sheetData>
      <sheetData sheetId="1045">
        <row r="5">
          <cell r="C5">
            <v>100</v>
          </cell>
        </row>
      </sheetData>
      <sheetData sheetId="1046">
        <row r="5">
          <cell r="C5">
            <v>100</v>
          </cell>
        </row>
      </sheetData>
      <sheetData sheetId="1047">
        <row r="5">
          <cell r="C5">
            <v>100</v>
          </cell>
        </row>
      </sheetData>
      <sheetData sheetId="1048">
        <row r="5">
          <cell r="C5">
            <v>100</v>
          </cell>
        </row>
      </sheetData>
      <sheetData sheetId="1049">
        <row r="5">
          <cell r="C5">
            <v>100</v>
          </cell>
        </row>
      </sheetData>
      <sheetData sheetId="1050">
        <row r="5">
          <cell r="C5">
            <v>100</v>
          </cell>
        </row>
      </sheetData>
      <sheetData sheetId="1051">
        <row r="5">
          <cell r="C5">
            <v>100</v>
          </cell>
        </row>
      </sheetData>
      <sheetData sheetId="1052">
        <row r="5">
          <cell r="C5">
            <v>100</v>
          </cell>
        </row>
      </sheetData>
      <sheetData sheetId="1053">
        <row r="5">
          <cell r="C5">
            <v>100</v>
          </cell>
        </row>
      </sheetData>
      <sheetData sheetId="1054">
        <row r="5">
          <cell r="C5">
            <v>100</v>
          </cell>
        </row>
      </sheetData>
      <sheetData sheetId="1055">
        <row r="5">
          <cell r="C5">
            <v>100</v>
          </cell>
        </row>
      </sheetData>
      <sheetData sheetId="1056">
        <row r="5">
          <cell r="C5">
            <v>100</v>
          </cell>
        </row>
      </sheetData>
      <sheetData sheetId="1057">
        <row r="5">
          <cell r="C5">
            <v>100</v>
          </cell>
        </row>
      </sheetData>
      <sheetData sheetId="1058">
        <row r="5">
          <cell r="C5">
            <v>100</v>
          </cell>
        </row>
      </sheetData>
      <sheetData sheetId="1059">
        <row r="5">
          <cell r="C5">
            <v>100</v>
          </cell>
        </row>
      </sheetData>
      <sheetData sheetId="1060">
        <row r="5">
          <cell r="C5">
            <v>100</v>
          </cell>
        </row>
      </sheetData>
      <sheetData sheetId="1061">
        <row r="5">
          <cell r="C5">
            <v>100</v>
          </cell>
        </row>
      </sheetData>
      <sheetData sheetId="1062">
        <row r="5">
          <cell r="C5">
            <v>100</v>
          </cell>
        </row>
      </sheetData>
      <sheetData sheetId="1063">
        <row r="5">
          <cell r="C5">
            <v>100</v>
          </cell>
        </row>
      </sheetData>
      <sheetData sheetId="1064">
        <row r="5">
          <cell r="C5">
            <v>100</v>
          </cell>
        </row>
      </sheetData>
      <sheetData sheetId="1065">
        <row r="5">
          <cell r="C5">
            <v>100</v>
          </cell>
        </row>
      </sheetData>
      <sheetData sheetId="1066">
        <row r="5">
          <cell r="C5">
            <v>100</v>
          </cell>
        </row>
      </sheetData>
      <sheetData sheetId="1067">
        <row r="5">
          <cell r="C5">
            <v>100</v>
          </cell>
        </row>
      </sheetData>
      <sheetData sheetId="1068">
        <row r="5">
          <cell r="C5">
            <v>100</v>
          </cell>
        </row>
      </sheetData>
      <sheetData sheetId="1069">
        <row r="5">
          <cell r="C5">
            <v>100</v>
          </cell>
        </row>
      </sheetData>
      <sheetData sheetId="1070">
        <row r="5">
          <cell r="C5">
            <v>100</v>
          </cell>
        </row>
      </sheetData>
      <sheetData sheetId="1071">
        <row r="5">
          <cell r="C5">
            <v>100</v>
          </cell>
        </row>
      </sheetData>
      <sheetData sheetId="1072">
        <row r="5">
          <cell r="C5">
            <v>100</v>
          </cell>
        </row>
      </sheetData>
      <sheetData sheetId="1073">
        <row r="5">
          <cell r="C5">
            <v>100</v>
          </cell>
        </row>
      </sheetData>
      <sheetData sheetId="1074">
        <row r="5">
          <cell r="C5">
            <v>100</v>
          </cell>
        </row>
      </sheetData>
      <sheetData sheetId="1075">
        <row r="5">
          <cell r="C5">
            <v>100</v>
          </cell>
        </row>
      </sheetData>
      <sheetData sheetId="1076">
        <row r="5">
          <cell r="C5">
            <v>100</v>
          </cell>
        </row>
      </sheetData>
      <sheetData sheetId="1077">
        <row r="5">
          <cell r="C5">
            <v>100</v>
          </cell>
        </row>
      </sheetData>
      <sheetData sheetId="1078">
        <row r="5">
          <cell r="C5">
            <v>100</v>
          </cell>
        </row>
      </sheetData>
      <sheetData sheetId="1079">
        <row r="5">
          <cell r="C5">
            <v>100</v>
          </cell>
        </row>
      </sheetData>
      <sheetData sheetId="1080">
        <row r="5">
          <cell r="C5">
            <v>100</v>
          </cell>
        </row>
      </sheetData>
      <sheetData sheetId="1081">
        <row r="5">
          <cell r="C5">
            <v>100</v>
          </cell>
        </row>
      </sheetData>
      <sheetData sheetId="1082">
        <row r="5">
          <cell r="C5">
            <v>100</v>
          </cell>
        </row>
      </sheetData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>
        <row r="5">
          <cell r="C5">
            <v>100</v>
          </cell>
        </row>
      </sheetData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>
        <row r="5">
          <cell r="C5">
            <v>100</v>
          </cell>
        </row>
      </sheetData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>
        <row r="5">
          <cell r="C5" t="str">
            <v>PACKAGE NO.</v>
          </cell>
        </row>
      </sheetData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>
        <row r="5">
          <cell r="C5" t="str">
            <v>PACKAGE NO.</v>
          </cell>
        </row>
      </sheetData>
      <sheetData sheetId="1216">
        <row r="5">
          <cell r="C5" t="str">
            <v>PACKAGE NO.</v>
          </cell>
        </row>
      </sheetData>
      <sheetData sheetId="1217">
        <row r="5">
          <cell r="C5" t="str">
            <v>PACKAGE NO.</v>
          </cell>
        </row>
      </sheetData>
      <sheetData sheetId="1218">
        <row r="5">
          <cell r="C5" t="str">
            <v>PACKAGE NO.</v>
          </cell>
        </row>
      </sheetData>
      <sheetData sheetId="1219">
        <row r="5">
          <cell r="C5" t="str">
            <v>PACKAGE NO.</v>
          </cell>
        </row>
      </sheetData>
      <sheetData sheetId="1220">
        <row r="5">
          <cell r="C5" t="str">
            <v>PACKAGE NO.</v>
          </cell>
        </row>
      </sheetData>
      <sheetData sheetId="1221">
        <row r="5">
          <cell r="C5" t="str">
            <v>PACKAGE NO.</v>
          </cell>
        </row>
      </sheetData>
      <sheetData sheetId="1222">
        <row r="5">
          <cell r="C5" t="str">
            <v>PACKAGE NO.</v>
          </cell>
        </row>
      </sheetData>
      <sheetData sheetId="1223">
        <row r="5">
          <cell r="C5" t="str">
            <v>PACKAGE NO.</v>
          </cell>
        </row>
      </sheetData>
      <sheetData sheetId="1224">
        <row r="5">
          <cell r="C5" t="str">
            <v>PACKAGE NO.</v>
          </cell>
        </row>
      </sheetData>
      <sheetData sheetId="1225">
        <row r="5">
          <cell r="C5" t="str">
            <v>PACKAGE NO.</v>
          </cell>
        </row>
      </sheetData>
      <sheetData sheetId="1226">
        <row r="5">
          <cell r="C5" t="str">
            <v>PACKAGE NO.</v>
          </cell>
        </row>
      </sheetData>
      <sheetData sheetId="1227">
        <row r="5">
          <cell r="C5" t="str">
            <v>PACKAGE NO.</v>
          </cell>
        </row>
      </sheetData>
      <sheetData sheetId="1228">
        <row r="5">
          <cell r="C5" t="str">
            <v>PACKAGE NO.</v>
          </cell>
        </row>
      </sheetData>
      <sheetData sheetId="1229">
        <row r="5">
          <cell r="C5" t="str">
            <v>PACKAGE NO.</v>
          </cell>
        </row>
      </sheetData>
      <sheetData sheetId="1230">
        <row r="5">
          <cell r="C5" t="str">
            <v>PACKAGE NO.</v>
          </cell>
        </row>
      </sheetData>
      <sheetData sheetId="1231">
        <row r="5">
          <cell r="C5" t="str">
            <v>PACKAGE NO.</v>
          </cell>
        </row>
      </sheetData>
      <sheetData sheetId="1232">
        <row r="5">
          <cell r="C5" t="str">
            <v>PACKAGE NO.</v>
          </cell>
        </row>
      </sheetData>
      <sheetData sheetId="1233">
        <row r="5">
          <cell r="C5" t="str">
            <v>PACKAGE NO.</v>
          </cell>
        </row>
      </sheetData>
      <sheetData sheetId="1234">
        <row r="5">
          <cell r="C5" t="str">
            <v>PACKAGE NO.</v>
          </cell>
        </row>
      </sheetData>
      <sheetData sheetId="1235">
        <row r="5">
          <cell r="C5" t="str">
            <v>PACKAGE NO.</v>
          </cell>
        </row>
      </sheetData>
      <sheetData sheetId="1236">
        <row r="5">
          <cell r="C5" t="str">
            <v>PACKAGE NO.</v>
          </cell>
        </row>
      </sheetData>
      <sheetData sheetId="1237">
        <row r="5">
          <cell r="C5" t="str">
            <v>PACKAGE NO.</v>
          </cell>
        </row>
      </sheetData>
      <sheetData sheetId="1238">
        <row r="5">
          <cell r="C5" t="str">
            <v>PACKAGE NO.</v>
          </cell>
        </row>
      </sheetData>
      <sheetData sheetId="1239">
        <row r="5">
          <cell r="C5" t="str">
            <v>PACKAGE NO.</v>
          </cell>
        </row>
      </sheetData>
      <sheetData sheetId="1240">
        <row r="5">
          <cell r="C5" t="str">
            <v>PACKAGE NO.</v>
          </cell>
        </row>
      </sheetData>
      <sheetData sheetId="1241">
        <row r="5">
          <cell r="C5" t="str">
            <v>PACKAGE NO.</v>
          </cell>
        </row>
      </sheetData>
      <sheetData sheetId="1242">
        <row r="5">
          <cell r="C5" t="str">
            <v>PACKAGE NO.</v>
          </cell>
        </row>
      </sheetData>
      <sheetData sheetId="1243">
        <row r="5">
          <cell r="C5" t="str">
            <v>PACKAGE NO.</v>
          </cell>
        </row>
      </sheetData>
      <sheetData sheetId="1244">
        <row r="5">
          <cell r="C5" t="str">
            <v>PACKAGE NO.</v>
          </cell>
        </row>
      </sheetData>
      <sheetData sheetId="1245">
        <row r="5">
          <cell r="C5" t="str">
            <v>PACKAGE NO.</v>
          </cell>
        </row>
      </sheetData>
      <sheetData sheetId="1246">
        <row r="5">
          <cell r="C5" t="str">
            <v>PACKAGE NO.</v>
          </cell>
        </row>
      </sheetData>
      <sheetData sheetId="1247">
        <row r="5">
          <cell r="C5" t="str">
            <v>PACKAGE NO.</v>
          </cell>
        </row>
      </sheetData>
      <sheetData sheetId="1248">
        <row r="5">
          <cell r="C5" t="str">
            <v>PACKAGE NO.</v>
          </cell>
        </row>
      </sheetData>
      <sheetData sheetId="1249">
        <row r="5">
          <cell r="C5" t="str">
            <v>PACKAGE NO.</v>
          </cell>
        </row>
      </sheetData>
      <sheetData sheetId="1250">
        <row r="5">
          <cell r="C5" t="str">
            <v>PACKAGE NO.</v>
          </cell>
        </row>
      </sheetData>
      <sheetData sheetId="1251">
        <row r="5">
          <cell r="C5" t="str">
            <v>PACKAGE NO.</v>
          </cell>
        </row>
      </sheetData>
      <sheetData sheetId="1252">
        <row r="5">
          <cell r="C5" t="str">
            <v>PACKAGE NO.</v>
          </cell>
        </row>
      </sheetData>
      <sheetData sheetId="1253">
        <row r="5">
          <cell r="C5" t="str">
            <v>PACKAGE NO.</v>
          </cell>
        </row>
      </sheetData>
      <sheetData sheetId="1254">
        <row r="5">
          <cell r="C5" t="str">
            <v>PACKAGE NO.</v>
          </cell>
        </row>
      </sheetData>
      <sheetData sheetId="1255">
        <row r="5">
          <cell r="C5" t="str">
            <v>PACKAGE NO.</v>
          </cell>
        </row>
      </sheetData>
      <sheetData sheetId="1256">
        <row r="5">
          <cell r="C5" t="str">
            <v>PACKAGE NO.</v>
          </cell>
        </row>
      </sheetData>
      <sheetData sheetId="1257">
        <row r="5">
          <cell r="C5" t="str">
            <v>PACKAGE NO.</v>
          </cell>
        </row>
      </sheetData>
      <sheetData sheetId="1258">
        <row r="5">
          <cell r="C5" t="str">
            <v>PACKAGE NO.</v>
          </cell>
        </row>
      </sheetData>
      <sheetData sheetId="1259">
        <row r="5">
          <cell r="C5" t="str">
            <v>PACKAGE NO.</v>
          </cell>
        </row>
      </sheetData>
      <sheetData sheetId="1260">
        <row r="5">
          <cell r="C5" t="str">
            <v>PACKAGE NO.</v>
          </cell>
        </row>
      </sheetData>
      <sheetData sheetId="1261">
        <row r="5">
          <cell r="C5" t="str">
            <v>PACKAGE NO.</v>
          </cell>
        </row>
      </sheetData>
      <sheetData sheetId="1262">
        <row r="5">
          <cell r="C5" t="str">
            <v>PACKAGE NO.</v>
          </cell>
        </row>
      </sheetData>
      <sheetData sheetId="1263">
        <row r="5">
          <cell r="C5" t="str">
            <v>PACKAGE NO.</v>
          </cell>
        </row>
      </sheetData>
      <sheetData sheetId="1264">
        <row r="5">
          <cell r="C5" t="str">
            <v>PACKAGE NO.</v>
          </cell>
        </row>
      </sheetData>
      <sheetData sheetId="1265">
        <row r="5">
          <cell r="C5" t="str">
            <v>PACKAGE NO.</v>
          </cell>
        </row>
      </sheetData>
      <sheetData sheetId="1266">
        <row r="5">
          <cell r="C5" t="str">
            <v>PACKAGE NO.</v>
          </cell>
        </row>
      </sheetData>
      <sheetData sheetId="1267">
        <row r="5">
          <cell r="C5" t="str">
            <v>PACKAGE NO.</v>
          </cell>
        </row>
      </sheetData>
      <sheetData sheetId="1268">
        <row r="5">
          <cell r="C5" t="str">
            <v>PACKAGE NO.</v>
          </cell>
        </row>
      </sheetData>
      <sheetData sheetId="1269">
        <row r="5">
          <cell r="C5" t="str">
            <v>PACKAGE NO.</v>
          </cell>
        </row>
      </sheetData>
      <sheetData sheetId="1270">
        <row r="5">
          <cell r="C5" t="str">
            <v>PACKAGE NO.</v>
          </cell>
        </row>
      </sheetData>
      <sheetData sheetId="1271">
        <row r="5">
          <cell r="C5" t="str">
            <v>PACKAGE NO.</v>
          </cell>
        </row>
      </sheetData>
      <sheetData sheetId="1272">
        <row r="5">
          <cell r="C5" t="str">
            <v>PACKAGE NO.</v>
          </cell>
        </row>
      </sheetData>
      <sheetData sheetId="1273">
        <row r="5">
          <cell r="C5" t="str">
            <v>PACKAGE NO.</v>
          </cell>
        </row>
      </sheetData>
      <sheetData sheetId="1274">
        <row r="5">
          <cell r="C5" t="str">
            <v>PACKAGE NO.</v>
          </cell>
        </row>
      </sheetData>
      <sheetData sheetId="1275">
        <row r="5">
          <cell r="C5" t="str">
            <v>PACKAGE NO.</v>
          </cell>
        </row>
      </sheetData>
      <sheetData sheetId="1276">
        <row r="5">
          <cell r="C5" t="str">
            <v>PACKAGE NO.</v>
          </cell>
        </row>
      </sheetData>
      <sheetData sheetId="1277">
        <row r="5">
          <cell r="C5" t="str">
            <v>PACKAGE NO.</v>
          </cell>
        </row>
      </sheetData>
      <sheetData sheetId="1278">
        <row r="5">
          <cell r="C5" t="str">
            <v>PACKAGE NO.</v>
          </cell>
        </row>
      </sheetData>
      <sheetData sheetId="1279">
        <row r="5">
          <cell r="C5" t="str">
            <v>PACKAGE NO.</v>
          </cell>
        </row>
      </sheetData>
      <sheetData sheetId="1280">
        <row r="5">
          <cell r="C5" t="str">
            <v>PACKAGE NO.</v>
          </cell>
        </row>
      </sheetData>
      <sheetData sheetId="1281">
        <row r="5">
          <cell r="C5" t="str">
            <v>PACKAGE NO.</v>
          </cell>
        </row>
      </sheetData>
      <sheetData sheetId="1282">
        <row r="5">
          <cell r="C5" t="str">
            <v>PACKAGE NO.</v>
          </cell>
        </row>
      </sheetData>
      <sheetData sheetId="1283">
        <row r="5">
          <cell r="C5" t="str">
            <v>PACKAGE NO.</v>
          </cell>
        </row>
      </sheetData>
      <sheetData sheetId="1284">
        <row r="5">
          <cell r="C5" t="str">
            <v>PACKAGE NO.</v>
          </cell>
        </row>
      </sheetData>
      <sheetData sheetId="1285">
        <row r="5">
          <cell r="C5" t="str">
            <v>PACKAGE NO.</v>
          </cell>
        </row>
      </sheetData>
      <sheetData sheetId="1286">
        <row r="5">
          <cell r="C5" t="str">
            <v>PACKAGE NO.</v>
          </cell>
        </row>
      </sheetData>
      <sheetData sheetId="1287">
        <row r="5">
          <cell r="C5" t="str">
            <v>PACKAGE NO.</v>
          </cell>
        </row>
      </sheetData>
      <sheetData sheetId="1288">
        <row r="5">
          <cell r="C5" t="str">
            <v>PACKAGE NO.</v>
          </cell>
        </row>
      </sheetData>
      <sheetData sheetId="1289">
        <row r="5">
          <cell r="C5" t="str">
            <v>PACKAGE NO.</v>
          </cell>
        </row>
      </sheetData>
      <sheetData sheetId="1290">
        <row r="5">
          <cell r="C5" t="str">
            <v>PACKAGE NO.</v>
          </cell>
        </row>
      </sheetData>
      <sheetData sheetId="1291">
        <row r="5">
          <cell r="C5" t="str">
            <v>PACKAGE NO.</v>
          </cell>
        </row>
      </sheetData>
      <sheetData sheetId="1292">
        <row r="5">
          <cell r="C5" t="str">
            <v>PACKAGE NO.</v>
          </cell>
        </row>
      </sheetData>
      <sheetData sheetId="1293">
        <row r="5">
          <cell r="C5" t="str">
            <v>PACKAGE NO.</v>
          </cell>
        </row>
      </sheetData>
      <sheetData sheetId="1294">
        <row r="5">
          <cell r="C5" t="str">
            <v>PACKAGE NO.</v>
          </cell>
        </row>
      </sheetData>
      <sheetData sheetId="1295">
        <row r="5">
          <cell r="C5" t="str">
            <v>PACKAGE NO.</v>
          </cell>
        </row>
      </sheetData>
      <sheetData sheetId="1296">
        <row r="5">
          <cell r="C5" t="str">
            <v>PACKAGE NO.</v>
          </cell>
        </row>
      </sheetData>
      <sheetData sheetId="1297">
        <row r="5">
          <cell r="C5" t="str">
            <v>PACKAGE NO.</v>
          </cell>
        </row>
      </sheetData>
      <sheetData sheetId="1298">
        <row r="5">
          <cell r="C5" t="str">
            <v>PACKAGE NO.</v>
          </cell>
        </row>
      </sheetData>
      <sheetData sheetId="1299">
        <row r="5">
          <cell r="C5" t="str">
            <v>PACKAGE NO.</v>
          </cell>
        </row>
      </sheetData>
      <sheetData sheetId="1300">
        <row r="5">
          <cell r="C5" t="str">
            <v>PACKAGE NO.</v>
          </cell>
        </row>
      </sheetData>
      <sheetData sheetId="1301">
        <row r="5">
          <cell r="C5" t="str">
            <v>PACKAGE NO.</v>
          </cell>
        </row>
      </sheetData>
      <sheetData sheetId="1302">
        <row r="5">
          <cell r="C5" t="str">
            <v>PACKAGE NO.</v>
          </cell>
        </row>
      </sheetData>
      <sheetData sheetId="1303">
        <row r="5">
          <cell r="C5" t="str">
            <v>PACKAGE NO.</v>
          </cell>
        </row>
      </sheetData>
      <sheetData sheetId="1304">
        <row r="5">
          <cell r="C5" t="str">
            <v>PACKAGE NO.</v>
          </cell>
        </row>
      </sheetData>
      <sheetData sheetId="1305">
        <row r="5">
          <cell r="C5" t="str">
            <v>PACKAGE NO.</v>
          </cell>
        </row>
      </sheetData>
      <sheetData sheetId="1306">
        <row r="5">
          <cell r="C5" t="str">
            <v>PACKAGE NO.</v>
          </cell>
        </row>
      </sheetData>
      <sheetData sheetId="1307">
        <row r="5">
          <cell r="C5" t="str">
            <v>PACKAGE NO.</v>
          </cell>
        </row>
      </sheetData>
      <sheetData sheetId="1308">
        <row r="5">
          <cell r="C5" t="str">
            <v>PACKAGE NO.</v>
          </cell>
        </row>
      </sheetData>
      <sheetData sheetId="1309">
        <row r="5">
          <cell r="C5" t="str">
            <v>PACKAGE NO.</v>
          </cell>
        </row>
      </sheetData>
      <sheetData sheetId="1310">
        <row r="5">
          <cell r="C5" t="str">
            <v>PACKAGE NO.</v>
          </cell>
        </row>
      </sheetData>
      <sheetData sheetId="1311">
        <row r="5">
          <cell r="C5" t="str">
            <v>PACKAGE NO.</v>
          </cell>
        </row>
      </sheetData>
      <sheetData sheetId="1312">
        <row r="5">
          <cell r="C5" t="str">
            <v>PACKAGE NO.</v>
          </cell>
        </row>
      </sheetData>
      <sheetData sheetId="1313">
        <row r="5">
          <cell r="C5" t="str">
            <v>PACKAGE NO.</v>
          </cell>
        </row>
      </sheetData>
      <sheetData sheetId="1314">
        <row r="5">
          <cell r="C5" t="str">
            <v>PACKAGE NO.</v>
          </cell>
        </row>
      </sheetData>
      <sheetData sheetId="1315">
        <row r="5">
          <cell r="C5" t="str">
            <v>PACKAGE NO.</v>
          </cell>
        </row>
      </sheetData>
      <sheetData sheetId="1316">
        <row r="5">
          <cell r="C5" t="str">
            <v>PACKAGE NO.</v>
          </cell>
        </row>
      </sheetData>
      <sheetData sheetId="1317">
        <row r="5">
          <cell r="C5" t="str">
            <v>PACKAGE NO.</v>
          </cell>
        </row>
      </sheetData>
      <sheetData sheetId="1318">
        <row r="5">
          <cell r="C5" t="str">
            <v>PACKAGE NO.</v>
          </cell>
        </row>
      </sheetData>
      <sheetData sheetId="1319">
        <row r="5">
          <cell r="C5" t="str">
            <v>PACKAGE NO.</v>
          </cell>
        </row>
      </sheetData>
      <sheetData sheetId="1320">
        <row r="5">
          <cell r="C5" t="str">
            <v>PACKAGE NO.</v>
          </cell>
        </row>
      </sheetData>
      <sheetData sheetId="1321">
        <row r="5">
          <cell r="C5" t="str">
            <v>PACKAGE NO.</v>
          </cell>
        </row>
      </sheetData>
      <sheetData sheetId="1322">
        <row r="5">
          <cell r="C5" t="str">
            <v>PACKAGE NO.</v>
          </cell>
        </row>
      </sheetData>
      <sheetData sheetId="1323">
        <row r="5">
          <cell r="C5" t="str">
            <v>PACKAGE NO.</v>
          </cell>
        </row>
      </sheetData>
      <sheetData sheetId="1324">
        <row r="5">
          <cell r="C5" t="str">
            <v>PACKAGE NO.</v>
          </cell>
        </row>
      </sheetData>
      <sheetData sheetId="1325">
        <row r="5">
          <cell r="C5" t="str">
            <v>PACKAGE NO.</v>
          </cell>
        </row>
      </sheetData>
      <sheetData sheetId="1326">
        <row r="5">
          <cell r="C5" t="str">
            <v>PACKAGE NO.</v>
          </cell>
        </row>
      </sheetData>
      <sheetData sheetId="1327">
        <row r="5">
          <cell r="C5" t="str">
            <v>PACKAGE NO.</v>
          </cell>
        </row>
      </sheetData>
      <sheetData sheetId="1328">
        <row r="5">
          <cell r="C5" t="str">
            <v>PACKAGE NO.</v>
          </cell>
        </row>
      </sheetData>
      <sheetData sheetId="1329">
        <row r="5">
          <cell r="C5" t="str">
            <v>PACKAGE NO.</v>
          </cell>
        </row>
      </sheetData>
      <sheetData sheetId="1330">
        <row r="5">
          <cell r="C5" t="str">
            <v>PACKAGE NO.</v>
          </cell>
        </row>
      </sheetData>
      <sheetData sheetId="1331">
        <row r="5">
          <cell r="C5" t="str">
            <v>PACKAGE NO.</v>
          </cell>
        </row>
      </sheetData>
      <sheetData sheetId="1332">
        <row r="5">
          <cell r="C5" t="str">
            <v>PACKAGE NO.</v>
          </cell>
        </row>
      </sheetData>
      <sheetData sheetId="1333">
        <row r="5">
          <cell r="C5" t="str">
            <v>PACKAGE NO.</v>
          </cell>
        </row>
      </sheetData>
      <sheetData sheetId="1334">
        <row r="5">
          <cell r="C5" t="str">
            <v>PACKAGE NO.</v>
          </cell>
        </row>
      </sheetData>
      <sheetData sheetId="1335">
        <row r="5">
          <cell r="C5" t="str">
            <v>PACKAGE NO.</v>
          </cell>
        </row>
      </sheetData>
      <sheetData sheetId="1336">
        <row r="5">
          <cell r="C5" t="str">
            <v>PACKAGE NO.</v>
          </cell>
        </row>
      </sheetData>
      <sheetData sheetId="1337">
        <row r="5">
          <cell r="C5" t="str">
            <v>PACKAGE NO.</v>
          </cell>
        </row>
      </sheetData>
      <sheetData sheetId="1338">
        <row r="5">
          <cell r="C5" t="str">
            <v>PACKAGE NO.</v>
          </cell>
        </row>
      </sheetData>
      <sheetData sheetId="1339">
        <row r="5">
          <cell r="C5" t="str">
            <v>PACKAGE NO.</v>
          </cell>
        </row>
      </sheetData>
      <sheetData sheetId="1340">
        <row r="5">
          <cell r="C5" t="str">
            <v>PACKAGE NO.</v>
          </cell>
        </row>
      </sheetData>
      <sheetData sheetId="1341">
        <row r="5">
          <cell r="C5" t="str">
            <v>PACKAGE NO.</v>
          </cell>
        </row>
      </sheetData>
      <sheetData sheetId="1342">
        <row r="5">
          <cell r="C5" t="str">
            <v>PACKAGE NO.</v>
          </cell>
        </row>
      </sheetData>
      <sheetData sheetId="1343">
        <row r="5">
          <cell r="C5" t="str">
            <v>PACKAGE NO.</v>
          </cell>
        </row>
      </sheetData>
      <sheetData sheetId="1344">
        <row r="5">
          <cell r="C5" t="str">
            <v>PACKAGE NO.</v>
          </cell>
        </row>
      </sheetData>
      <sheetData sheetId="1345">
        <row r="5">
          <cell r="C5" t="str">
            <v>PACKAGE NO.</v>
          </cell>
        </row>
      </sheetData>
      <sheetData sheetId="1346">
        <row r="5">
          <cell r="C5" t="str">
            <v>PACKAGE NO.</v>
          </cell>
        </row>
      </sheetData>
      <sheetData sheetId="1347">
        <row r="5">
          <cell r="C5" t="str">
            <v>PACKAGE NO.</v>
          </cell>
        </row>
      </sheetData>
      <sheetData sheetId="1348">
        <row r="5">
          <cell r="C5" t="str">
            <v>PACKAGE NO.</v>
          </cell>
        </row>
      </sheetData>
      <sheetData sheetId="1349">
        <row r="5">
          <cell r="C5" t="str">
            <v>PACKAGE NO.</v>
          </cell>
        </row>
      </sheetData>
      <sheetData sheetId="1350">
        <row r="5">
          <cell r="C5" t="str">
            <v>PACKAGE NO.</v>
          </cell>
        </row>
      </sheetData>
      <sheetData sheetId="1351">
        <row r="5">
          <cell r="C5" t="str">
            <v>PACKAGE NO.</v>
          </cell>
        </row>
      </sheetData>
      <sheetData sheetId="1352">
        <row r="5">
          <cell r="C5" t="str">
            <v>PACKAGE NO.</v>
          </cell>
        </row>
      </sheetData>
      <sheetData sheetId="1353">
        <row r="5">
          <cell r="C5" t="str">
            <v>PACKAGE NO.</v>
          </cell>
        </row>
      </sheetData>
      <sheetData sheetId="1354">
        <row r="5">
          <cell r="C5" t="str">
            <v>PACKAGE NO.</v>
          </cell>
        </row>
      </sheetData>
      <sheetData sheetId="1355">
        <row r="5">
          <cell r="C5" t="str">
            <v>PACKAGE NO.</v>
          </cell>
        </row>
      </sheetData>
      <sheetData sheetId="1356">
        <row r="5">
          <cell r="C5" t="str">
            <v>PACKAGE NO.</v>
          </cell>
        </row>
      </sheetData>
      <sheetData sheetId="1357">
        <row r="5">
          <cell r="C5" t="str">
            <v>PACKAGE NO.</v>
          </cell>
        </row>
      </sheetData>
      <sheetData sheetId="1358">
        <row r="5">
          <cell r="C5" t="str">
            <v>PACKAGE NO.</v>
          </cell>
        </row>
      </sheetData>
      <sheetData sheetId="1359">
        <row r="5">
          <cell r="C5" t="str">
            <v>PACKAGE NO.</v>
          </cell>
        </row>
      </sheetData>
      <sheetData sheetId="1360">
        <row r="5">
          <cell r="C5" t="str">
            <v>PACKAGE NO.</v>
          </cell>
        </row>
      </sheetData>
      <sheetData sheetId="1361">
        <row r="5">
          <cell r="C5" t="str">
            <v>PACKAGE NO.</v>
          </cell>
        </row>
      </sheetData>
      <sheetData sheetId="1362">
        <row r="5">
          <cell r="C5" t="str">
            <v>PACKAGE NO.</v>
          </cell>
        </row>
      </sheetData>
      <sheetData sheetId="1363">
        <row r="5">
          <cell r="C5" t="str">
            <v>PACKAGE NO.</v>
          </cell>
        </row>
      </sheetData>
      <sheetData sheetId="1364">
        <row r="5">
          <cell r="C5" t="str">
            <v>PACKAGE NO.</v>
          </cell>
        </row>
      </sheetData>
      <sheetData sheetId="1365">
        <row r="5">
          <cell r="C5" t="str">
            <v>PACKAGE NO.</v>
          </cell>
        </row>
      </sheetData>
      <sheetData sheetId="1366">
        <row r="5">
          <cell r="C5" t="str">
            <v>PACKAGE NO.</v>
          </cell>
        </row>
      </sheetData>
      <sheetData sheetId="1367">
        <row r="5">
          <cell r="C5" t="str">
            <v>PACKAGE NO.</v>
          </cell>
        </row>
      </sheetData>
      <sheetData sheetId="1368">
        <row r="5">
          <cell r="C5" t="str">
            <v>PACKAGE NO.</v>
          </cell>
        </row>
      </sheetData>
      <sheetData sheetId="1369">
        <row r="5">
          <cell r="C5" t="str">
            <v>PACKAGE NO.</v>
          </cell>
        </row>
      </sheetData>
      <sheetData sheetId="1370">
        <row r="5">
          <cell r="C5" t="str">
            <v>PACKAGE NO.</v>
          </cell>
        </row>
      </sheetData>
      <sheetData sheetId="1371">
        <row r="5">
          <cell r="C5" t="str">
            <v>PACKAGE NO.</v>
          </cell>
        </row>
      </sheetData>
      <sheetData sheetId="1372">
        <row r="5">
          <cell r="C5" t="str">
            <v>PACKAGE NO.</v>
          </cell>
        </row>
      </sheetData>
      <sheetData sheetId="1373">
        <row r="5">
          <cell r="C5" t="str">
            <v>PACKAGE NO.</v>
          </cell>
        </row>
      </sheetData>
      <sheetData sheetId="1374">
        <row r="5">
          <cell r="C5" t="str">
            <v>PACKAGE NO.</v>
          </cell>
        </row>
      </sheetData>
      <sheetData sheetId="1375">
        <row r="5">
          <cell r="C5" t="str">
            <v>PACKAGE NO.</v>
          </cell>
        </row>
      </sheetData>
      <sheetData sheetId="1376">
        <row r="5">
          <cell r="C5" t="str">
            <v>PACKAGE NO.</v>
          </cell>
        </row>
      </sheetData>
      <sheetData sheetId="1377">
        <row r="5">
          <cell r="C5" t="str">
            <v>PACKAGE NO.</v>
          </cell>
        </row>
      </sheetData>
      <sheetData sheetId="1378">
        <row r="5">
          <cell r="C5" t="str">
            <v>PACKAGE NO.</v>
          </cell>
        </row>
      </sheetData>
      <sheetData sheetId="1379">
        <row r="5">
          <cell r="C5" t="str">
            <v>PACKAGE NO.</v>
          </cell>
        </row>
      </sheetData>
      <sheetData sheetId="1380">
        <row r="5">
          <cell r="C5" t="str">
            <v>PACKAGE NO.</v>
          </cell>
        </row>
      </sheetData>
      <sheetData sheetId="1381">
        <row r="5">
          <cell r="C5" t="str">
            <v>PACKAGE NO.</v>
          </cell>
        </row>
      </sheetData>
      <sheetData sheetId="1382">
        <row r="5">
          <cell r="C5" t="str">
            <v>PACKAGE NO.</v>
          </cell>
        </row>
      </sheetData>
      <sheetData sheetId="1383">
        <row r="5">
          <cell r="C5" t="str">
            <v>PACKAGE NO.</v>
          </cell>
        </row>
      </sheetData>
      <sheetData sheetId="1384">
        <row r="5">
          <cell r="C5" t="str">
            <v>PACKAGE NO.</v>
          </cell>
        </row>
      </sheetData>
      <sheetData sheetId="1385">
        <row r="5">
          <cell r="C5" t="str">
            <v>PACKAGE NO.</v>
          </cell>
        </row>
      </sheetData>
      <sheetData sheetId="1386">
        <row r="5">
          <cell r="C5" t="str">
            <v>PACKAGE NO.</v>
          </cell>
        </row>
      </sheetData>
      <sheetData sheetId="1387">
        <row r="5">
          <cell r="C5" t="str">
            <v>PACKAGE NO.</v>
          </cell>
        </row>
      </sheetData>
      <sheetData sheetId="1388">
        <row r="5">
          <cell r="C5" t="str">
            <v>PACKAGE NO.</v>
          </cell>
        </row>
      </sheetData>
      <sheetData sheetId="1389">
        <row r="5">
          <cell r="C5" t="str">
            <v>PACKAGE NO.</v>
          </cell>
        </row>
      </sheetData>
      <sheetData sheetId="1390">
        <row r="5">
          <cell r="C5" t="str">
            <v>PACKAGE NO.</v>
          </cell>
        </row>
      </sheetData>
      <sheetData sheetId="1391">
        <row r="5">
          <cell r="C5" t="str">
            <v>PACKAGE NO.</v>
          </cell>
        </row>
      </sheetData>
      <sheetData sheetId="1392">
        <row r="5">
          <cell r="C5" t="str">
            <v>PACKAGE NO.</v>
          </cell>
        </row>
      </sheetData>
      <sheetData sheetId="1393">
        <row r="5">
          <cell r="C5" t="str">
            <v>PACKAGE NO.</v>
          </cell>
        </row>
      </sheetData>
      <sheetData sheetId="1394">
        <row r="5">
          <cell r="C5" t="str">
            <v>PACKAGE NO.</v>
          </cell>
        </row>
      </sheetData>
      <sheetData sheetId="1395">
        <row r="5">
          <cell r="C5" t="str">
            <v>PACKAGE NO.</v>
          </cell>
        </row>
      </sheetData>
      <sheetData sheetId="1396">
        <row r="5">
          <cell r="C5" t="str">
            <v>PACKAGE NO.</v>
          </cell>
        </row>
      </sheetData>
      <sheetData sheetId="1397">
        <row r="5">
          <cell r="C5" t="str">
            <v>PACKAGE NO.</v>
          </cell>
        </row>
      </sheetData>
      <sheetData sheetId="1398">
        <row r="5">
          <cell r="C5" t="str">
            <v>PACKAGE NO.</v>
          </cell>
        </row>
      </sheetData>
      <sheetData sheetId="1399">
        <row r="5">
          <cell r="C5" t="str">
            <v>PACKAGE NO.</v>
          </cell>
        </row>
      </sheetData>
      <sheetData sheetId="1400">
        <row r="5">
          <cell r="C5" t="str">
            <v>PACKAGE NO.</v>
          </cell>
        </row>
      </sheetData>
      <sheetData sheetId="1401">
        <row r="5">
          <cell r="C5" t="str">
            <v>PACKAGE NO.</v>
          </cell>
        </row>
      </sheetData>
      <sheetData sheetId="1402">
        <row r="5">
          <cell r="C5" t="str">
            <v>PACKAGE NO.</v>
          </cell>
        </row>
      </sheetData>
      <sheetData sheetId="1403">
        <row r="5">
          <cell r="C5" t="str">
            <v>PACKAGE NO.</v>
          </cell>
        </row>
      </sheetData>
      <sheetData sheetId="1404">
        <row r="5">
          <cell r="C5" t="str">
            <v>PACKAGE NO.</v>
          </cell>
        </row>
      </sheetData>
      <sheetData sheetId="1405">
        <row r="5">
          <cell r="C5" t="str">
            <v>PACKAGE NO.</v>
          </cell>
        </row>
      </sheetData>
      <sheetData sheetId="1406">
        <row r="5">
          <cell r="C5" t="str">
            <v>PACKAGE NO.</v>
          </cell>
        </row>
      </sheetData>
      <sheetData sheetId="1407">
        <row r="5">
          <cell r="C5" t="str">
            <v>PACKAGE NO.</v>
          </cell>
        </row>
      </sheetData>
      <sheetData sheetId="1408">
        <row r="5">
          <cell r="C5" t="str">
            <v>PACKAGE NO.</v>
          </cell>
        </row>
      </sheetData>
      <sheetData sheetId="1409">
        <row r="5">
          <cell r="C5" t="str">
            <v>PACKAGE NO.</v>
          </cell>
        </row>
      </sheetData>
      <sheetData sheetId="1410">
        <row r="5">
          <cell r="C5" t="str">
            <v>PACKAGE NO.</v>
          </cell>
        </row>
      </sheetData>
      <sheetData sheetId="1411">
        <row r="5">
          <cell r="C5" t="str">
            <v>PACKAGE NO.</v>
          </cell>
        </row>
      </sheetData>
      <sheetData sheetId="1412">
        <row r="5">
          <cell r="C5" t="str">
            <v>PACKAGE NO.</v>
          </cell>
        </row>
      </sheetData>
      <sheetData sheetId="1413">
        <row r="5">
          <cell r="C5" t="str">
            <v>PACKAGE NO.</v>
          </cell>
        </row>
      </sheetData>
      <sheetData sheetId="1414">
        <row r="5">
          <cell r="C5" t="str">
            <v>PACKAGE NO.</v>
          </cell>
        </row>
      </sheetData>
      <sheetData sheetId="1415">
        <row r="5">
          <cell r="C5" t="str">
            <v>PACKAGE NO.</v>
          </cell>
        </row>
      </sheetData>
      <sheetData sheetId="1416">
        <row r="5">
          <cell r="C5" t="str">
            <v>PACKAGE NO.</v>
          </cell>
        </row>
      </sheetData>
      <sheetData sheetId="1417">
        <row r="5">
          <cell r="C5" t="str">
            <v>PACKAGE NO.</v>
          </cell>
        </row>
      </sheetData>
      <sheetData sheetId="1418">
        <row r="5">
          <cell r="C5" t="str">
            <v>PACKAGE NO.</v>
          </cell>
        </row>
      </sheetData>
      <sheetData sheetId="1419">
        <row r="5">
          <cell r="C5" t="str">
            <v>PACKAGE NO.</v>
          </cell>
        </row>
      </sheetData>
      <sheetData sheetId="1420">
        <row r="5">
          <cell r="C5" t="str">
            <v>PACKAGE NO.</v>
          </cell>
        </row>
      </sheetData>
      <sheetData sheetId="1421">
        <row r="5">
          <cell r="C5" t="str">
            <v>PACKAGE NO.</v>
          </cell>
        </row>
      </sheetData>
      <sheetData sheetId="1422">
        <row r="5">
          <cell r="C5" t="str">
            <v>PACKAGE NO.</v>
          </cell>
        </row>
      </sheetData>
      <sheetData sheetId="1423">
        <row r="5">
          <cell r="C5" t="str">
            <v>PACKAGE NO.</v>
          </cell>
        </row>
      </sheetData>
      <sheetData sheetId="1424">
        <row r="5">
          <cell r="C5" t="str">
            <v>PACKAGE NO.</v>
          </cell>
        </row>
      </sheetData>
      <sheetData sheetId="1425">
        <row r="5">
          <cell r="C5" t="str">
            <v>PACKAGE NO.</v>
          </cell>
        </row>
      </sheetData>
      <sheetData sheetId="1426">
        <row r="5">
          <cell r="C5" t="str">
            <v>PACKAGE NO.</v>
          </cell>
        </row>
      </sheetData>
      <sheetData sheetId="1427">
        <row r="5">
          <cell r="C5" t="str">
            <v>PACKAGE NO.</v>
          </cell>
        </row>
      </sheetData>
      <sheetData sheetId="1428">
        <row r="5">
          <cell r="C5" t="str">
            <v>PACKAGE NO.</v>
          </cell>
        </row>
      </sheetData>
      <sheetData sheetId="1429">
        <row r="5">
          <cell r="C5" t="str">
            <v>PACKAGE NO.</v>
          </cell>
        </row>
      </sheetData>
      <sheetData sheetId="1430">
        <row r="5">
          <cell r="C5" t="str">
            <v>PACKAGE NO.</v>
          </cell>
        </row>
      </sheetData>
      <sheetData sheetId="1431">
        <row r="5">
          <cell r="C5" t="str">
            <v>PACKAGE NO.</v>
          </cell>
        </row>
      </sheetData>
      <sheetData sheetId="1432">
        <row r="5">
          <cell r="C5" t="str">
            <v>PACKAGE NO.</v>
          </cell>
        </row>
      </sheetData>
      <sheetData sheetId="1433">
        <row r="5">
          <cell r="C5" t="str">
            <v>PACKAGE NO.</v>
          </cell>
        </row>
      </sheetData>
      <sheetData sheetId="1434">
        <row r="5">
          <cell r="C5" t="str">
            <v>PACKAGE NO.</v>
          </cell>
        </row>
      </sheetData>
      <sheetData sheetId="1435">
        <row r="5">
          <cell r="C5" t="str">
            <v>PACKAGE NO.</v>
          </cell>
        </row>
      </sheetData>
      <sheetData sheetId="1436">
        <row r="5">
          <cell r="C5" t="str">
            <v>PACKAGE NO.</v>
          </cell>
        </row>
      </sheetData>
      <sheetData sheetId="1437">
        <row r="5">
          <cell r="C5" t="str">
            <v>PACKAGE NO.</v>
          </cell>
        </row>
      </sheetData>
      <sheetData sheetId="1438">
        <row r="5">
          <cell r="C5" t="str">
            <v>PACKAGE NO.</v>
          </cell>
        </row>
      </sheetData>
      <sheetData sheetId="1439">
        <row r="5">
          <cell r="C5" t="str">
            <v>PACKAGE NO.</v>
          </cell>
        </row>
      </sheetData>
      <sheetData sheetId="1440">
        <row r="5">
          <cell r="C5" t="str">
            <v>PACKAGE NO.</v>
          </cell>
        </row>
      </sheetData>
      <sheetData sheetId="1441">
        <row r="5">
          <cell r="C5" t="str">
            <v>PACKAGE NO.</v>
          </cell>
        </row>
      </sheetData>
      <sheetData sheetId="1442">
        <row r="5">
          <cell r="C5" t="str">
            <v>PACKAGE NO.</v>
          </cell>
        </row>
      </sheetData>
      <sheetData sheetId="1443">
        <row r="5">
          <cell r="C5" t="str">
            <v>PACKAGE NO.</v>
          </cell>
        </row>
      </sheetData>
      <sheetData sheetId="1444">
        <row r="5">
          <cell r="C5" t="str">
            <v>PACKAGE NO.</v>
          </cell>
        </row>
      </sheetData>
      <sheetData sheetId="1445">
        <row r="5">
          <cell r="C5" t="str">
            <v>PACKAGE NO.</v>
          </cell>
        </row>
      </sheetData>
      <sheetData sheetId="1446">
        <row r="5">
          <cell r="C5" t="str">
            <v>PACKAGE NO.</v>
          </cell>
        </row>
      </sheetData>
      <sheetData sheetId="1447">
        <row r="5">
          <cell r="C5" t="str">
            <v>PACKAGE NO.</v>
          </cell>
        </row>
      </sheetData>
      <sheetData sheetId="1448">
        <row r="5">
          <cell r="C5" t="str">
            <v>PACKAGE NO.</v>
          </cell>
        </row>
      </sheetData>
      <sheetData sheetId="1449">
        <row r="5">
          <cell r="C5" t="str">
            <v>PACKAGE NO.</v>
          </cell>
        </row>
      </sheetData>
      <sheetData sheetId="1450">
        <row r="5">
          <cell r="C5" t="str">
            <v>PACKAGE NO.</v>
          </cell>
        </row>
      </sheetData>
      <sheetData sheetId="1451">
        <row r="5">
          <cell r="C5" t="str">
            <v>PACKAGE NO.</v>
          </cell>
        </row>
      </sheetData>
      <sheetData sheetId="1452">
        <row r="5">
          <cell r="C5" t="str">
            <v>PACKAGE NO.</v>
          </cell>
        </row>
      </sheetData>
      <sheetData sheetId="1453">
        <row r="5">
          <cell r="C5" t="str">
            <v>PACKAGE NO.</v>
          </cell>
        </row>
      </sheetData>
      <sheetData sheetId="1454">
        <row r="5">
          <cell r="C5" t="str">
            <v>PACKAGE NO.</v>
          </cell>
        </row>
      </sheetData>
      <sheetData sheetId="1455">
        <row r="5">
          <cell r="C5" t="str">
            <v>PACKAGE NO.</v>
          </cell>
        </row>
      </sheetData>
      <sheetData sheetId="1456">
        <row r="5">
          <cell r="C5" t="str">
            <v>PACKAGE NO.</v>
          </cell>
        </row>
      </sheetData>
      <sheetData sheetId="1457">
        <row r="5">
          <cell r="C5" t="str">
            <v>PACKAGE NO.</v>
          </cell>
        </row>
      </sheetData>
      <sheetData sheetId="1458">
        <row r="5">
          <cell r="C5" t="str">
            <v>PACKAGE NO.</v>
          </cell>
        </row>
      </sheetData>
      <sheetData sheetId="1459">
        <row r="5">
          <cell r="C5" t="str">
            <v>PACKAGE NO.</v>
          </cell>
        </row>
      </sheetData>
      <sheetData sheetId="1460">
        <row r="5">
          <cell r="C5" t="str">
            <v>PACKAGE NO.</v>
          </cell>
        </row>
      </sheetData>
      <sheetData sheetId="1461">
        <row r="5">
          <cell r="C5" t="str">
            <v>PACKAGE NO.</v>
          </cell>
        </row>
      </sheetData>
      <sheetData sheetId="1462">
        <row r="5">
          <cell r="C5" t="str">
            <v>PACKAGE NO.</v>
          </cell>
        </row>
      </sheetData>
      <sheetData sheetId="1463">
        <row r="5">
          <cell r="C5" t="str">
            <v>PACKAGE NO.</v>
          </cell>
        </row>
      </sheetData>
      <sheetData sheetId="1464">
        <row r="5">
          <cell r="C5" t="str">
            <v>PACKAGE NO.</v>
          </cell>
        </row>
      </sheetData>
      <sheetData sheetId="1465">
        <row r="5">
          <cell r="C5" t="str">
            <v>PACKAGE NO.</v>
          </cell>
        </row>
      </sheetData>
      <sheetData sheetId="1466">
        <row r="5">
          <cell r="C5" t="str">
            <v>PACKAGE NO.</v>
          </cell>
        </row>
      </sheetData>
      <sheetData sheetId="1467">
        <row r="5">
          <cell r="C5" t="str">
            <v>PACKAGE NO.</v>
          </cell>
        </row>
      </sheetData>
      <sheetData sheetId="1468">
        <row r="5">
          <cell r="C5" t="str">
            <v>PACKAGE NO.</v>
          </cell>
        </row>
      </sheetData>
      <sheetData sheetId="1469">
        <row r="5">
          <cell r="C5" t="str">
            <v>PACKAGE NO.</v>
          </cell>
        </row>
      </sheetData>
      <sheetData sheetId="1470">
        <row r="5">
          <cell r="C5" t="str">
            <v>PACKAGE NO.</v>
          </cell>
        </row>
      </sheetData>
      <sheetData sheetId="1471">
        <row r="5">
          <cell r="C5" t="str">
            <v>PACKAGE NO.</v>
          </cell>
        </row>
      </sheetData>
      <sheetData sheetId="1472">
        <row r="5">
          <cell r="C5" t="str">
            <v>PACKAGE NO.</v>
          </cell>
        </row>
      </sheetData>
      <sheetData sheetId="1473">
        <row r="5">
          <cell r="C5" t="str">
            <v>PACKAGE NO.</v>
          </cell>
        </row>
      </sheetData>
      <sheetData sheetId="1474">
        <row r="5">
          <cell r="C5" t="str">
            <v>PACKAGE NO.</v>
          </cell>
        </row>
      </sheetData>
      <sheetData sheetId="1475">
        <row r="5">
          <cell r="C5" t="str">
            <v>PACKAGE NO.</v>
          </cell>
        </row>
      </sheetData>
      <sheetData sheetId="1476">
        <row r="5">
          <cell r="C5" t="str">
            <v>PACKAGE NO.</v>
          </cell>
        </row>
      </sheetData>
      <sheetData sheetId="1477">
        <row r="5">
          <cell r="C5" t="str">
            <v>PACKAGE NO.</v>
          </cell>
        </row>
      </sheetData>
      <sheetData sheetId="1478">
        <row r="5">
          <cell r="C5" t="str">
            <v>PACKAGE NO.</v>
          </cell>
        </row>
      </sheetData>
      <sheetData sheetId="1479">
        <row r="5">
          <cell r="C5" t="str">
            <v>PACKAGE NO.</v>
          </cell>
        </row>
      </sheetData>
      <sheetData sheetId="1480">
        <row r="5">
          <cell r="C5" t="str">
            <v>PACKAGE NO.</v>
          </cell>
        </row>
      </sheetData>
      <sheetData sheetId="1481">
        <row r="5">
          <cell r="C5" t="str">
            <v>PACKAGE NO.</v>
          </cell>
        </row>
      </sheetData>
      <sheetData sheetId="1482">
        <row r="5">
          <cell r="C5" t="str">
            <v>PACKAGE NO.</v>
          </cell>
        </row>
      </sheetData>
      <sheetData sheetId="1483">
        <row r="5">
          <cell r="C5" t="str">
            <v>PACKAGE NO.</v>
          </cell>
        </row>
      </sheetData>
      <sheetData sheetId="1484">
        <row r="5">
          <cell r="C5" t="str">
            <v>PACKAGE NO.</v>
          </cell>
        </row>
      </sheetData>
      <sheetData sheetId="1485">
        <row r="5">
          <cell r="C5" t="str">
            <v>PACKAGE NO.</v>
          </cell>
        </row>
      </sheetData>
      <sheetData sheetId="1486">
        <row r="5">
          <cell r="C5" t="str">
            <v>PACKAGE NO.</v>
          </cell>
        </row>
      </sheetData>
      <sheetData sheetId="1487">
        <row r="5">
          <cell r="C5" t="str">
            <v>PACKAGE NO.</v>
          </cell>
        </row>
      </sheetData>
      <sheetData sheetId="1488">
        <row r="5">
          <cell r="C5" t="str">
            <v>PACKAGE NO.</v>
          </cell>
        </row>
      </sheetData>
      <sheetData sheetId="1489">
        <row r="5">
          <cell r="C5" t="str">
            <v>PACKAGE NO.</v>
          </cell>
        </row>
      </sheetData>
      <sheetData sheetId="1490">
        <row r="5">
          <cell r="C5" t="str">
            <v>PACKAGE NO.</v>
          </cell>
        </row>
      </sheetData>
      <sheetData sheetId="1491">
        <row r="5">
          <cell r="C5" t="str">
            <v>PACKAGE NO.</v>
          </cell>
        </row>
      </sheetData>
      <sheetData sheetId="1492">
        <row r="5">
          <cell r="C5" t="str">
            <v>PACKAGE NO.</v>
          </cell>
        </row>
      </sheetData>
      <sheetData sheetId="1493">
        <row r="5">
          <cell r="C5" t="str">
            <v>PACKAGE NO.</v>
          </cell>
        </row>
      </sheetData>
      <sheetData sheetId="1494">
        <row r="5">
          <cell r="C5" t="str">
            <v>PACKAGE NO.</v>
          </cell>
        </row>
      </sheetData>
      <sheetData sheetId="1495">
        <row r="5">
          <cell r="C5" t="str">
            <v>PACKAGE NO.</v>
          </cell>
        </row>
      </sheetData>
      <sheetData sheetId="1496">
        <row r="5">
          <cell r="C5" t="str">
            <v>PACKAGE NO.</v>
          </cell>
        </row>
      </sheetData>
      <sheetData sheetId="1497">
        <row r="5">
          <cell r="C5" t="str">
            <v>PACKAGE NO.</v>
          </cell>
        </row>
      </sheetData>
      <sheetData sheetId="1498">
        <row r="5">
          <cell r="C5" t="str">
            <v>PACKAGE NO.</v>
          </cell>
        </row>
      </sheetData>
      <sheetData sheetId="1499">
        <row r="5">
          <cell r="C5" t="str">
            <v>PACKAGE NO.</v>
          </cell>
        </row>
      </sheetData>
      <sheetData sheetId="1500">
        <row r="5">
          <cell r="C5" t="str">
            <v>PACKAGE NO.</v>
          </cell>
        </row>
      </sheetData>
      <sheetData sheetId="1501">
        <row r="5">
          <cell r="C5" t="str">
            <v>PACKAGE NO.</v>
          </cell>
        </row>
      </sheetData>
      <sheetData sheetId="1502">
        <row r="5">
          <cell r="C5" t="str">
            <v>PACKAGE NO.</v>
          </cell>
        </row>
      </sheetData>
      <sheetData sheetId="1503">
        <row r="5">
          <cell r="C5" t="str">
            <v>PACKAGE NO.</v>
          </cell>
        </row>
      </sheetData>
      <sheetData sheetId="1504">
        <row r="5">
          <cell r="C5" t="str">
            <v>PACKAGE NO.</v>
          </cell>
        </row>
      </sheetData>
      <sheetData sheetId="1505">
        <row r="5">
          <cell r="C5" t="str">
            <v>PACKAGE NO.</v>
          </cell>
        </row>
      </sheetData>
      <sheetData sheetId="1506">
        <row r="5">
          <cell r="C5" t="str">
            <v>PACKAGE NO.</v>
          </cell>
        </row>
      </sheetData>
      <sheetData sheetId="1507">
        <row r="5">
          <cell r="C5" t="str">
            <v>PACKAGE NO.</v>
          </cell>
        </row>
      </sheetData>
      <sheetData sheetId="1508">
        <row r="5">
          <cell r="C5" t="str">
            <v>PACKAGE NO.</v>
          </cell>
        </row>
      </sheetData>
      <sheetData sheetId="1509">
        <row r="5">
          <cell r="C5" t="str">
            <v>PACKAGE NO.</v>
          </cell>
        </row>
      </sheetData>
      <sheetData sheetId="1510">
        <row r="5">
          <cell r="C5" t="str">
            <v>PACKAGE NO.</v>
          </cell>
        </row>
      </sheetData>
      <sheetData sheetId="1511">
        <row r="5">
          <cell r="C5" t="str">
            <v>PACKAGE NO.</v>
          </cell>
        </row>
      </sheetData>
      <sheetData sheetId="1512">
        <row r="5">
          <cell r="C5" t="str">
            <v>PACKAGE NO.</v>
          </cell>
        </row>
      </sheetData>
      <sheetData sheetId="1513">
        <row r="5">
          <cell r="C5" t="str">
            <v>PACKAGE NO.</v>
          </cell>
        </row>
      </sheetData>
      <sheetData sheetId="1514">
        <row r="5">
          <cell r="C5">
            <v>100</v>
          </cell>
        </row>
      </sheetData>
      <sheetData sheetId="1515">
        <row r="5">
          <cell r="C5" t="str">
            <v>PACKAGE NO.</v>
          </cell>
        </row>
      </sheetData>
      <sheetData sheetId="1516">
        <row r="5">
          <cell r="C5" t="str">
            <v>PACKAGE NO.</v>
          </cell>
        </row>
      </sheetData>
      <sheetData sheetId="1517">
        <row r="5">
          <cell r="C5" t="str">
            <v>PACKAGE NO.</v>
          </cell>
        </row>
      </sheetData>
      <sheetData sheetId="1518">
        <row r="5">
          <cell r="C5" t="str">
            <v>PACKAGE NO.</v>
          </cell>
        </row>
      </sheetData>
      <sheetData sheetId="1519">
        <row r="5">
          <cell r="C5" t="str">
            <v>PACKAGE NO.</v>
          </cell>
        </row>
      </sheetData>
      <sheetData sheetId="1520">
        <row r="5">
          <cell r="C5" t="str">
            <v>PACKAGE NO.</v>
          </cell>
        </row>
      </sheetData>
      <sheetData sheetId="1521">
        <row r="5">
          <cell r="C5" t="str">
            <v>PACKAGE NO.</v>
          </cell>
        </row>
      </sheetData>
      <sheetData sheetId="1522">
        <row r="5">
          <cell r="C5" t="str">
            <v>PACKAGE NO.</v>
          </cell>
        </row>
      </sheetData>
      <sheetData sheetId="1523">
        <row r="5">
          <cell r="C5" t="str">
            <v>PACKAGE NO.</v>
          </cell>
        </row>
      </sheetData>
      <sheetData sheetId="1524">
        <row r="5">
          <cell r="C5" t="str">
            <v>PACKAGE NO.</v>
          </cell>
        </row>
      </sheetData>
      <sheetData sheetId="1525">
        <row r="5">
          <cell r="C5" t="str">
            <v>PACKAGE NO.</v>
          </cell>
        </row>
      </sheetData>
      <sheetData sheetId="1526">
        <row r="5">
          <cell r="C5" t="str">
            <v>PACKAGE NO.</v>
          </cell>
        </row>
      </sheetData>
      <sheetData sheetId="1527">
        <row r="5">
          <cell r="C5" t="str">
            <v>PACKAGE NO.</v>
          </cell>
        </row>
      </sheetData>
      <sheetData sheetId="1528">
        <row r="5">
          <cell r="C5">
            <v>100</v>
          </cell>
        </row>
      </sheetData>
      <sheetData sheetId="1529">
        <row r="5">
          <cell r="C5">
            <v>100</v>
          </cell>
        </row>
      </sheetData>
      <sheetData sheetId="1530">
        <row r="5">
          <cell r="C5">
            <v>100</v>
          </cell>
        </row>
      </sheetData>
      <sheetData sheetId="1531">
        <row r="5">
          <cell r="C5">
            <v>100</v>
          </cell>
        </row>
      </sheetData>
      <sheetData sheetId="1532">
        <row r="5">
          <cell r="C5">
            <v>100</v>
          </cell>
        </row>
      </sheetData>
      <sheetData sheetId="1533">
        <row r="5">
          <cell r="C5">
            <v>100</v>
          </cell>
        </row>
      </sheetData>
      <sheetData sheetId="1534">
        <row r="5">
          <cell r="C5">
            <v>100</v>
          </cell>
        </row>
      </sheetData>
      <sheetData sheetId="1535">
        <row r="5">
          <cell r="C5">
            <v>100</v>
          </cell>
        </row>
      </sheetData>
      <sheetData sheetId="1536">
        <row r="5">
          <cell r="C5">
            <v>100</v>
          </cell>
        </row>
      </sheetData>
      <sheetData sheetId="1537">
        <row r="5">
          <cell r="C5">
            <v>100</v>
          </cell>
        </row>
      </sheetData>
      <sheetData sheetId="1538">
        <row r="5">
          <cell r="C5">
            <v>100</v>
          </cell>
        </row>
      </sheetData>
      <sheetData sheetId="1539">
        <row r="5">
          <cell r="C5">
            <v>100</v>
          </cell>
        </row>
      </sheetData>
      <sheetData sheetId="1540">
        <row r="5">
          <cell r="C5">
            <v>100</v>
          </cell>
        </row>
      </sheetData>
      <sheetData sheetId="1541">
        <row r="5">
          <cell r="C5">
            <v>100</v>
          </cell>
        </row>
      </sheetData>
      <sheetData sheetId="1542">
        <row r="5">
          <cell r="C5">
            <v>100</v>
          </cell>
        </row>
      </sheetData>
      <sheetData sheetId="1543">
        <row r="5">
          <cell r="C5">
            <v>100</v>
          </cell>
        </row>
      </sheetData>
      <sheetData sheetId="1544">
        <row r="5">
          <cell r="C5">
            <v>100</v>
          </cell>
        </row>
      </sheetData>
      <sheetData sheetId="1545">
        <row r="5">
          <cell r="C5">
            <v>100</v>
          </cell>
        </row>
      </sheetData>
      <sheetData sheetId="1546">
        <row r="5">
          <cell r="C5">
            <v>100</v>
          </cell>
        </row>
      </sheetData>
      <sheetData sheetId="1547">
        <row r="5">
          <cell r="C5">
            <v>100</v>
          </cell>
        </row>
      </sheetData>
      <sheetData sheetId="1548">
        <row r="5">
          <cell r="C5">
            <v>100</v>
          </cell>
        </row>
      </sheetData>
      <sheetData sheetId="1549">
        <row r="5">
          <cell r="C5">
            <v>100</v>
          </cell>
        </row>
      </sheetData>
      <sheetData sheetId="1550">
        <row r="5">
          <cell r="C5">
            <v>100</v>
          </cell>
        </row>
      </sheetData>
      <sheetData sheetId="1551">
        <row r="5">
          <cell r="C5">
            <v>100</v>
          </cell>
        </row>
      </sheetData>
      <sheetData sheetId="1552">
        <row r="5">
          <cell r="C5">
            <v>100</v>
          </cell>
        </row>
      </sheetData>
      <sheetData sheetId="1553">
        <row r="5">
          <cell r="C5">
            <v>100</v>
          </cell>
        </row>
      </sheetData>
      <sheetData sheetId="1554">
        <row r="5">
          <cell r="C5">
            <v>100</v>
          </cell>
        </row>
      </sheetData>
      <sheetData sheetId="1555">
        <row r="5">
          <cell r="C5">
            <v>100</v>
          </cell>
        </row>
      </sheetData>
      <sheetData sheetId="1556">
        <row r="5">
          <cell r="C5">
            <v>100</v>
          </cell>
        </row>
      </sheetData>
      <sheetData sheetId="1557">
        <row r="5">
          <cell r="C5">
            <v>100</v>
          </cell>
        </row>
      </sheetData>
      <sheetData sheetId="1558">
        <row r="5">
          <cell r="C5">
            <v>100</v>
          </cell>
        </row>
      </sheetData>
      <sheetData sheetId="1559">
        <row r="5">
          <cell r="C5">
            <v>100</v>
          </cell>
        </row>
      </sheetData>
      <sheetData sheetId="1560">
        <row r="5">
          <cell r="C5">
            <v>100</v>
          </cell>
        </row>
      </sheetData>
      <sheetData sheetId="1561">
        <row r="5">
          <cell r="C5">
            <v>100</v>
          </cell>
        </row>
      </sheetData>
      <sheetData sheetId="1562">
        <row r="5">
          <cell r="C5">
            <v>100</v>
          </cell>
        </row>
      </sheetData>
      <sheetData sheetId="1563">
        <row r="5">
          <cell r="C5">
            <v>100</v>
          </cell>
        </row>
      </sheetData>
      <sheetData sheetId="1564">
        <row r="5">
          <cell r="C5">
            <v>100</v>
          </cell>
        </row>
      </sheetData>
      <sheetData sheetId="1565">
        <row r="5">
          <cell r="C5">
            <v>100</v>
          </cell>
        </row>
      </sheetData>
      <sheetData sheetId="1566">
        <row r="5">
          <cell r="C5">
            <v>100</v>
          </cell>
        </row>
      </sheetData>
      <sheetData sheetId="1567">
        <row r="5">
          <cell r="C5">
            <v>100</v>
          </cell>
        </row>
      </sheetData>
      <sheetData sheetId="1568">
        <row r="5">
          <cell r="C5">
            <v>100</v>
          </cell>
        </row>
      </sheetData>
      <sheetData sheetId="1569">
        <row r="5">
          <cell r="C5">
            <v>100</v>
          </cell>
        </row>
      </sheetData>
      <sheetData sheetId="1570">
        <row r="5">
          <cell r="C5">
            <v>100</v>
          </cell>
        </row>
      </sheetData>
      <sheetData sheetId="1571">
        <row r="5">
          <cell r="C5">
            <v>100</v>
          </cell>
        </row>
      </sheetData>
      <sheetData sheetId="1572">
        <row r="5">
          <cell r="C5">
            <v>100</v>
          </cell>
        </row>
      </sheetData>
      <sheetData sheetId="1573">
        <row r="5">
          <cell r="C5">
            <v>100</v>
          </cell>
        </row>
      </sheetData>
      <sheetData sheetId="1574">
        <row r="5">
          <cell r="C5">
            <v>100</v>
          </cell>
        </row>
      </sheetData>
      <sheetData sheetId="1575">
        <row r="5">
          <cell r="C5">
            <v>100</v>
          </cell>
        </row>
      </sheetData>
      <sheetData sheetId="1576">
        <row r="5">
          <cell r="C5">
            <v>100</v>
          </cell>
        </row>
      </sheetData>
      <sheetData sheetId="1577">
        <row r="5">
          <cell r="C5">
            <v>100</v>
          </cell>
        </row>
      </sheetData>
      <sheetData sheetId="1578">
        <row r="5">
          <cell r="C5">
            <v>100</v>
          </cell>
        </row>
      </sheetData>
      <sheetData sheetId="1579">
        <row r="5">
          <cell r="C5">
            <v>100</v>
          </cell>
        </row>
      </sheetData>
      <sheetData sheetId="1580">
        <row r="5">
          <cell r="C5">
            <v>100</v>
          </cell>
        </row>
      </sheetData>
      <sheetData sheetId="1581">
        <row r="5">
          <cell r="C5">
            <v>100</v>
          </cell>
        </row>
      </sheetData>
      <sheetData sheetId="1582">
        <row r="5">
          <cell r="C5">
            <v>100</v>
          </cell>
        </row>
      </sheetData>
      <sheetData sheetId="1583">
        <row r="5">
          <cell r="C5">
            <v>100</v>
          </cell>
        </row>
      </sheetData>
      <sheetData sheetId="1584">
        <row r="5">
          <cell r="C5">
            <v>100</v>
          </cell>
        </row>
      </sheetData>
      <sheetData sheetId="1585">
        <row r="5">
          <cell r="C5">
            <v>100</v>
          </cell>
        </row>
      </sheetData>
      <sheetData sheetId="1586">
        <row r="5">
          <cell r="C5">
            <v>100</v>
          </cell>
        </row>
      </sheetData>
      <sheetData sheetId="1587">
        <row r="5">
          <cell r="C5">
            <v>100</v>
          </cell>
        </row>
      </sheetData>
      <sheetData sheetId="1588">
        <row r="5">
          <cell r="C5">
            <v>100</v>
          </cell>
        </row>
      </sheetData>
      <sheetData sheetId="1589">
        <row r="5">
          <cell r="C5">
            <v>100</v>
          </cell>
        </row>
      </sheetData>
      <sheetData sheetId="1590">
        <row r="5">
          <cell r="C5">
            <v>100</v>
          </cell>
        </row>
      </sheetData>
      <sheetData sheetId="1591">
        <row r="5">
          <cell r="C5">
            <v>100</v>
          </cell>
        </row>
      </sheetData>
      <sheetData sheetId="1592">
        <row r="5">
          <cell r="C5">
            <v>100</v>
          </cell>
        </row>
      </sheetData>
      <sheetData sheetId="1593">
        <row r="5">
          <cell r="C5">
            <v>100</v>
          </cell>
        </row>
      </sheetData>
      <sheetData sheetId="1594">
        <row r="5">
          <cell r="C5">
            <v>100</v>
          </cell>
        </row>
      </sheetData>
      <sheetData sheetId="1595">
        <row r="5">
          <cell r="C5">
            <v>100</v>
          </cell>
        </row>
      </sheetData>
      <sheetData sheetId="1596">
        <row r="5">
          <cell r="C5">
            <v>100</v>
          </cell>
        </row>
      </sheetData>
      <sheetData sheetId="1597">
        <row r="5">
          <cell r="C5">
            <v>100</v>
          </cell>
        </row>
      </sheetData>
      <sheetData sheetId="1598">
        <row r="5">
          <cell r="C5">
            <v>100</v>
          </cell>
        </row>
      </sheetData>
      <sheetData sheetId="1599">
        <row r="5">
          <cell r="C5">
            <v>100</v>
          </cell>
        </row>
      </sheetData>
      <sheetData sheetId="1600">
        <row r="5">
          <cell r="C5">
            <v>100</v>
          </cell>
        </row>
      </sheetData>
      <sheetData sheetId="1601">
        <row r="5">
          <cell r="C5">
            <v>100</v>
          </cell>
        </row>
      </sheetData>
      <sheetData sheetId="1602">
        <row r="5">
          <cell r="C5">
            <v>100</v>
          </cell>
        </row>
      </sheetData>
      <sheetData sheetId="1603">
        <row r="5">
          <cell r="C5">
            <v>100</v>
          </cell>
        </row>
      </sheetData>
      <sheetData sheetId="1604">
        <row r="5">
          <cell r="C5">
            <v>100</v>
          </cell>
        </row>
      </sheetData>
      <sheetData sheetId="1605">
        <row r="5">
          <cell r="C5">
            <v>100</v>
          </cell>
        </row>
      </sheetData>
      <sheetData sheetId="1606">
        <row r="5">
          <cell r="C5">
            <v>100</v>
          </cell>
        </row>
      </sheetData>
      <sheetData sheetId="1607">
        <row r="5">
          <cell r="C5">
            <v>100</v>
          </cell>
        </row>
      </sheetData>
      <sheetData sheetId="1608">
        <row r="5">
          <cell r="C5">
            <v>100</v>
          </cell>
        </row>
      </sheetData>
      <sheetData sheetId="1609">
        <row r="5">
          <cell r="C5">
            <v>100</v>
          </cell>
        </row>
      </sheetData>
      <sheetData sheetId="1610">
        <row r="5">
          <cell r="C5">
            <v>100</v>
          </cell>
        </row>
      </sheetData>
      <sheetData sheetId="1611">
        <row r="5">
          <cell r="C5">
            <v>100</v>
          </cell>
        </row>
      </sheetData>
      <sheetData sheetId="1612">
        <row r="5">
          <cell r="C5">
            <v>100</v>
          </cell>
        </row>
      </sheetData>
      <sheetData sheetId="1613">
        <row r="5">
          <cell r="C5">
            <v>100</v>
          </cell>
        </row>
      </sheetData>
      <sheetData sheetId="1614">
        <row r="5">
          <cell r="C5">
            <v>100</v>
          </cell>
        </row>
      </sheetData>
      <sheetData sheetId="1615">
        <row r="5">
          <cell r="C5">
            <v>100</v>
          </cell>
        </row>
      </sheetData>
      <sheetData sheetId="1616">
        <row r="5">
          <cell r="C5">
            <v>100</v>
          </cell>
        </row>
      </sheetData>
      <sheetData sheetId="1617">
        <row r="5">
          <cell r="C5">
            <v>100</v>
          </cell>
        </row>
      </sheetData>
      <sheetData sheetId="1618">
        <row r="5">
          <cell r="C5">
            <v>100</v>
          </cell>
        </row>
      </sheetData>
      <sheetData sheetId="1619">
        <row r="5">
          <cell r="C5">
            <v>100</v>
          </cell>
        </row>
      </sheetData>
      <sheetData sheetId="1620">
        <row r="5">
          <cell r="C5">
            <v>100</v>
          </cell>
        </row>
      </sheetData>
      <sheetData sheetId="1621">
        <row r="5">
          <cell r="C5">
            <v>100</v>
          </cell>
        </row>
      </sheetData>
      <sheetData sheetId="1622">
        <row r="5">
          <cell r="C5">
            <v>100</v>
          </cell>
        </row>
      </sheetData>
      <sheetData sheetId="1623">
        <row r="5">
          <cell r="C5">
            <v>100</v>
          </cell>
        </row>
      </sheetData>
      <sheetData sheetId="1624">
        <row r="5">
          <cell r="C5">
            <v>100</v>
          </cell>
        </row>
      </sheetData>
      <sheetData sheetId="1625">
        <row r="5">
          <cell r="C5">
            <v>100</v>
          </cell>
        </row>
      </sheetData>
      <sheetData sheetId="1626">
        <row r="5">
          <cell r="C5">
            <v>100</v>
          </cell>
        </row>
      </sheetData>
      <sheetData sheetId="1627">
        <row r="5">
          <cell r="C5">
            <v>100</v>
          </cell>
        </row>
      </sheetData>
      <sheetData sheetId="1628">
        <row r="5">
          <cell r="C5">
            <v>100</v>
          </cell>
        </row>
      </sheetData>
      <sheetData sheetId="1629">
        <row r="5">
          <cell r="C5">
            <v>100</v>
          </cell>
        </row>
      </sheetData>
      <sheetData sheetId="1630" refreshError="1"/>
      <sheetData sheetId="1631" refreshError="1"/>
      <sheetData sheetId="1632" refreshError="1"/>
      <sheetData sheetId="1633"/>
      <sheetData sheetId="1634"/>
      <sheetData sheetId="1635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>
        <row r="5">
          <cell r="C5" t="str">
            <v>PACKAGE NO.</v>
          </cell>
        </row>
      </sheetData>
      <sheetData sheetId="1646">
        <row r="5">
          <cell r="C5" t="str">
            <v>PACKAGE NO.</v>
          </cell>
        </row>
      </sheetData>
      <sheetData sheetId="1647">
        <row r="5">
          <cell r="C5" t="str">
            <v>PACKAGE NO.</v>
          </cell>
        </row>
      </sheetData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>
        <row r="5">
          <cell r="C5">
            <v>100</v>
          </cell>
        </row>
      </sheetData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>
        <row r="5">
          <cell r="C5" t="str">
            <v>ARJUN PRASAD CHAUDHARY</v>
          </cell>
        </row>
      </sheetData>
      <sheetData sheetId="1731"/>
      <sheetData sheetId="1732"/>
      <sheetData sheetId="1733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 refreshError="1"/>
      <sheetData sheetId="1793" refreshError="1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 refreshError="1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 refreshError="1"/>
      <sheetData sheetId="3565" refreshError="1"/>
      <sheetData sheetId="3566" refreshError="1"/>
      <sheetData sheetId="3567" refreshError="1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/>
      <sheetData sheetId="3764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Sheet1"/>
      <sheetName val="Sheet2"/>
      <sheetName val="Sheet3"/>
      <sheetName val="INSTR"/>
      <sheetName val="ELEC_DCI"/>
      <sheetName val="INST_DCI"/>
      <sheetName val="h-013211-2"/>
      <sheetName val="fdn_bm_pro"/>
      <sheetName val="본지점중"/>
    </sheetNames>
    <sheetDataSet>
      <sheetData sheetId="0"/>
      <sheetData sheetId="1"/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Sheet1"/>
      <sheetName val="Sheet2"/>
      <sheetName val="Sheet3"/>
      <sheetName val="INSTR"/>
      <sheetName val="ELEC_DCI"/>
      <sheetName val="INST_DCI"/>
      <sheetName val="h-013211-2"/>
      <sheetName val="fdn_bm_pro"/>
      <sheetName val="본지점중"/>
    </sheetNames>
    <sheetDataSet>
      <sheetData sheetId="0"/>
      <sheetData sheetId="1"/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 V Separator"/>
      <sheetName val="Velocity"/>
      <sheetName val="Offer"/>
      <sheetName val="L_V_Separator"/>
      <sheetName val="HnM BALANCE"/>
      <sheetName val="C"/>
      <sheetName val=" 3"/>
      <sheetName val="DropBox"/>
      <sheetName val="Summary"/>
      <sheetName val="L_V_Separator1"/>
      <sheetName val="HnM_BALANCE"/>
      <sheetName val="L_V_Separator2"/>
      <sheetName val="HnM_BALANCE1"/>
      <sheetName val="L_V_Separator3"/>
      <sheetName val="HnM_BALANCE2"/>
      <sheetName val="List"/>
    </sheetNames>
    <sheetDataSet>
      <sheetData sheetId="0">
        <row r="1">
          <cell r="A1" t="str">
            <v>LIQUID  / VAPOR SEPARATOR  DATA SHEET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. 토목물량"/>
      <sheetName val="1. Cable Trench"/>
      <sheetName val="2. Duct Bank"/>
      <sheetName val="3. Foundation"/>
      <sheetName val="4.Tray Weight"/>
      <sheetName val="ATT#1 Power Trench &amp; Foundation"/>
      <sheetName val="ATT#2 Lighting Trench"/>
      <sheetName val="ATT#3 DuctBank"/>
      <sheetName val="ATT#4 Power Plan"/>
      <sheetName val="ATT#5 Lighting Plan"/>
      <sheetName val="ATT#6 Cable Tray Route Plan "/>
      <sheetName val="cable"/>
      <sheetName val="정부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_Calc"/>
      <sheetName val="Lumen"/>
      <sheetName val="Example"/>
      <sheetName val="POINT"/>
      <sheetName val="cable"/>
      <sheetName val="IT-BAT"/>
      <sheetName val="인원계획"/>
      <sheetName val="B"/>
      <sheetName val="Cover"/>
      <sheetName val="sheet1"/>
      <sheetName val="수입"/>
      <sheetName val="정부노임단가"/>
      <sheetName val="설계서"/>
      <sheetName val="예산서"/>
      <sheetName val="총공사비"/>
      <sheetName val="내역서"/>
      <sheetName val="당초"/>
      <sheetName val="PIPING"/>
      <sheetName val=" 갑지"/>
    </sheetNames>
    <definedNames>
      <definedName name="Lead"/>
      <definedName name="Nickel"/>
      <definedName name="인쇄"/>
    </definedNames>
    <sheetDataSet>
      <sheetData sheetId="0" refreshError="1"/>
      <sheetData sheetId="1">
        <row r="3">
          <cell r="B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atagory 1-2"/>
      <sheetName val="Catagory 3"/>
      <sheetName val="Units"/>
      <sheetName val="정부노임단가"/>
      <sheetName val="BOP"/>
      <sheetName val="내역"/>
      <sheetName val="직원동원SCH"/>
      <sheetName val="API 682 3rd"/>
      <sheetName val="deviation"/>
      <sheetName val="Hoja3"/>
      <sheetName val="Hoja2"/>
      <sheetName val="WORK-VOL"/>
      <sheetName val="Sheet1 (2)"/>
      <sheetName val="cable"/>
      <sheetName val="7.5.2 BOQ Summary "/>
      <sheetName val="CSA ROLLUP"/>
      <sheetName val="L V Separator"/>
      <sheetName val="CONTENTS"/>
      <sheetName val="steam table"/>
    </sheetNames>
    <sheetDataSet>
      <sheetData sheetId="0">
        <row r="18">
          <cell r="AO18">
            <v>1</v>
          </cell>
        </row>
      </sheetData>
      <sheetData sheetId="1"/>
      <sheetData sheetId="2"/>
      <sheetData sheetId="3">
        <row r="3">
          <cell r="B3" t="str">
            <v>units</v>
          </cell>
          <cell r="C3" t="str">
            <v>std.gas.vol.flow</v>
          </cell>
          <cell r="D3" t="str">
            <v>inlet.gas.vol.flow</v>
          </cell>
          <cell r="E3" t="str">
            <v>std.gas.vol.flow</v>
          </cell>
          <cell r="F3" t="str">
            <v>gas.vol.flow</v>
          </cell>
          <cell r="G3" t="str">
            <v>liq.vol.flow.small</v>
          </cell>
          <cell r="H3" t="str">
            <v>liq.vol.flow.med</v>
          </cell>
          <cell r="I3" t="str">
            <v>liq.vol.flow.long</v>
          </cell>
          <cell r="J3" t="str">
            <v>flow.per.seal</v>
          </cell>
          <cell r="K3" t="str">
            <v>mass.flow.very.short</v>
          </cell>
          <cell r="L3" t="str">
            <v>mass.flow.short</v>
          </cell>
          <cell r="M3" t="str">
            <v>mass.flow.long</v>
          </cell>
          <cell r="N3" t="str">
            <v>press.abs</v>
          </cell>
          <cell r="O3" t="str">
            <v>press.abs.small</v>
          </cell>
          <cell r="P3" t="str">
            <v>press.gage</v>
          </cell>
          <cell r="Q3" t="str">
            <v>diff.press</v>
          </cell>
          <cell r="R3" t="str">
            <v>diff.press.large</v>
          </cell>
          <cell r="S3" t="str">
            <v>press.head</v>
          </cell>
          <cell r="T3" t="str">
            <v>press.load</v>
          </cell>
          <cell r="U3" t="str">
            <v>ref.press</v>
          </cell>
          <cell r="V3" t="str">
            <v>ref.press.5000</v>
          </cell>
          <cell r="W3" t="str">
            <v>press.wc.abs</v>
          </cell>
          <cell r="X3" t="str">
            <v>press.wc.diff</v>
          </cell>
          <cell r="Y3" t="str">
            <v>press.hg.abs</v>
          </cell>
          <cell r="Z3" t="str">
            <v>sound.press</v>
          </cell>
          <cell r="AA3" t="str">
            <v>impeller.head</v>
          </cell>
          <cell r="AB3" t="str">
            <v>temp</v>
          </cell>
          <cell r="AC3" t="str">
            <v>ref.temp.60</v>
          </cell>
          <cell r="AD3" t="str">
            <v>ref.temp.100</v>
          </cell>
          <cell r="AE3" t="str">
            <v>ref.temp.150</v>
          </cell>
          <cell r="AF3" t="str">
            <v>ref.temp.212</v>
          </cell>
          <cell r="AG3" t="str">
            <v>force</v>
          </cell>
          <cell r="AH3" t="str">
            <v>force.large</v>
          </cell>
          <cell r="AI3" t="str">
            <v>brake.power</v>
          </cell>
          <cell r="AJ3" t="str">
            <v>power</v>
          </cell>
          <cell r="AK3" t="str">
            <v>power.large</v>
          </cell>
          <cell r="AL3" t="str">
            <v>power.elec</v>
          </cell>
          <cell r="AM3" t="str">
            <v>unit.power</v>
          </cell>
          <cell r="AN3" t="str">
            <v>unit.power.long</v>
          </cell>
          <cell r="AO3" t="str">
            <v>heat.rate</v>
          </cell>
          <cell r="AP3" t="str">
            <v>transfer.rate</v>
          </cell>
          <cell r="AQ3" t="str">
            <v>power.rating</v>
          </cell>
          <cell r="AR3" t="str">
            <v>power.unit.vol</v>
          </cell>
          <cell r="AS3" t="str">
            <v>steam.rate</v>
          </cell>
          <cell r="AT3" t="str">
            <v>power.density</v>
          </cell>
          <cell r="AU3" t="str">
            <v>power.heat</v>
          </cell>
          <cell r="AV3" t="str">
            <v>energy.heat</v>
          </cell>
          <cell r="AW3" t="str">
            <v>energy</v>
          </cell>
          <cell r="AX3" t="str">
            <v>energy.work</v>
          </cell>
          <cell r="AY3" t="str">
            <v>torque</v>
          </cell>
          <cell r="AZ3" t="str">
            <v>unbalance</v>
          </cell>
          <cell r="BA3" t="str">
            <v>moment.inertia</v>
          </cell>
          <cell r="BB3" t="str">
            <v>stiffness</v>
          </cell>
          <cell r="BC3" t="str">
            <v>stress</v>
          </cell>
          <cell r="BD3" t="str">
            <v>ampere</v>
          </cell>
          <cell r="BE3" t="str">
            <v>volt</v>
          </cell>
          <cell r="BF3" t="str">
            <v>ohm</v>
          </cell>
          <cell r="BG3" t="str">
            <v>cond.electric</v>
          </cell>
          <cell r="BH3" t="str">
            <v>control.signal</v>
          </cell>
          <cell r="BI3" t="str">
            <v>time.sec</v>
          </cell>
          <cell r="BJ3" t="str">
            <v>time.min</v>
          </cell>
          <cell r="BK3" t="str">
            <v>time.hr</v>
          </cell>
          <cell r="BL3" t="str">
            <v>time.day</v>
          </cell>
          <cell r="BM3" t="str">
            <v>freq.hz</v>
          </cell>
          <cell r="BN3" t="str">
            <v>vel.small</v>
          </cell>
          <cell r="BO3" t="str">
            <v>vel.med</v>
          </cell>
          <cell r="BP3" t="str">
            <v>vel.large</v>
          </cell>
          <cell r="BQ3" t="str">
            <v>ang.vel</v>
          </cell>
          <cell r="BR3" t="str">
            <v>accel</v>
          </cell>
          <cell r="BS3" t="str">
            <v>length.veryshort</v>
          </cell>
          <cell r="BT3" t="str">
            <v>length.short</v>
          </cell>
          <cell r="BU3" t="str">
            <v>length.med</v>
          </cell>
          <cell r="BV3" t="str">
            <v>length.long</v>
          </cell>
          <cell r="BW3" t="str">
            <v>taper</v>
          </cell>
          <cell r="BX3" t="str">
            <v>ref.length3ft</v>
          </cell>
          <cell r="BY3" t="str">
            <v>ref.elev</v>
          </cell>
          <cell r="BZ3" t="str">
            <v>area.small</v>
          </cell>
          <cell r="CA3" t="str">
            <v>area.med</v>
          </cell>
          <cell r="CB3" t="str">
            <v>area.large</v>
          </cell>
          <cell r="CC3" t="str">
            <v>plane.angle</v>
          </cell>
          <cell r="CD3" t="str">
            <v>mass.small</v>
          </cell>
          <cell r="CE3" t="str">
            <v>mass.large</v>
          </cell>
          <cell r="CF3" t="str">
            <v>vol.small</v>
          </cell>
          <cell r="CG3" t="str">
            <v>vol.large</v>
          </cell>
          <cell r="CH3" t="str">
            <v>vol.length.small</v>
          </cell>
          <cell r="CI3" t="str">
            <v>vol.length.med</v>
          </cell>
          <cell r="CJ3" t="str">
            <v>vol.length.large</v>
          </cell>
          <cell r="CK3" t="str">
            <v>mass.per.vol.small</v>
          </cell>
          <cell r="CL3" t="str">
            <v>abs.visc</v>
          </cell>
          <cell r="CM3" t="str">
            <v>kin.visc</v>
          </cell>
          <cell r="CN3" t="str">
            <v>kin.visc.ssu</v>
          </cell>
          <cell r="CO3" t="str">
            <v>kin.visc.at.ref.temp</v>
          </cell>
          <cell r="CP3" t="str">
            <v>kin.visc.at.ref.temp.212</v>
          </cell>
          <cell r="CQ3" t="str">
            <v>mass.density</v>
          </cell>
          <cell r="CR3" t="str">
            <v>gas.density</v>
          </cell>
          <cell r="CS3" t="str">
            <v>mass.mol</v>
          </cell>
          <cell r="CT3" t="str">
            <v>mol.weight</v>
          </cell>
          <cell r="CU3" t="str">
            <v>therm.cond</v>
          </cell>
          <cell r="CV3" t="str">
            <v>lat.heat.vap</v>
          </cell>
          <cell r="CW3" t="str">
            <v>spec.weight</v>
          </cell>
          <cell r="CX3" t="str">
            <v>spec.heat</v>
          </cell>
          <cell r="CY3" t="str">
            <v>enthalpy</v>
          </cell>
          <cell r="CZ3" t="str">
            <v>heat.value</v>
          </cell>
          <cell r="DA3" t="str">
            <v>foul.factor</v>
          </cell>
        </row>
        <row r="4">
          <cell r="B4" t="str">
            <v>U.S. CUSTOMARY</v>
          </cell>
          <cell r="C4" t="str">
            <v>SCFM</v>
          </cell>
          <cell r="D4" t="str">
            <v>(icfm)</v>
          </cell>
          <cell r="E4" t="str">
            <v>(scfm)</v>
          </cell>
          <cell r="F4" t="str">
            <v>(cfm)</v>
          </cell>
          <cell r="G4" t="str">
            <v>(gph)</v>
          </cell>
          <cell r="H4" t="str">
            <v>(gpm)</v>
          </cell>
          <cell r="I4" t="str">
            <v>(gpm)</v>
          </cell>
          <cell r="J4" t="str">
            <v>(gal/day/seal)</v>
          </cell>
          <cell r="K4" t="str">
            <v>(lb/sec)</v>
          </cell>
          <cell r="L4" t="str">
            <v>(lb/min)</v>
          </cell>
          <cell r="M4" t="str">
            <v>(lb/hr)</v>
          </cell>
          <cell r="N4" t="str">
            <v>(psia)</v>
          </cell>
          <cell r="O4" t="str">
            <v>(psia)</v>
          </cell>
          <cell r="P4" t="str">
            <v>(psig)</v>
          </cell>
          <cell r="Q4" t="str">
            <v>(psi)</v>
          </cell>
          <cell r="R4" t="str">
            <v>(ksi)</v>
          </cell>
          <cell r="S4" t="str">
            <v>(ft)</v>
          </cell>
          <cell r="T4" t="str">
            <v>(lb/ft²)</v>
          </cell>
          <cell r="U4" t="str">
            <v>(14.7 psia &amp; 60°F DRY)</v>
          </cell>
          <cell r="V4" t="str">
            <v>5000 psi</v>
          </cell>
          <cell r="W4" t="str">
            <v>(in H2O abs)</v>
          </cell>
          <cell r="X4" t="str">
            <v>(in H2O)</v>
          </cell>
          <cell r="Y4" t="str">
            <v>(in Hg abs)</v>
          </cell>
          <cell r="Z4" t="str">
            <v>(dBA)</v>
          </cell>
          <cell r="AA4" t="str">
            <v>(ft-lb/lb)</v>
          </cell>
          <cell r="AB4" t="str">
            <v>(°F)</v>
          </cell>
          <cell r="AC4" t="str">
            <v>(@ 60 °F)</v>
          </cell>
          <cell r="AD4" t="str">
            <v>(@ 100 °F)</v>
          </cell>
          <cell r="AE4" t="str">
            <v>(@ 150 °F)</v>
          </cell>
          <cell r="AF4" t="str">
            <v>(@ 212 °F)</v>
          </cell>
          <cell r="AG4" t="str">
            <v>(lb)</v>
          </cell>
          <cell r="AH4" t="str">
            <v>(lb)</v>
          </cell>
          <cell r="AI4" t="str">
            <v>(BHP)</v>
          </cell>
          <cell r="AJ4" t="str">
            <v>(HP)</v>
          </cell>
          <cell r="AK4" t="str">
            <v>(HP)</v>
          </cell>
          <cell r="AL4" t="str">
            <v>(kW)</v>
          </cell>
          <cell r="AM4" t="str">
            <v>(BTU/min)</v>
          </cell>
          <cell r="AN4" t="str">
            <v>(BTU/hr)</v>
          </cell>
          <cell r="AO4" t="str">
            <v>(BTU/HP-hr)</v>
          </cell>
          <cell r="AP4" t="str">
            <v>(BTU/hr ft² °F)</v>
          </cell>
          <cell r="AQ4" t="str">
            <v>(HP/100 rpm)</v>
          </cell>
          <cell r="AR4" t="str">
            <v>(BHP/100 CFM)</v>
          </cell>
          <cell r="AS4" t="str">
            <v>(lb/hp-hr)</v>
          </cell>
          <cell r="AT4" t="str">
            <v>(W/in²)</v>
          </cell>
          <cell r="AU4" t="str">
            <v>(BTU/min)</v>
          </cell>
          <cell r="AV4" t="str">
            <v>(BTU)</v>
          </cell>
          <cell r="AW4" t="str">
            <v>(BTU)</v>
          </cell>
          <cell r="AX4" t="str">
            <v>(ft-lb)</v>
          </cell>
          <cell r="AY4" t="str">
            <v>(ft-lb)</v>
          </cell>
          <cell r="AZ4" t="str">
            <v>(oz-in)</v>
          </cell>
          <cell r="BA4" t="str">
            <v>(lb-ft²)</v>
          </cell>
          <cell r="BB4" t="str">
            <v>(lb-in/rad)</v>
          </cell>
          <cell r="BC4" t="str">
            <v>(psi)</v>
          </cell>
          <cell r="BD4" t="str">
            <v>(A)</v>
          </cell>
          <cell r="BE4" t="str">
            <v>(V)</v>
          </cell>
          <cell r="BF4" t="str">
            <v>(ohm)</v>
          </cell>
          <cell r="BG4" t="str">
            <v>(Mho)</v>
          </cell>
          <cell r="BH4" t="str">
            <v>(psig/mA)</v>
          </cell>
          <cell r="BI4" t="str">
            <v>(sec)</v>
          </cell>
          <cell r="BJ4" t="str">
            <v>(min)</v>
          </cell>
          <cell r="BK4" t="str">
            <v>(hr)</v>
          </cell>
          <cell r="BL4" t="str">
            <v>(days)</v>
          </cell>
          <cell r="BM4" t="str">
            <v>(Hz)</v>
          </cell>
          <cell r="BN4" t="str">
            <v>(fps)</v>
          </cell>
          <cell r="BO4" t="str">
            <v>(ft/min)</v>
          </cell>
          <cell r="BP4" t="str">
            <v>(mph)</v>
          </cell>
          <cell r="BQ4" t="str">
            <v>(rpm)</v>
          </cell>
          <cell r="BR4" t="str">
            <v>(in./sec²)</v>
          </cell>
          <cell r="BS4" t="str">
            <v>(mil)</v>
          </cell>
          <cell r="BT4" t="str">
            <v>(in)</v>
          </cell>
          <cell r="BU4" t="str">
            <v>(ft)</v>
          </cell>
          <cell r="BV4" t="str">
            <v>(mi)</v>
          </cell>
          <cell r="BW4" t="str">
            <v>(in/ft)</v>
          </cell>
          <cell r="BX4" t="str">
            <v>(@ 3 Ft)</v>
          </cell>
          <cell r="BY4" t="str">
            <v>(3300 ft)</v>
          </cell>
          <cell r="BZ4" t="str">
            <v>(in²)</v>
          </cell>
          <cell r="CA4" t="str">
            <v>(ft²)</v>
          </cell>
          <cell r="CB4" t="str">
            <v>(ft²)</v>
          </cell>
          <cell r="CC4" t="str">
            <v>(degree)</v>
          </cell>
          <cell r="CD4" t="str">
            <v>(ounces)</v>
          </cell>
          <cell r="CE4" t="str">
            <v>(lb)</v>
          </cell>
          <cell r="CF4" t="str">
            <v>(gal)</v>
          </cell>
          <cell r="CG4" t="str">
            <v>(gal)</v>
          </cell>
          <cell r="CH4" t="str">
            <v>(in³)</v>
          </cell>
          <cell r="CI4" t="str">
            <v>(in³)</v>
          </cell>
          <cell r="CJ4" t="str">
            <v>(ft³)</v>
          </cell>
          <cell r="CK4" t="str">
            <v>(ppm)</v>
          </cell>
          <cell r="CL4" t="str">
            <v>(cP)</v>
          </cell>
          <cell r="CM4" t="str">
            <v>(cSt)</v>
          </cell>
          <cell r="CN4" t="str">
            <v>(SSU)</v>
          </cell>
          <cell r="CO4" t="str">
            <v>(SSU @ 100°F)</v>
          </cell>
          <cell r="CP4" t="str">
            <v>(SSU @ 212°F)</v>
          </cell>
          <cell r="CQ4" t="str">
            <v>(lb/ft³)</v>
          </cell>
          <cell r="CR4" t="str">
            <v>(scf/gal)</v>
          </cell>
          <cell r="CS4" t="str">
            <v>(lb/lb mol)</v>
          </cell>
          <cell r="CT4" t="str">
            <v>(MW)</v>
          </cell>
          <cell r="CU4" t="str">
            <v>(Btu/ft h °F)</v>
          </cell>
          <cell r="CV4" t="str">
            <v>(Btu/lb mol)</v>
          </cell>
          <cell r="CW4" t="str">
            <v>(lbf/ft³)</v>
          </cell>
          <cell r="CX4" t="str">
            <v>(BTU/lb °F)</v>
          </cell>
          <cell r="CY4" t="str">
            <v>(Btu/lb)</v>
          </cell>
          <cell r="CZ4" t="str">
            <v>(BTU/ft³)</v>
          </cell>
          <cell r="DA4" t="str">
            <v>(hr ft²°F/BTU)</v>
          </cell>
        </row>
        <row r="5">
          <cell r="B5" t="str">
            <v>SI UNITS (bar)</v>
          </cell>
          <cell r="C5" t="str">
            <v>Nm³/h</v>
          </cell>
          <cell r="D5" t="str">
            <v>(m³/h)</v>
          </cell>
          <cell r="E5" t="str">
            <v>(m³/h)</v>
          </cell>
          <cell r="F5" t="str">
            <v>(m³/h)</v>
          </cell>
          <cell r="G5" t="str">
            <v>(L/min)</v>
          </cell>
          <cell r="H5" t="str">
            <v>(L/min)</v>
          </cell>
          <cell r="I5" t="str">
            <v>(m³/h)</v>
          </cell>
          <cell r="J5" t="str">
            <v>(l/day/seal)</v>
          </cell>
          <cell r="K5" t="str">
            <v>(kg/sec)</v>
          </cell>
          <cell r="L5" t="str">
            <v>(kg/h)</v>
          </cell>
          <cell r="M5" t="str">
            <v>(kg/h)</v>
          </cell>
          <cell r="N5" t="str">
            <v>(barA)</v>
          </cell>
          <cell r="O5" t="str">
            <v>(mbarA)</v>
          </cell>
          <cell r="P5" t="str">
            <v>(barG)</v>
          </cell>
          <cell r="Q5" t="str">
            <v>(bar)</v>
          </cell>
          <cell r="R5" t="str">
            <v>(kbar)</v>
          </cell>
          <cell r="S5" t="str">
            <v>(m)</v>
          </cell>
          <cell r="T5" t="str">
            <v>(kg/m²)</v>
          </cell>
          <cell r="U5" t="str">
            <v>(1.013 barA &amp; 0°C DRY)</v>
          </cell>
          <cell r="V5" t="str">
            <v>345 kg/cm²</v>
          </cell>
          <cell r="W5" t="str">
            <v>(mm H2O abs)</v>
          </cell>
          <cell r="X5" t="str">
            <v>(mm H2O)</v>
          </cell>
          <cell r="Y5" t="str">
            <v>(mm Hg abs)</v>
          </cell>
          <cell r="Z5" t="str">
            <v>(dBA)</v>
          </cell>
          <cell r="AA5" t="str">
            <v>(N-m/kg)</v>
          </cell>
          <cell r="AB5" t="str">
            <v>(°C)</v>
          </cell>
          <cell r="AC5" t="str">
            <v>(@ 15 °C)</v>
          </cell>
          <cell r="AD5" t="str">
            <v>(@ 37.7 °C)</v>
          </cell>
          <cell r="AE5" t="str">
            <v>(@ 65 °C)</v>
          </cell>
          <cell r="AF5" t="str">
            <v>(@ 100 °C)</v>
          </cell>
          <cell r="AG5" t="str">
            <v>(N)</v>
          </cell>
          <cell r="AH5" t="str">
            <v>(kN)</v>
          </cell>
          <cell r="AI5" t="str">
            <v>(BkW)</v>
          </cell>
          <cell r="AJ5" t="str">
            <v>(kW)</v>
          </cell>
          <cell r="AK5" t="str">
            <v>(MW)</v>
          </cell>
          <cell r="AL5" t="str">
            <v>(kW)</v>
          </cell>
          <cell r="AM5" t="str">
            <v>(kJ/min)</v>
          </cell>
          <cell r="AN5" t="str">
            <v>(kJ/hr)</v>
          </cell>
          <cell r="AO5" t="str">
            <v>(kJ/kW-hr)</v>
          </cell>
          <cell r="AP5" t="str">
            <v>(kJ/hr m² °C)</v>
          </cell>
          <cell r="AQ5" t="str">
            <v>(kW/100 rpm)</v>
          </cell>
          <cell r="AR5" t="str">
            <v>(BkW/ 100 m³/h)</v>
          </cell>
          <cell r="AS5" t="str">
            <v>(kg/kW-hr)</v>
          </cell>
          <cell r="AT5" t="str">
            <v>(W/in²)</v>
          </cell>
          <cell r="AU5" t="str">
            <v>(W)</v>
          </cell>
          <cell r="AV5" t="str">
            <v>(kJ)</v>
          </cell>
          <cell r="AW5" t="str">
            <v>(kW-h)</v>
          </cell>
          <cell r="AX5" t="str">
            <v>(J)</v>
          </cell>
          <cell r="AY5" t="str">
            <v>(N-m)</v>
          </cell>
          <cell r="AZ5" t="str">
            <v>(g-mm)</v>
          </cell>
          <cell r="BA5" t="str">
            <v>(kg-m²)</v>
          </cell>
          <cell r="BB5" t="str">
            <v>(kg-m/rad)</v>
          </cell>
          <cell r="BC5" t="str">
            <v>(MPa)</v>
          </cell>
          <cell r="BD5" t="str">
            <v>(A)</v>
          </cell>
          <cell r="BE5" t="str">
            <v>(V)</v>
          </cell>
          <cell r="BF5" t="str">
            <v>(ohm)</v>
          </cell>
          <cell r="BG5" t="str">
            <v>(Mho)</v>
          </cell>
          <cell r="BH5" t="str">
            <v>(barG/mA)</v>
          </cell>
          <cell r="BI5" t="str">
            <v>(sec)</v>
          </cell>
          <cell r="BJ5" t="str">
            <v>(min)</v>
          </cell>
          <cell r="BK5" t="str">
            <v>(hr)</v>
          </cell>
          <cell r="BL5" t="str">
            <v>(days)</v>
          </cell>
          <cell r="BM5" t="str">
            <v>(Hz)</v>
          </cell>
          <cell r="BN5" t="str">
            <v>(m/s)</v>
          </cell>
          <cell r="BO5" t="str">
            <v>(m/hr)</v>
          </cell>
          <cell r="BP5" t="str">
            <v>(km/h)</v>
          </cell>
          <cell r="BQ5" t="str">
            <v>(rpm)</v>
          </cell>
          <cell r="BR5" t="str">
            <v>(mm/sec²)</v>
          </cell>
          <cell r="BS5" t="str">
            <v>(µm)</v>
          </cell>
          <cell r="BT5" t="str">
            <v>(mm)</v>
          </cell>
          <cell r="BU5" t="str">
            <v>(m)</v>
          </cell>
          <cell r="BV5" t="str">
            <v>(km)</v>
          </cell>
          <cell r="BW5" t="str">
            <v>(mm/m)</v>
          </cell>
          <cell r="BX5" t="str">
            <v>(@ 1 m)</v>
          </cell>
          <cell r="BY5" t="str">
            <v>(1000 m)</v>
          </cell>
          <cell r="BZ5" t="str">
            <v>(mm²)</v>
          </cell>
          <cell r="CA5" t="str">
            <v>(cm²)</v>
          </cell>
          <cell r="CB5" t="str">
            <v>(m²)</v>
          </cell>
          <cell r="CC5" t="str">
            <v>(degree)</v>
          </cell>
          <cell r="CD5" t="str">
            <v>(g)</v>
          </cell>
          <cell r="CE5" t="str">
            <v>(kg)</v>
          </cell>
          <cell r="CF5" t="str">
            <v>(l)</v>
          </cell>
          <cell r="CG5" t="str">
            <v>(m³)</v>
          </cell>
          <cell r="CH5" t="str">
            <v>(mm³)</v>
          </cell>
          <cell r="CI5" t="str">
            <v>(cm³)</v>
          </cell>
          <cell r="CJ5" t="str">
            <v>(m³)</v>
          </cell>
          <cell r="CK5" t="str">
            <v>(ppm)</v>
          </cell>
          <cell r="CL5" t="str">
            <v>(mPa-s)</v>
          </cell>
          <cell r="CM5" t="str">
            <v>(mm²/s)</v>
          </cell>
          <cell r="CN5" t="str">
            <v>(SSU)</v>
          </cell>
          <cell r="CO5" t="str">
            <v>(SSU @ 37.7°C)</v>
          </cell>
          <cell r="CP5" t="str">
            <v>(SSU @ 100°C)</v>
          </cell>
          <cell r="CQ5" t="str">
            <v>(kg/m³)</v>
          </cell>
          <cell r="CR5" t="str">
            <v>(m³/L)</v>
          </cell>
          <cell r="CS5" t="str">
            <v>(lb/lb mol)</v>
          </cell>
          <cell r="CT5" t="str">
            <v>(MW)</v>
          </cell>
          <cell r="CU5" t="str">
            <v>(kJ/m h °C)</v>
          </cell>
          <cell r="CV5" t="str">
            <v>(kJ/kg mol)</v>
          </cell>
          <cell r="CW5" t="str">
            <v>(kN/m³)</v>
          </cell>
          <cell r="CX5" t="str">
            <v>(kJ/kg °C)</v>
          </cell>
          <cell r="CY5" t="str">
            <v>(kJ/kg)</v>
          </cell>
          <cell r="CZ5" t="str">
            <v>(kJ/Nm³)</v>
          </cell>
          <cell r="DA5" t="str">
            <v>(hr m² °C/kJ)</v>
          </cell>
        </row>
        <row r="6">
          <cell r="B6" t="str">
            <v>SI UNITS (kPa)</v>
          </cell>
          <cell r="C6" t="str">
            <v>Nm³/h</v>
          </cell>
          <cell r="D6" t="str">
            <v>(m³/h)</v>
          </cell>
          <cell r="E6" t="str">
            <v>(m³/h)</v>
          </cell>
          <cell r="F6" t="str">
            <v>(m³/h)</v>
          </cell>
          <cell r="G6" t="str">
            <v>(L/min)</v>
          </cell>
          <cell r="H6" t="str">
            <v>(L/min)</v>
          </cell>
          <cell r="I6" t="str">
            <v>(m³/h)</v>
          </cell>
          <cell r="J6" t="str">
            <v>(l/day/seal)</v>
          </cell>
          <cell r="K6" t="str">
            <v>(kg/sec)</v>
          </cell>
          <cell r="L6" t="str">
            <v>(kg/h)</v>
          </cell>
          <cell r="M6" t="str">
            <v>(kg/h)</v>
          </cell>
          <cell r="N6" t="str">
            <v>(kPaA)</v>
          </cell>
          <cell r="O6" t="str">
            <v>(mbarA)</v>
          </cell>
          <cell r="P6" t="str">
            <v>(kPaG)</v>
          </cell>
          <cell r="Q6" t="str">
            <v>(kPa)</v>
          </cell>
          <cell r="R6" t="str">
            <v>(MPa)</v>
          </cell>
          <cell r="S6" t="str">
            <v>(m)</v>
          </cell>
          <cell r="T6" t="str">
            <v>(kg/m²)</v>
          </cell>
          <cell r="U6" t="str">
            <v>(101.3 kPaA &amp; 0°C DRY)</v>
          </cell>
          <cell r="V6" t="str">
            <v>34470 kPa</v>
          </cell>
          <cell r="W6" t="str">
            <v>(mm H2O abs)</v>
          </cell>
          <cell r="X6" t="str">
            <v>(mm H2O)</v>
          </cell>
          <cell r="Y6" t="str">
            <v>(mm Hg abs)</v>
          </cell>
          <cell r="Z6" t="str">
            <v>(dBA)</v>
          </cell>
          <cell r="AA6" t="str">
            <v>(N-m/kg)</v>
          </cell>
          <cell r="AB6" t="str">
            <v>(°C)</v>
          </cell>
          <cell r="AC6" t="str">
            <v>(@ 15 °C)</v>
          </cell>
          <cell r="AD6" t="str">
            <v>(@ 37.7 °C)</v>
          </cell>
          <cell r="AE6" t="str">
            <v>(@ 65 °C)</v>
          </cell>
          <cell r="AF6" t="str">
            <v>(@ 100 °C)</v>
          </cell>
          <cell r="AG6" t="str">
            <v>(N)</v>
          </cell>
          <cell r="AH6" t="str">
            <v>(kN)</v>
          </cell>
          <cell r="AI6" t="str">
            <v>(BkW)</v>
          </cell>
          <cell r="AJ6" t="str">
            <v>(kW)</v>
          </cell>
          <cell r="AK6" t="str">
            <v>(MW)</v>
          </cell>
          <cell r="AL6" t="str">
            <v>(kW)</v>
          </cell>
          <cell r="AM6" t="str">
            <v>(kJ/min)</v>
          </cell>
          <cell r="AN6" t="str">
            <v>(kJ/hr)</v>
          </cell>
          <cell r="AO6" t="str">
            <v>(kJ/kW-hr)</v>
          </cell>
          <cell r="AP6" t="str">
            <v>(kJ/hr m² °C)</v>
          </cell>
          <cell r="AQ6" t="str">
            <v>(kW/100 rpm)</v>
          </cell>
          <cell r="AR6" t="str">
            <v>(BkW/ 100 m³/h)</v>
          </cell>
          <cell r="AS6" t="str">
            <v>(kg/kW-hr)</v>
          </cell>
          <cell r="AT6" t="str">
            <v>(W/in²)</v>
          </cell>
          <cell r="AU6" t="str">
            <v>(W)</v>
          </cell>
          <cell r="AV6" t="str">
            <v>(kJ)</v>
          </cell>
          <cell r="AW6" t="str">
            <v>(kW-h)</v>
          </cell>
          <cell r="AX6" t="str">
            <v>(J)</v>
          </cell>
          <cell r="AY6" t="str">
            <v>(N-m)</v>
          </cell>
          <cell r="AZ6" t="str">
            <v>(g-mm)</v>
          </cell>
          <cell r="BA6" t="str">
            <v>(kg-m²)</v>
          </cell>
          <cell r="BB6" t="str">
            <v>(kg-m/rad)</v>
          </cell>
          <cell r="BC6" t="str">
            <v>(MPa)</v>
          </cell>
          <cell r="BD6" t="str">
            <v>(A)</v>
          </cell>
          <cell r="BE6" t="str">
            <v>(V)</v>
          </cell>
          <cell r="BF6" t="str">
            <v>(ohm)</v>
          </cell>
          <cell r="BG6" t="str">
            <v>(Mho)</v>
          </cell>
          <cell r="BH6" t="str">
            <v>(kPaG/mA)</v>
          </cell>
          <cell r="BI6" t="str">
            <v>(sec)</v>
          </cell>
          <cell r="BJ6" t="str">
            <v>(min)</v>
          </cell>
          <cell r="BK6" t="str">
            <v>(hr)</v>
          </cell>
          <cell r="BL6" t="str">
            <v>(days)</v>
          </cell>
          <cell r="BM6" t="str">
            <v>(Hz)</v>
          </cell>
          <cell r="BN6" t="str">
            <v>(m/s)</v>
          </cell>
          <cell r="BO6" t="str">
            <v>(m/hr)</v>
          </cell>
          <cell r="BP6" t="str">
            <v>(km/h)</v>
          </cell>
          <cell r="BQ6" t="str">
            <v>(rpm)</v>
          </cell>
          <cell r="BR6" t="str">
            <v>(mm/sec²)</v>
          </cell>
          <cell r="BS6" t="str">
            <v>(µm)</v>
          </cell>
          <cell r="BT6" t="str">
            <v>(mm)</v>
          </cell>
          <cell r="BU6" t="str">
            <v>(m)</v>
          </cell>
          <cell r="BV6" t="str">
            <v>(km)</v>
          </cell>
          <cell r="BW6" t="str">
            <v>(mm/m)</v>
          </cell>
          <cell r="BX6" t="str">
            <v>(@ 1 m)</v>
          </cell>
          <cell r="BY6" t="str">
            <v>(1000 m)</v>
          </cell>
          <cell r="BZ6" t="str">
            <v>(mm²)</v>
          </cell>
          <cell r="CA6" t="str">
            <v>(cm²)</v>
          </cell>
          <cell r="CB6" t="str">
            <v>(m²)</v>
          </cell>
          <cell r="CC6" t="str">
            <v>(degree)</v>
          </cell>
          <cell r="CD6" t="str">
            <v>(g)</v>
          </cell>
          <cell r="CE6" t="str">
            <v>(kg)</v>
          </cell>
          <cell r="CF6" t="str">
            <v>(l)</v>
          </cell>
          <cell r="CG6" t="str">
            <v>(m³)</v>
          </cell>
          <cell r="CH6" t="str">
            <v>(mm³)</v>
          </cell>
          <cell r="CI6" t="str">
            <v>(cm³)</v>
          </cell>
          <cell r="CJ6" t="str">
            <v>(m³)</v>
          </cell>
          <cell r="CK6" t="str">
            <v>(ppm)</v>
          </cell>
          <cell r="CL6" t="str">
            <v>(mPa-s)</v>
          </cell>
          <cell r="CM6" t="str">
            <v>(mm²/s)</v>
          </cell>
          <cell r="CN6" t="str">
            <v>(SSU)</v>
          </cell>
          <cell r="CO6" t="str">
            <v>(SSU @ 37.7°C)</v>
          </cell>
          <cell r="CP6" t="str">
            <v>(SSU @ 100°C)</v>
          </cell>
          <cell r="CQ6" t="str">
            <v>(kg/m³)</v>
          </cell>
          <cell r="CR6" t="str">
            <v>(m³/L)</v>
          </cell>
          <cell r="CS6" t="str">
            <v>(lb/lb mol)</v>
          </cell>
          <cell r="CT6" t="str">
            <v>(MW)</v>
          </cell>
          <cell r="CU6" t="str">
            <v>(kJ/m h °C)</v>
          </cell>
          <cell r="CV6" t="str">
            <v>(kJ/kg mol)</v>
          </cell>
          <cell r="CW6" t="str">
            <v>(kN/m³)</v>
          </cell>
          <cell r="CX6" t="str">
            <v>(kJ/kg °C)</v>
          </cell>
          <cell r="CY6" t="str">
            <v>(kJ/kg)</v>
          </cell>
          <cell r="CZ6" t="str">
            <v>(kJ/Nm³)</v>
          </cell>
          <cell r="DA6" t="str">
            <v>(hr m² °C/kJ)</v>
          </cell>
        </row>
        <row r="7">
          <cell r="B7" t="str">
            <v>METRIC (kg/cm2)</v>
          </cell>
          <cell r="C7" t="str">
            <v>Nm³/h</v>
          </cell>
          <cell r="D7" t="str">
            <v>(m³/h)</v>
          </cell>
          <cell r="E7" t="str">
            <v>(m³/h)</v>
          </cell>
          <cell r="F7" t="str">
            <v>(m³/h)</v>
          </cell>
          <cell r="G7" t="str">
            <v>(L/min)</v>
          </cell>
          <cell r="H7" t="str">
            <v>(L/min)</v>
          </cell>
          <cell r="I7" t="str">
            <v>(m³/h)</v>
          </cell>
          <cell r="J7" t="str">
            <v>(l/day/seal)</v>
          </cell>
          <cell r="K7" t="str">
            <v>(kg/sec)</v>
          </cell>
          <cell r="L7" t="str">
            <v>(kg/h)</v>
          </cell>
          <cell r="M7" t="str">
            <v>(kg/h)</v>
          </cell>
          <cell r="N7" t="str">
            <v>(kg/cm²A)</v>
          </cell>
          <cell r="O7" t="str">
            <v>(mbarA)</v>
          </cell>
          <cell r="P7" t="str">
            <v>(kg/cm²G)</v>
          </cell>
          <cell r="Q7" t="str">
            <v>(kg/cm²)</v>
          </cell>
          <cell r="R7" t="str">
            <v>(Mg/cm²)</v>
          </cell>
          <cell r="S7" t="str">
            <v>(m)</v>
          </cell>
          <cell r="T7" t="str">
            <v>(kg/m²)</v>
          </cell>
          <cell r="U7" t="str">
            <v>(1.033 kg/cm²A &amp; 0°C DRY)</v>
          </cell>
          <cell r="V7" t="str">
            <v>353 kg/cm²</v>
          </cell>
          <cell r="W7" t="str">
            <v>(mm H2O abs)</v>
          </cell>
          <cell r="X7" t="str">
            <v>(mm H2O)</v>
          </cell>
          <cell r="Y7" t="str">
            <v>(mm Hg abs)</v>
          </cell>
          <cell r="Z7" t="str">
            <v>(dBA)</v>
          </cell>
          <cell r="AA7" t="str">
            <v>(N-m/kg)</v>
          </cell>
          <cell r="AB7" t="str">
            <v>(°C)</v>
          </cell>
          <cell r="AC7" t="str">
            <v>(@ 15 °C)</v>
          </cell>
          <cell r="AD7" t="str">
            <v>(@ 37.7 °C)</v>
          </cell>
          <cell r="AE7" t="str">
            <v>(@ 65 °C)</v>
          </cell>
          <cell r="AF7" t="str">
            <v>(@ 100 °C)</v>
          </cell>
          <cell r="AG7" t="str">
            <v>(N)</v>
          </cell>
          <cell r="AH7" t="str">
            <v>(kN)</v>
          </cell>
          <cell r="AI7" t="str">
            <v>(BkW)</v>
          </cell>
          <cell r="AJ7" t="str">
            <v>(kW)</v>
          </cell>
          <cell r="AK7" t="str">
            <v>(MW)</v>
          </cell>
          <cell r="AL7" t="str">
            <v>(kW)</v>
          </cell>
          <cell r="AM7" t="str">
            <v>(kJ/min)</v>
          </cell>
          <cell r="AN7" t="str">
            <v>(kJ/hr)</v>
          </cell>
          <cell r="AO7" t="str">
            <v>(kJ/kW-hr)</v>
          </cell>
          <cell r="AP7" t="str">
            <v>(kJ/hr m² °C)</v>
          </cell>
          <cell r="AQ7" t="str">
            <v>(kW/100 rpm)</v>
          </cell>
          <cell r="AR7" t="str">
            <v>(BkW/ 100 m³/h)</v>
          </cell>
          <cell r="AS7" t="str">
            <v>(kg/kW-hr)</v>
          </cell>
          <cell r="AT7" t="str">
            <v>(W/in²)</v>
          </cell>
          <cell r="AU7" t="str">
            <v>(W)</v>
          </cell>
          <cell r="AV7" t="str">
            <v>(kJ)</v>
          </cell>
          <cell r="AW7" t="str">
            <v>(kW-h)</v>
          </cell>
          <cell r="AX7" t="str">
            <v>(J)</v>
          </cell>
          <cell r="AY7" t="str">
            <v>(N-m)</v>
          </cell>
          <cell r="AZ7" t="str">
            <v>(g-mm)</v>
          </cell>
          <cell r="BA7" t="str">
            <v>(kg-m²)</v>
          </cell>
          <cell r="BB7" t="str">
            <v>(kg-m/rad)</v>
          </cell>
          <cell r="BC7" t="str">
            <v>(MPa)</v>
          </cell>
          <cell r="BD7" t="str">
            <v>(A)</v>
          </cell>
          <cell r="BE7" t="str">
            <v>(V)</v>
          </cell>
          <cell r="BF7" t="str">
            <v>(ohm)</v>
          </cell>
          <cell r="BG7" t="str">
            <v>(Mho)</v>
          </cell>
          <cell r="BH7" t="str">
            <v>(kg/cm²G/mA)</v>
          </cell>
          <cell r="BI7" t="str">
            <v>(sec)</v>
          </cell>
          <cell r="BJ7" t="str">
            <v>(min)</v>
          </cell>
          <cell r="BK7" t="str">
            <v>(hr)</v>
          </cell>
          <cell r="BL7" t="str">
            <v>(days)</v>
          </cell>
          <cell r="BM7" t="str">
            <v>(Hz)</v>
          </cell>
          <cell r="BN7" t="str">
            <v>(m/s)</v>
          </cell>
          <cell r="BO7" t="str">
            <v>(m/hr)</v>
          </cell>
          <cell r="BP7" t="str">
            <v>(km/h)</v>
          </cell>
          <cell r="BQ7" t="str">
            <v>(rpm)</v>
          </cell>
          <cell r="BR7" t="str">
            <v>(mm/sec²)</v>
          </cell>
          <cell r="BS7" t="str">
            <v>(µm)</v>
          </cell>
          <cell r="BT7" t="str">
            <v>(mm)</v>
          </cell>
          <cell r="BU7" t="str">
            <v>(m)</v>
          </cell>
          <cell r="BV7" t="str">
            <v>(km)</v>
          </cell>
          <cell r="BW7" t="str">
            <v>(mm/m)</v>
          </cell>
          <cell r="BX7" t="str">
            <v>(@ 1 m)</v>
          </cell>
          <cell r="BY7" t="str">
            <v>(1000 m)</v>
          </cell>
          <cell r="BZ7" t="str">
            <v>(mm²)</v>
          </cell>
          <cell r="CA7" t="str">
            <v>(cm²)</v>
          </cell>
          <cell r="CB7" t="str">
            <v>(m²)</v>
          </cell>
          <cell r="CC7" t="str">
            <v>(degree)</v>
          </cell>
          <cell r="CD7" t="str">
            <v>(g)</v>
          </cell>
          <cell r="CE7" t="str">
            <v>(kg)</v>
          </cell>
          <cell r="CF7" t="str">
            <v>(l)</v>
          </cell>
          <cell r="CG7" t="str">
            <v>(m³)</v>
          </cell>
          <cell r="CH7" t="str">
            <v>(mm³)</v>
          </cell>
          <cell r="CI7" t="str">
            <v>(cm³)</v>
          </cell>
          <cell r="CJ7" t="str">
            <v>(m³)</v>
          </cell>
          <cell r="CK7" t="str">
            <v>(ppm)</v>
          </cell>
          <cell r="CL7" t="str">
            <v>(mPa-s)</v>
          </cell>
          <cell r="CM7" t="str">
            <v>(mm²/s)</v>
          </cell>
          <cell r="CN7" t="str">
            <v>(SSU)</v>
          </cell>
          <cell r="CO7" t="str">
            <v>(SSU @ 37.7°C)</v>
          </cell>
          <cell r="CP7" t="str">
            <v>(SSU @ 100°C)</v>
          </cell>
          <cell r="CQ7" t="str">
            <v>(kg/m³)</v>
          </cell>
          <cell r="CR7" t="str">
            <v>(m³/L)</v>
          </cell>
          <cell r="CS7" t="str">
            <v>(lb/lb mol)</v>
          </cell>
          <cell r="CT7" t="str">
            <v>(MW)</v>
          </cell>
          <cell r="CU7" t="str">
            <v>(kJ/m h °C)</v>
          </cell>
          <cell r="CV7" t="str">
            <v>(kJ/kg mol)</v>
          </cell>
          <cell r="CW7" t="str">
            <v>(kN/m³)</v>
          </cell>
          <cell r="CX7" t="str">
            <v>(kJ/kg °C)</v>
          </cell>
          <cell r="CY7" t="str">
            <v>(kJ/kg)</v>
          </cell>
          <cell r="CZ7" t="str">
            <v>(kJ/Nm³)</v>
          </cell>
          <cell r="DA7" t="str">
            <v>(hr m² °C/kJ)</v>
          </cell>
        </row>
        <row r="8">
          <cell r="B8" t="str">
            <v>Hybrid</v>
          </cell>
          <cell r="Z8" t="str">
            <v>(µPa)</v>
          </cell>
          <cell r="BG8" t="str">
            <v>S</v>
          </cell>
          <cell r="CM8" t="str">
            <v>SSU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D"/>
      <sheetName val="cable"/>
      <sheetName val="MCC"/>
      <sheetName val="INSTR"/>
      <sheetName val="Cover"/>
      <sheetName val="SS2"/>
    </sheetNames>
    <sheetDataSet>
      <sheetData sheetId="0"/>
      <sheetData sheetId="1"/>
      <sheetData sheetId="2">
        <row r="1">
          <cell r="C1">
            <v>0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본 "/>
      <sheetName val="Load List(원본)"/>
      <sheetName val="Load List "/>
    </sheetNames>
    <sheetDataSet>
      <sheetData sheetId="0"/>
      <sheetData sheetId="1">
        <row r="10">
          <cell r="B10" t="str">
            <v>Process Equipment</v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P11" t="str">
            <v>4850-HDB-101A</v>
          </cell>
        </row>
        <row r="12">
          <cell r="P12" t="str">
            <v>4850-HDB-101B</v>
          </cell>
        </row>
        <row r="13">
          <cell r="P13" t="str">
            <v>4850-HDB-101A</v>
          </cell>
        </row>
        <row r="14">
          <cell r="P14" t="str">
            <v>4850-HDB-101B</v>
          </cell>
        </row>
        <row r="15">
          <cell r="P15" t="str">
            <v>4850-HDB-101A</v>
          </cell>
        </row>
        <row r="16">
          <cell r="P16" t="str">
            <v>4850-HDB-101B</v>
          </cell>
        </row>
        <row r="17">
          <cell r="P17" t="str">
            <v>4850-HDB-101A</v>
          </cell>
        </row>
        <row r="18">
          <cell r="P18" t="str">
            <v>4850-HDB-101A</v>
          </cell>
        </row>
        <row r="19">
          <cell r="P19" t="str">
            <v>4850-HDB-101A</v>
          </cell>
        </row>
        <row r="20">
          <cell r="P20" t="str">
            <v>4850-HDB-101B</v>
          </cell>
        </row>
        <row r="21">
          <cell r="P21" t="str">
            <v>4850-HDB-101A</v>
          </cell>
        </row>
        <row r="22">
          <cell r="P22" t="str">
            <v>4850-HDB-101B</v>
          </cell>
        </row>
        <row r="23">
          <cell r="P23" t="str">
            <v>4850-HDB-101A</v>
          </cell>
        </row>
        <row r="24">
          <cell r="P24" t="str">
            <v>4850-HDB-101B</v>
          </cell>
        </row>
        <row r="25">
          <cell r="P25" t="str">
            <v>4850-HDB-101A</v>
          </cell>
        </row>
        <row r="26">
          <cell r="P26">
            <v>0</v>
          </cell>
        </row>
        <row r="27">
          <cell r="P27" t="str">
            <v>4850-HDB-101A</v>
          </cell>
        </row>
        <row r="28">
          <cell r="P28" t="str">
            <v>4850-HDB-101B</v>
          </cell>
        </row>
        <row r="29">
          <cell r="P29" t="str">
            <v>4850-HDB-101A</v>
          </cell>
        </row>
        <row r="30">
          <cell r="P30">
            <v>0</v>
          </cell>
        </row>
        <row r="31">
          <cell r="P31">
            <v>0</v>
          </cell>
        </row>
        <row r="32">
          <cell r="P32">
            <v>0</v>
          </cell>
        </row>
        <row r="33">
          <cell r="P33" t="str">
            <v>4850-MDB-201B</v>
          </cell>
        </row>
        <row r="34">
          <cell r="P34">
            <v>0</v>
          </cell>
        </row>
        <row r="35">
          <cell r="P35" t="str">
            <v>4850-MDB-201A</v>
          </cell>
        </row>
        <row r="36">
          <cell r="P36" t="str">
            <v>4850-MDB-201B</v>
          </cell>
        </row>
        <row r="37">
          <cell r="P37" t="str">
            <v>4850-MDB-201A</v>
          </cell>
        </row>
        <row r="38">
          <cell r="P38" t="str">
            <v>4850-MDB-201B</v>
          </cell>
        </row>
        <row r="39">
          <cell r="P39" t="str">
            <v>4850-MDB-201A</v>
          </cell>
        </row>
        <row r="40">
          <cell r="P40" t="str">
            <v>4850-MDB-201B</v>
          </cell>
        </row>
        <row r="41">
          <cell r="P41" t="str">
            <v>4850-MDB-201A</v>
          </cell>
        </row>
        <row r="42">
          <cell r="P42" t="str">
            <v>4850-MDB-201B</v>
          </cell>
        </row>
        <row r="43">
          <cell r="P43" t="str">
            <v>4850-MDB-201A</v>
          </cell>
        </row>
        <row r="44">
          <cell r="P44">
            <v>0</v>
          </cell>
        </row>
        <row r="45">
          <cell r="P45" t="str">
            <v>4850-MDB-201A</v>
          </cell>
        </row>
        <row r="46">
          <cell r="P46" t="str">
            <v>4850-MDB-201A</v>
          </cell>
        </row>
        <row r="47">
          <cell r="P47" t="str">
            <v>4850-MDB-201A</v>
          </cell>
        </row>
        <row r="48">
          <cell r="P48" t="str">
            <v>4850-MDB-201B</v>
          </cell>
        </row>
        <row r="49">
          <cell r="P49" t="str">
            <v>4850-MDB-201B</v>
          </cell>
        </row>
        <row r="50">
          <cell r="P50" t="str">
            <v>4850-MDB-201A</v>
          </cell>
        </row>
        <row r="51">
          <cell r="P51" t="str">
            <v>4850-MDB-201A</v>
          </cell>
        </row>
        <row r="52">
          <cell r="P52">
            <v>0</v>
          </cell>
        </row>
        <row r="53">
          <cell r="P53" t="str">
            <v>4850-MDB-201B</v>
          </cell>
        </row>
        <row r="54">
          <cell r="P54" t="str">
            <v>4850-MDB-201A</v>
          </cell>
        </row>
        <row r="55">
          <cell r="P55" t="str">
            <v>4850-MDB-201B</v>
          </cell>
        </row>
        <row r="56">
          <cell r="P56" t="str">
            <v>4850-MDB-201A</v>
          </cell>
        </row>
        <row r="57">
          <cell r="P57">
            <v>0</v>
          </cell>
        </row>
        <row r="58">
          <cell r="P58" t="str">
            <v>4850-MDB-202B</v>
          </cell>
        </row>
        <row r="59">
          <cell r="P59" t="str">
            <v>4850-MDB-202A</v>
          </cell>
        </row>
        <row r="60">
          <cell r="P60" t="str">
            <v>4850-MDB-202A</v>
          </cell>
        </row>
        <row r="61">
          <cell r="P61" t="str">
            <v>4850-MDB-202A</v>
          </cell>
        </row>
        <row r="62">
          <cell r="P62" t="str">
            <v>4850-MDB-202A</v>
          </cell>
        </row>
        <row r="63">
          <cell r="P63" t="str">
            <v>4850-MDB-202A</v>
          </cell>
        </row>
        <row r="64">
          <cell r="P64" t="str">
            <v>4850-MDB-202A</v>
          </cell>
        </row>
        <row r="65">
          <cell r="P65" t="str">
            <v>4850-MDB-202B</v>
          </cell>
        </row>
        <row r="66">
          <cell r="P66" t="str">
            <v>4850-MDB-202A</v>
          </cell>
        </row>
        <row r="67">
          <cell r="P67">
            <v>0</v>
          </cell>
        </row>
        <row r="68">
          <cell r="P68" t="str">
            <v>4850-MDB-202A</v>
          </cell>
        </row>
        <row r="69">
          <cell r="P69" t="str">
            <v>4850-MDB-202B</v>
          </cell>
        </row>
        <row r="70">
          <cell r="P70" t="str">
            <v>4850-MDB-202B</v>
          </cell>
        </row>
        <row r="71">
          <cell r="P71" t="str">
            <v>4850-MDB-202A</v>
          </cell>
        </row>
        <row r="72">
          <cell r="P72" t="str">
            <v>4850-MDB-202B</v>
          </cell>
        </row>
        <row r="73">
          <cell r="P73" t="str">
            <v>4850-MDB-202A</v>
          </cell>
        </row>
        <row r="74">
          <cell r="P74" t="str">
            <v>4850-MDB-202B</v>
          </cell>
        </row>
        <row r="75">
          <cell r="P75" t="str">
            <v>4850-MDB-202A</v>
          </cell>
        </row>
        <row r="76">
          <cell r="P76" t="str">
            <v>4850-MDB-202B</v>
          </cell>
        </row>
        <row r="77">
          <cell r="P77" t="str">
            <v>4850-MDB-202A</v>
          </cell>
        </row>
        <row r="78">
          <cell r="P78" t="str">
            <v>4850-MDB-202B</v>
          </cell>
        </row>
        <row r="79">
          <cell r="P79" t="str">
            <v>4850-MDB-202A</v>
          </cell>
        </row>
        <row r="80">
          <cell r="P80" t="str">
            <v>4850-MDB-202B</v>
          </cell>
        </row>
        <row r="81">
          <cell r="P81" t="str">
            <v>4850-MDB-202A</v>
          </cell>
        </row>
        <row r="82">
          <cell r="P82" t="str">
            <v>4850-MDB-202B</v>
          </cell>
        </row>
        <row r="83">
          <cell r="P83" t="str">
            <v>4850-MDB-202B</v>
          </cell>
        </row>
        <row r="84">
          <cell r="P84" t="str">
            <v>4850-MDB-202A</v>
          </cell>
        </row>
        <row r="85">
          <cell r="P85" t="str">
            <v>4850-MDB-202A</v>
          </cell>
        </row>
        <row r="86">
          <cell r="P86" t="str">
            <v>4850-MDB-202B</v>
          </cell>
        </row>
        <row r="87">
          <cell r="P87" t="str">
            <v>4850-MDB-202A</v>
          </cell>
        </row>
        <row r="88">
          <cell r="P88" t="str">
            <v>4850-MDB-202B</v>
          </cell>
        </row>
        <row r="89">
          <cell r="P89" t="str">
            <v>4850-MDB-202A</v>
          </cell>
        </row>
        <row r="90">
          <cell r="P90" t="str">
            <v>4850-MDB-202B</v>
          </cell>
        </row>
        <row r="91">
          <cell r="P91" t="str">
            <v>4850-MDB-202A</v>
          </cell>
        </row>
        <row r="92">
          <cell r="P92" t="str">
            <v>4850-MDB-202B</v>
          </cell>
        </row>
        <row r="93">
          <cell r="P93">
            <v>0</v>
          </cell>
        </row>
        <row r="94">
          <cell r="P94" t="str">
            <v>4850-MDB-202A</v>
          </cell>
        </row>
        <row r="95">
          <cell r="P95" t="str">
            <v>4850-MDB-202B</v>
          </cell>
        </row>
        <row r="96">
          <cell r="P96" t="str">
            <v>4850-MDB-202A</v>
          </cell>
        </row>
        <row r="97">
          <cell r="P97">
            <v>0</v>
          </cell>
        </row>
        <row r="98">
          <cell r="P98">
            <v>0</v>
          </cell>
        </row>
        <row r="99">
          <cell r="P99">
            <v>0</v>
          </cell>
        </row>
        <row r="100">
          <cell r="P100">
            <v>0</v>
          </cell>
        </row>
        <row r="101">
          <cell r="P101" t="str">
            <v>4850-MDB-203A</v>
          </cell>
        </row>
        <row r="102">
          <cell r="P102" t="str">
            <v>4850-MDB-203B</v>
          </cell>
        </row>
        <row r="103">
          <cell r="P103" t="str">
            <v>4850-MDB-203A</v>
          </cell>
        </row>
        <row r="104">
          <cell r="P104" t="str">
            <v>4850-MDB-203B</v>
          </cell>
        </row>
        <row r="105">
          <cell r="P105" t="str">
            <v>4850-MDB-203A</v>
          </cell>
        </row>
        <row r="106">
          <cell r="P106" t="str">
            <v>4850-MDB-203B</v>
          </cell>
        </row>
        <row r="107">
          <cell r="P107" t="str">
            <v>4850-MDB-203A</v>
          </cell>
        </row>
        <row r="108">
          <cell r="P108" t="str">
            <v>4850-MDB-203A</v>
          </cell>
        </row>
        <row r="109">
          <cell r="P109" t="str">
            <v>4850-MDB-203B</v>
          </cell>
        </row>
        <row r="110">
          <cell r="P110" t="str">
            <v>4850-MDB-203A</v>
          </cell>
        </row>
        <row r="111">
          <cell r="P111" t="str">
            <v>4850-MDB-203B</v>
          </cell>
        </row>
        <row r="112">
          <cell r="P112" t="str">
            <v>4850-MDB-203A</v>
          </cell>
        </row>
        <row r="113">
          <cell r="P113" t="str">
            <v>4850-MDB-203B</v>
          </cell>
        </row>
        <row r="114">
          <cell r="P114" t="str">
            <v>4850-MDB-203B</v>
          </cell>
        </row>
        <row r="115">
          <cell r="P115" t="str">
            <v>4850-MDB-203A</v>
          </cell>
        </row>
        <row r="116">
          <cell r="P116" t="str">
            <v>4850-MDB-203B</v>
          </cell>
        </row>
        <row r="117">
          <cell r="P117" t="str">
            <v>4850-MDB-203A</v>
          </cell>
        </row>
        <row r="118">
          <cell r="P118" t="str">
            <v>4850-MDB-203B</v>
          </cell>
        </row>
        <row r="119">
          <cell r="P119" t="str">
            <v>4850-MDB-203A</v>
          </cell>
        </row>
        <row r="120">
          <cell r="P120" t="str">
            <v>4850-MDB-203B</v>
          </cell>
        </row>
        <row r="121">
          <cell r="P121" t="str">
            <v>4850-MDB-203A</v>
          </cell>
        </row>
        <row r="122">
          <cell r="P122" t="str">
            <v>4850-MDB-203B</v>
          </cell>
        </row>
        <row r="123">
          <cell r="P123" t="str">
            <v>4850-MDB-203A</v>
          </cell>
        </row>
        <row r="124">
          <cell r="P124" t="str">
            <v>4850-MDB-203B</v>
          </cell>
        </row>
        <row r="125">
          <cell r="P125" t="str">
            <v>4850-MDB-203A</v>
          </cell>
        </row>
        <row r="126">
          <cell r="P126" t="str">
            <v>4850-MDB-203B</v>
          </cell>
        </row>
        <row r="127">
          <cell r="P127" t="str">
            <v>4850-MDB-203A</v>
          </cell>
        </row>
        <row r="128">
          <cell r="P128" t="str">
            <v>4850-MDB-203B</v>
          </cell>
        </row>
        <row r="129">
          <cell r="P129" t="str">
            <v>4850-MDB-203A</v>
          </cell>
        </row>
        <row r="130">
          <cell r="P130" t="str">
            <v>4850-MDB-203B</v>
          </cell>
        </row>
        <row r="131">
          <cell r="P131" t="str">
            <v>4850-MDB-203A</v>
          </cell>
        </row>
        <row r="132">
          <cell r="P132" t="str">
            <v>4850-MDB-203B</v>
          </cell>
        </row>
        <row r="133">
          <cell r="P133" t="str">
            <v>4850-MDB-203A</v>
          </cell>
        </row>
        <row r="134">
          <cell r="P134" t="str">
            <v>4850-MDB-203B</v>
          </cell>
        </row>
        <row r="135">
          <cell r="P135" t="str">
            <v>4850-MDB-203A</v>
          </cell>
        </row>
        <row r="136">
          <cell r="P136" t="str">
            <v>4850-MDB-203B</v>
          </cell>
        </row>
        <row r="137">
          <cell r="P137" t="str">
            <v>4850-MDB-203A</v>
          </cell>
        </row>
        <row r="138">
          <cell r="P138" t="str">
            <v>4850-MDB-203B</v>
          </cell>
        </row>
        <row r="139">
          <cell r="P139" t="str">
            <v>4850-MDB-203A</v>
          </cell>
        </row>
        <row r="140">
          <cell r="P140" t="str">
            <v>4850-MDB-203B</v>
          </cell>
        </row>
        <row r="141">
          <cell r="P141" t="str">
            <v>4850-MDB-203A</v>
          </cell>
        </row>
        <row r="142">
          <cell r="P142" t="str">
            <v>4850-MDB-203B</v>
          </cell>
        </row>
        <row r="143">
          <cell r="P143" t="str">
            <v>4850-MDB-203A</v>
          </cell>
        </row>
        <row r="144">
          <cell r="P144" t="str">
            <v>4850-MDB-203B</v>
          </cell>
        </row>
        <row r="145">
          <cell r="P145" t="str">
            <v>4850-MDB-203A</v>
          </cell>
        </row>
        <row r="146">
          <cell r="P146" t="str">
            <v>4850-MDB-203B</v>
          </cell>
        </row>
        <row r="147">
          <cell r="P147" t="str">
            <v>4850-MDB-203A</v>
          </cell>
        </row>
        <row r="148">
          <cell r="P148" t="str">
            <v>4850-MDB-203B</v>
          </cell>
        </row>
        <row r="149">
          <cell r="P149" t="str">
            <v>4850-MDB-203A</v>
          </cell>
        </row>
        <row r="150">
          <cell r="P150" t="str">
            <v>4850-MDB-203B</v>
          </cell>
        </row>
        <row r="151">
          <cell r="P151" t="str">
            <v>4850-MDB-203A</v>
          </cell>
        </row>
        <row r="152">
          <cell r="P152" t="str">
            <v>4850-MDB-203B</v>
          </cell>
        </row>
        <row r="153">
          <cell r="P153">
            <v>0</v>
          </cell>
        </row>
        <row r="154">
          <cell r="P154" t="str">
            <v>4850-MDB-203A</v>
          </cell>
        </row>
        <row r="155">
          <cell r="P155" t="str">
            <v>4850-MDB-203A</v>
          </cell>
        </row>
        <row r="156">
          <cell r="P156">
            <v>0</v>
          </cell>
        </row>
        <row r="157">
          <cell r="P157" t="str">
            <v>4850-MDB-203A</v>
          </cell>
        </row>
        <row r="158">
          <cell r="P158" t="str">
            <v>4850-MDB-203B</v>
          </cell>
        </row>
        <row r="159">
          <cell r="P159">
            <v>0</v>
          </cell>
        </row>
        <row r="160">
          <cell r="P160" t="str">
            <v>4850-MDB-203A</v>
          </cell>
        </row>
        <row r="161">
          <cell r="P161" t="str">
            <v>4850-MDB-203B</v>
          </cell>
        </row>
        <row r="162">
          <cell r="P162" t="str">
            <v>4850-MDB-203A</v>
          </cell>
        </row>
        <row r="163">
          <cell r="P163" t="str">
            <v>4850-MDB-203B</v>
          </cell>
        </row>
        <row r="164">
          <cell r="P164" t="str">
            <v>4850-MDB-203A</v>
          </cell>
        </row>
        <row r="165">
          <cell r="P165" t="str">
            <v>4850-MDB-203B</v>
          </cell>
        </row>
        <row r="166">
          <cell r="P166" t="str">
            <v>4850-MDB-203B</v>
          </cell>
        </row>
        <row r="167">
          <cell r="P167" t="str">
            <v>4850-MDB-203B</v>
          </cell>
        </row>
        <row r="168">
          <cell r="P168" t="str">
            <v>4850-MDB-203A</v>
          </cell>
        </row>
        <row r="169">
          <cell r="P169" t="str">
            <v>4850-MDB-203A</v>
          </cell>
        </row>
        <row r="170">
          <cell r="P170" t="str">
            <v>4850-MDB-203A</v>
          </cell>
        </row>
        <row r="171">
          <cell r="P171" t="str">
            <v>4850-MDB-203A</v>
          </cell>
        </row>
        <row r="172">
          <cell r="P172" t="str">
            <v>4850-MDB-203A</v>
          </cell>
        </row>
        <row r="173">
          <cell r="P173" t="str">
            <v>4850-MDB-203B</v>
          </cell>
        </row>
        <row r="174">
          <cell r="P174" t="str">
            <v>4850-MDB-203A</v>
          </cell>
        </row>
        <row r="175">
          <cell r="P175">
            <v>0</v>
          </cell>
        </row>
        <row r="176">
          <cell r="P176" t="str">
            <v>4850-MDB-203A</v>
          </cell>
        </row>
        <row r="177">
          <cell r="P177">
            <v>0</v>
          </cell>
        </row>
        <row r="178">
          <cell r="P178" t="str">
            <v>4850-MDB-203B</v>
          </cell>
        </row>
        <row r="179">
          <cell r="P179" t="str">
            <v>4850-MDB-203B</v>
          </cell>
        </row>
        <row r="180">
          <cell r="P180" t="str">
            <v>4850-MDB-203B</v>
          </cell>
        </row>
        <row r="181">
          <cell r="P181">
            <v>0</v>
          </cell>
        </row>
        <row r="182">
          <cell r="P182">
            <v>0</v>
          </cell>
        </row>
        <row r="183">
          <cell r="P183">
            <v>0</v>
          </cell>
        </row>
        <row r="184">
          <cell r="P184" t="str">
            <v>4850-MDB-204A</v>
          </cell>
        </row>
        <row r="185">
          <cell r="P185" t="str">
            <v>4850-MDB-204B</v>
          </cell>
        </row>
        <row r="186">
          <cell r="P186" t="str">
            <v>4850-MDB-204A</v>
          </cell>
        </row>
        <row r="187">
          <cell r="P187" t="str">
            <v>4850-MDB-204A</v>
          </cell>
        </row>
        <row r="188">
          <cell r="P188" t="str">
            <v>4850-MDB-204B</v>
          </cell>
        </row>
        <row r="189">
          <cell r="P189" t="str">
            <v>4850-MDB-204B</v>
          </cell>
        </row>
        <row r="190">
          <cell r="P190" t="str">
            <v>4850-MDB-204B</v>
          </cell>
        </row>
        <row r="191">
          <cell r="P191" t="str">
            <v>4850-MDB-204B</v>
          </cell>
        </row>
        <row r="192">
          <cell r="P192" t="str">
            <v>4850-MDB-204A</v>
          </cell>
        </row>
        <row r="193">
          <cell r="P193" t="str">
            <v>4850-MDB-204B</v>
          </cell>
        </row>
        <row r="194">
          <cell r="P194" t="str">
            <v>4850-MDB-204A</v>
          </cell>
        </row>
        <row r="195">
          <cell r="P195" t="str">
            <v>4850-MDB-204A</v>
          </cell>
        </row>
        <row r="196">
          <cell r="P196" t="str">
            <v>4850-MDB-204A</v>
          </cell>
        </row>
        <row r="197">
          <cell r="P197" t="str">
            <v>4850-MDB-204A</v>
          </cell>
        </row>
        <row r="198">
          <cell r="P198" t="str">
            <v>4850-MDB-204B</v>
          </cell>
        </row>
        <row r="199">
          <cell r="P199" t="str">
            <v>4850-MDB-204B</v>
          </cell>
        </row>
        <row r="200">
          <cell r="P200" t="str">
            <v>4850-MDB-204B</v>
          </cell>
        </row>
        <row r="201">
          <cell r="P201" t="str">
            <v>4850-MDB-204B</v>
          </cell>
        </row>
        <row r="202">
          <cell r="P202" t="str">
            <v>4850-MDB-204B</v>
          </cell>
        </row>
        <row r="203">
          <cell r="P203" t="str">
            <v>4850-MDB-204B</v>
          </cell>
        </row>
        <row r="204">
          <cell r="P204" t="str">
            <v>4850-MDB-204B</v>
          </cell>
        </row>
        <row r="205">
          <cell r="P205" t="str">
            <v>4850-MDB-204B</v>
          </cell>
        </row>
        <row r="206">
          <cell r="P206" t="str">
            <v>4850-MDB-204A</v>
          </cell>
        </row>
        <row r="207">
          <cell r="P207" t="str">
            <v>4850-MDB-204A</v>
          </cell>
        </row>
        <row r="208">
          <cell r="P208" t="str">
            <v>4850-MDB-204B</v>
          </cell>
        </row>
        <row r="209">
          <cell r="P209" t="str">
            <v>4850-MDB-204A</v>
          </cell>
        </row>
        <row r="210">
          <cell r="P210" t="str">
            <v>4850-MDB-204B</v>
          </cell>
        </row>
        <row r="211">
          <cell r="P211" t="str">
            <v>4850-MDB-204A</v>
          </cell>
        </row>
        <row r="212">
          <cell r="P212" t="str">
            <v>4850-MDB-204B</v>
          </cell>
        </row>
        <row r="213">
          <cell r="P213" t="str">
            <v>4850-MDB-204A</v>
          </cell>
        </row>
        <row r="214">
          <cell r="P214" t="str">
            <v>4850-MDB-204B</v>
          </cell>
        </row>
        <row r="215">
          <cell r="P215">
            <v>0</v>
          </cell>
        </row>
        <row r="216">
          <cell r="P216">
            <v>0</v>
          </cell>
        </row>
        <row r="217">
          <cell r="P217" t="str">
            <v>4850-MDB-205A</v>
          </cell>
        </row>
        <row r="218">
          <cell r="P218" t="str">
            <v>4850-MDB-205B</v>
          </cell>
        </row>
        <row r="219">
          <cell r="P219" t="str">
            <v>4850-MDB-205A</v>
          </cell>
        </row>
        <row r="220">
          <cell r="P220" t="str">
            <v>4850-MDB-205B</v>
          </cell>
        </row>
        <row r="221">
          <cell r="P221" t="str">
            <v>4850-MDB-205A</v>
          </cell>
        </row>
        <row r="222">
          <cell r="P222" t="str">
            <v>4850-MDB-205B</v>
          </cell>
        </row>
        <row r="223">
          <cell r="P223" t="str">
            <v>4850-MDB-205A</v>
          </cell>
        </row>
        <row r="224">
          <cell r="P224" t="str">
            <v>4850-MDB-205B</v>
          </cell>
        </row>
        <row r="225">
          <cell r="P225" t="str">
            <v>4850-MDB-205A</v>
          </cell>
        </row>
        <row r="226">
          <cell r="P226" t="str">
            <v>4850-MDB-205B</v>
          </cell>
        </row>
        <row r="227">
          <cell r="P227" t="str">
            <v>4850-MDB-205A</v>
          </cell>
        </row>
        <row r="228">
          <cell r="P228" t="str">
            <v>4850-MDB-205B</v>
          </cell>
        </row>
        <row r="229">
          <cell r="P229" t="str">
            <v>4850-MDB-205A</v>
          </cell>
        </row>
        <row r="230">
          <cell r="P230" t="str">
            <v>4850-MDB-205B</v>
          </cell>
        </row>
        <row r="231">
          <cell r="P231" t="str">
            <v>4850-MDB-205A</v>
          </cell>
        </row>
        <row r="232">
          <cell r="P232" t="str">
            <v>4850-MDB-205B</v>
          </cell>
        </row>
        <row r="233">
          <cell r="P233" t="str">
            <v>4850-MDB-205A</v>
          </cell>
        </row>
        <row r="234">
          <cell r="P234" t="str">
            <v>4850-MDB-205B</v>
          </cell>
        </row>
        <row r="235">
          <cell r="P235" t="str">
            <v>4850-MDB-205B</v>
          </cell>
        </row>
        <row r="236">
          <cell r="P236" t="str">
            <v>4850-MDB-205A</v>
          </cell>
        </row>
        <row r="237">
          <cell r="P237" t="str">
            <v>4850-MDB-205A</v>
          </cell>
        </row>
        <row r="238">
          <cell r="P238" t="str">
            <v>4850-MDB-205B</v>
          </cell>
        </row>
        <row r="239">
          <cell r="P239" t="str">
            <v>4850-MDB-205B</v>
          </cell>
        </row>
        <row r="240">
          <cell r="P240">
            <v>0</v>
          </cell>
        </row>
        <row r="241">
          <cell r="P241" t="str">
            <v>4850-MDB-205A</v>
          </cell>
        </row>
        <row r="242">
          <cell r="P242">
            <v>0</v>
          </cell>
        </row>
        <row r="243">
          <cell r="P243">
            <v>0</v>
          </cell>
        </row>
        <row r="244">
          <cell r="P244" t="str">
            <v>4850-XDB-301A</v>
          </cell>
        </row>
        <row r="245">
          <cell r="P245" t="str">
            <v>4850-XDB-301A</v>
          </cell>
        </row>
        <row r="246">
          <cell r="P246" t="str">
            <v>4850-XDB-301A</v>
          </cell>
        </row>
        <row r="247">
          <cell r="P247" t="str">
            <v>4850-XDB-301A</v>
          </cell>
        </row>
        <row r="248">
          <cell r="P248" t="str">
            <v>4850-XDB-301A</v>
          </cell>
        </row>
        <row r="249">
          <cell r="P249" t="str">
            <v>4850-XDB-301A</v>
          </cell>
        </row>
        <row r="250">
          <cell r="P250" t="str">
            <v>4850-XDB-301A</v>
          </cell>
        </row>
        <row r="251">
          <cell r="P251" t="str">
            <v>4850-XDB-301A</v>
          </cell>
        </row>
        <row r="252">
          <cell r="P252" t="str">
            <v>4850-XDB-301A</v>
          </cell>
        </row>
        <row r="253">
          <cell r="P253" t="str">
            <v>4850-XDB-301A</v>
          </cell>
        </row>
        <row r="254">
          <cell r="P254" t="str">
            <v>4850-XDB-301A</v>
          </cell>
        </row>
        <row r="255">
          <cell r="P255" t="str">
            <v>4850-XDB-301A</v>
          </cell>
        </row>
        <row r="256">
          <cell r="P256">
            <v>0</v>
          </cell>
        </row>
        <row r="257">
          <cell r="P257" t="str">
            <v>4850-XDB-301A</v>
          </cell>
        </row>
        <row r="258">
          <cell r="P258" t="str">
            <v>4850-XDB-301A</v>
          </cell>
        </row>
        <row r="259">
          <cell r="P259" t="str">
            <v>4850-XDB-301A</v>
          </cell>
        </row>
        <row r="260">
          <cell r="P260" t="str">
            <v>4850-XDB-301A</v>
          </cell>
        </row>
        <row r="261">
          <cell r="P261" t="str">
            <v>4850-XDB-301A</v>
          </cell>
        </row>
        <row r="262">
          <cell r="P262">
            <v>0</v>
          </cell>
        </row>
        <row r="263">
          <cell r="P263">
            <v>0</v>
          </cell>
        </row>
        <row r="264">
          <cell r="P264">
            <v>0</v>
          </cell>
        </row>
        <row r="265">
          <cell r="P265" t="str">
            <v>4850-MDB-206A</v>
          </cell>
        </row>
        <row r="266">
          <cell r="P266" t="str">
            <v>4850-MDB-206B</v>
          </cell>
        </row>
        <row r="267">
          <cell r="P267" t="str">
            <v>4850-MDB-206A</v>
          </cell>
        </row>
        <row r="268">
          <cell r="P268" t="str">
            <v>4850-MDB-206B</v>
          </cell>
        </row>
        <row r="269">
          <cell r="P269">
            <v>0</v>
          </cell>
        </row>
        <row r="270">
          <cell r="P270" t="str">
            <v>4850-MDB-206A</v>
          </cell>
        </row>
        <row r="271">
          <cell r="P271" t="str">
            <v>4850-MDB-206B</v>
          </cell>
        </row>
        <row r="272">
          <cell r="P272" t="str">
            <v>4850-MDB-206A</v>
          </cell>
        </row>
        <row r="273">
          <cell r="P273" t="str">
            <v>4850-MDB-206B</v>
          </cell>
        </row>
        <row r="274">
          <cell r="P274">
            <v>0</v>
          </cell>
        </row>
        <row r="275">
          <cell r="P275" t="str">
            <v>4850-MDB-206A</v>
          </cell>
        </row>
        <row r="276">
          <cell r="P276" t="str">
            <v>4850-MDB-206B</v>
          </cell>
        </row>
        <row r="277">
          <cell r="P277" t="str">
            <v>4850-MDB-206A</v>
          </cell>
        </row>
        <row r="278">
          <cell r="P278" t="str">
            <v>4850-MDB-206B</v>
          </cell>
        </row>
        <row r="279">
          <cell r="P279">
            <v>0</v>
          </cell>
        </row>
        <row r="280">
          <cell r="P280">
            <v>0</v>
          </cell>
        </row>
        <row r="281">
          <cell r="P281" t="str">
            <v>4850-NDB-301A</v>
          </cell>
        </row>
        <row r="282">
          <cell r="P282" t="str">
            <v>4850-NDB-301B</v>
          </cell>
        </row>
        <row r="283">
          <cell r="P283" t="str">
            <v>4850-NDB-301B</v>
          </cell>
        </row>
        <row r="284">
          <cell r="P284" t="str">
            <v>4850-NDB-301A</v>
          </cell>
        </row>
        <row r="285">
          <cell r="P285" t="str">
            <v>4850-NDB-301A</v>
          </cell>
        </row>
        <row r="286">
          <cell r="P286" t="str">
            <v>4850-NDB-301B</v>
          </cell>
        </row>
        <row r="287">
          <cell r="P287" t="str">
            <v>4850-NDB-301A</v>
          </cell>
        </row>
        <row r="288">
          <cell r="P288" t="str">
            <v>4850-NDB-301B</v>
          </cell>
        </row>
        <row r="289">
          <cell r="P289" t="str">
            <v>4850-NDB-301A</v>
          </cell>
        </row>
        <row r="290">
          <cell r="P290" t="str">
            <v>4850-NDB-301B</v>
          </cell>
        </row>
        <row r="291">
          <cell r="P291" t="str">
            <v>4850-NDB-301A</v>
          </cell>
        </row>
        <row r="292">
          <cell r="P292" t="str">
            <v>4850-NDB-301B</v>
          </cell>
        </row>
        <row r="293">
          <cell r="P293" t="str">
            <v>4850-NDB-301B</v>
          </cell>
        </row>
        <row r="294">
          <cell r="P294" t="str">
            <v>4850-NDB-301A</v>
          </cell>
        </row>
        <row r="295">
          <cell r="P295" t="str">
            <v>4850-NDB-301A</v>
          </cell>
        </row>
        <row r="296">
          <cell r="P296" t="str">
            <v>4850-NDB-301B</v>
          </cell>
        </row>
        <row r="297">
          <cell r="P297" t="str">
            <v>4850-NDB-301A</v>
          </cell>
        </row>
        <row r="298">
          <cell r="P298" t="str">
            <v>4850-NDB-301A</v>
          </cell>
        </row>
        <row r="299">
          <cell r="P299" t="str">
            <v>4850-NDB-301B</v>
          </cell>
        </row>
        <row r="300">
          <cell r="P300" t="str">
            <v>4850-NDB-301A</v>
          </cell>
        </row>
        <row r="301">
          <cell r="P301" t="str">
            <v>4850-NDB-301B</v>
          </cell>
        </row>
        <row r="302">
          <cell r="P302" t="str">
            <v>4850-NDB-301A</v>
          </cell>
        </row>
        <row r="303">
          <cell r="P303" t="str">
            <v>4850-NDB-301B</v>
          </cell>
        </row>
        <row r="304">
          <cell r="P304" t="str">
            <v>4850-NDB-301B</v>
          </cell>
        </row>
        <row r="305">
          <cell r="P305" t="str">
            <v>4850-NDB-301A</v>
          </cell>
        </row>
        <row r="306">
          <cell r="P306" t="str">
            <v>4850-NDB-301B</v>
          </cell>
        </row>
        <row r="307">
          <cell r="P307" t="str">
            <v>4850-NDB-301A</v>
          </cell>
        </row>
        <row r="308">
          <cell r="P308" t="str">
            <v>4850-NDB-301B</v>
          </cell>
        </row>
        <row r="309">
          <cell r="P309" t="str">
            <v>4850-NDB-301B</v>
          </cell>
        </row>
        <row r="310">
          <cell r="P310" t="str">
            <v>4850-NDB-301A</v>
          </cell>
        </row>
        <row r="311">
          <cell r="P311" t="str">
            <v>4850-NDB-301B</v>
          </cell>
        </row>
        <row r="312">
          <cell r="P312" t="str">
            <v>4850-NDB-301A</v>
          </cell>
        </row>
        <row r="313">
          <cell r="P313" t="str">
            <v>4850-NDB-301B</v>
          </cell>
        </row>
        <row r="314">
          <cell r="P314" t="str">
            <v>4850-NDB-301A</v>
          </cell>
        </row>
        <row r="315">
          <cell r="P315" t="str">
            <v>4850-NDB-301B</v>
          </cell>
        </row>
        <row r="316">
          <cell r="P316" t="str">
            <v>4850-NDB-301A</v>
          </cell>
        </row>
        <row r="317">
          <cell r="P317" t="str">
            <v>4850-NDB-301B</v>
          </cell>
        </row>
        <row r="318">
          <cell r="P318" t="str">
            <v>4850-NDB-301A</v>
          </cell>
        </row>
        <row r="319">
          <cell r="P319" t="str">
            <v>4850-NDB-301B</v>
          </cell>
        </row>
        <row r="320">
          <cell r="P320" t="str">
            <v>4850-NDB-301A</v>
          </cell>
        </row>
        <row r="321">
          <cell r="P321" t="str">
            <v>4850-NDB-301A</v>
          </cell>
        </row>
        <row r="322">
          <cell r="P322" t="str">
            <v>4850-NDB-301B</v>
          </cell>
        </row>
        <row r="323">
          <cell r="P323" t="str">
            <v>4850-NDB-301A</v>
          </cell>
        </row>
        <row r="324">
          <cell r="P324" t="str">
            <v>4850-NDB-301A</v>
          </cell>
        </row>
        <row r="325">
          <cell r="P325" t="str">
            <v>4850-NDB-301B</v>
          </cell>
        </row>
        <row r="326">
          <cell r="P326" t="str">
            <v>4850-NDB-301B</v>
          </cell>
        </row>
        <row r="327">
          <cell r="P327" t="str">
            <v>4850-NDB-301A</v>
          </cell>
        </row>
        <row r="328">
          <cell r="P328" t="str">
            <v>4850-NDB-301B</v>
          </cell>
        </row>
        <row r="329">
          <cell r="P329" t="str">
            <v>4850-NDB-301A</v>
          </cell>
        </row>
        <row r="330">
          <cell r="P330" t="str">
            <v>4850-NDB-301B</v>
          </cell>
        </row>
        <row r="331">
          <cell r="P331" t="str">
            <v>4850-NDB-301A</v>
          </cell>
        </row>
        <row r="332">
          <cell r="P332" t="str">
            <v>4850-NDB-301B</v>
          </cell>
        </row>
        <row r="333">
          <cell r="P333" t="str">
            <v>4850-NDB-301A</v>
          </cell>
        </row>
        <row r="334">
          <cell r="P334" t="str">
            <v>4850-NDB-301A</v>
          </cell>
        </row>
        <row r="335">
          <cell r="P335" t="str">
            <v>4850-NDB-301B</v>
          </cell>
        </row>
        <row r="336">
          <cell r="P336" t="str">
            <v>4850-NDB-301A</v>
          </cell>
        </row>
        <row r="337">
          <cell r="P337" t="str">
            <v>4850-NDB-301A</v>
          </cell>
        </row>
        <row r="338">
          <cell r="P338" t="str">
            <v>4850-NDB-301A</v>
          </cell>
        </row>
        <row r="339">
          <cell r="P339" t="str">
            <v>4850-NDB-301B</v>
          </cell>
        </row>
        <row r="340">
          <cell r="P340" t="str">
            <v>4850-NDB-301A</v>
          </cell>
        </row>
        <row r="341">
          <cell r="P341" t="str">
            <v>4850-NDB-301B</v>
          </cell>
        </row>
        <row r="342">
          <cell r="P342" t="str">
            <v>4850-NDB-301A</v>
          </cell>
        </row>
        <row r="343">
          <cell r="P343" t="str">
            <v>4850-NDB-301B</v>
          </cell>
        </row>
        <row r="344">
          <cell r="P344" t="str">
            <v>4850-NDB-301A</v>
          </cell>
        </row>
        <row r="345">
          <cell r="P345" t="str">
            <v>4850-NDB-301A</v>
          </cell>
        </row>
        <row r="346">
          <cell r="P346" t="str">
            <v>4850-NDB-301A</v>
          </cell>
        </row>
        <row r="347">
          <cell r="P347" t="str">
            <v>4850-NDB-301B</v>
          </cell>
        </row>
        <row r="348">
          <cell r="P348" t="str">
            <v>4850-NDB-301A</v>
          </cell>
        </row>
        <row r="349">
          <cell r="P349" t="str">
            <v>4850-NDB-301B</v>
          </cell>
        </row>
        <row r="350">
          <cell r="P350" t="str">
            <v>4850-NDB-301B</v>
          </cell>
        </row>
        <row r="351">
          <cell r="P351" t="str">
            <v>4850-NDB-301B</v>
          </cell>
        </row>
        <row r="352">
          <cell r="P352" t="str">
            <v>4850-NDB-301A</v>
          </cell>
        </row>
        <row r="353">
          <cell r="P353" t="str">
            <v>4850-NDB-301B</v>
          </cell>
        </row>
        <row r="354">
          <cell r="P354" t="str">
            <v>4850-NDB-301A</v>
          </cell>
        </row>
        <row r="355">
          <cell r="P355" t="str">
            <v>4850-NDB-301B</v>
          </cell>
        </row>
        <row r="356">
          <cell r="P356" t="str">
            <v>4850-NDB-301A</v>
          </cell>
        </row>
        <row r="357">
          <cell r="P357" t="str">
            <v>4850-NDB-301B</v>
          </cell>
        </row>
        <row r="358">
          <cell r="P358" t="str">
            <v>4850-NDB-301A</v>
          </cell>
        </row>
        <row r="359">
          <cell r="P359" t="str">
            <v>4850-NDB-301B</v>
          </cell>
        </row>
        <row r="360">
          <cell r="P360" t="str">
            <v>4850-NDB-301A</v>
          </cell>
        </row>
        <row r="361">
          <cell r="P361" t="str">
            <v>4850-NDB-301B</v>
          </cell>
        </row>
        <row r="362">
          <cell r="P362" t="str">
            <v>4850-NDB-301A</v>
          </cell>
        </row>
        <row r="363">
          <cell r="P363" t="str">
            <v>4850-NDB-301B</v>
          </cell>
        </row>
        <row r="364">
          <cell r="P364" t="str">
            <v>4850-NDB-301A</v>
          </cell>
        </row>
        <row r="365">
          <cell r="P365" t="str">
            <v>4850-NDB-301B</v>
          </cell>
        </row>
        <row r="366">
          <cell r="P366" t="str">
            <v>4850-NDB-301B</v>
          </cell>
        </row>
        <row r="367">
          <cell r="P367">
            <v>0</v>
          </cell>
        </row>
        <row r="368">
          <cell r="P368">
            <v>0</v>
          </cell>
        </row>
        <row r="369">
          <cell r="P369">
            <v>0</v>
          </cell>
        </row>
        <row r="370">
          <cell r="P370" t="str">
            <v>4850-NDB-301C</v>
          </cell>
        </row>
        <row r="371">
          <cell r="P371" t="str">
            <v>4850-NDB-301C</v>
          </cell>
        </row>
        <row r="372">
          <cell r="P372" t="str">
            <v>4850-NDB-301C</v>
          </cell>
        </row>
        <row r="373">
          <cell r="P373" t="str">
            <v>4850-NDB-301C</v>
          </cell>
        </row>
        <row r="374">
          <cell r="P374" t="str">
            <v>4850-NDB-301C</v>
          </cell>
        </row>
        <row r="375">
          <cell r="P375" t="str">
            <v>4850-NDB-301C</v>
          </cell>
        </row>
        <row r="376">
          <cell r="P376">
            <v>0</v>
          </cell>
        </row>
        <row r="377">
          <cell r="P377" t="str">
            <v>4850-NDB-301C</v>
          </cell>
        </row>
        <row r="378">
          <cell r="P378">
            <v>0</v>
          </cell>
        </row>
        <row r="379">
          <cell r="P379" t="str">
            <v>4850-NDB-301C</v>
          </cell>
        </row>
        <row r="380">
          <cell r="P380" t="str">
            <v>4850-NDB-301C</v>
          </cell>
        </row>
        <row r="381">
          <cell r="P381" t="str">
            <v>4850-NDB-301C</v>
          </cell>
        </row>
        <row r="382">
          <cell r="P382" t="str">
            <v>4850-NDB-301C</v>
          </cell>
        </row>
        <row r="383">
          <cell r="P383" t="str">
            <v>4850-NDB-301C</v>
          </cell>
        </row>
        <row r="384">
          <cell r="P384">
            <v>0</v>
          </cell>
        </row>
        <row r="385">
          <cell r="P385" t="str">
            <v>4850-NDB-301C</v>
          </cell>
        </row>
        <row r="386">
          <cell r="P386">
            <v>0</v>
          </cell>
        </row>
        <row r="387">
          <cell r="P387">
            <v>0</v>
          </cell>
        </row>
        <row r="388">
          <cell r="P388" t="str">
            <v>4850-LDB-301A</v>
          </cell>
        </row>
        <row r="389">
          <cell r="P389" t="str">
            <v>4850-LDB-301A</v>
          </cell>
        </row>
        <row r="390">
          <cell r="P390" t="str">
            <v>4850-LDB-301A</v>
          </cell>
        </row>
        <row r="391">
          <cell r="P391" t="str">
            <v>4850-LDB-301A</v>
          </cell>
        </row>
        <row r="392">
          <cell r="P392" t="str">
            <v>4850-LDB-301A</v>
          </cell>
        </row>
        <row r="393">
          <cell r="P393" t="str">
            <v>4850-LDB-301A</v>
          </cell>
        </row>
        <row r="394">
          <cell r="P394" t="str">
            <v>4850-LDB-301A</v>
          </cell>
        </row>
        <row r="395">
          <cell r="P395" t="str">
            <v>4850-LDB-301A</v>
          </cell>
        </row>
        <row r="396">
          <cell r="P396" t="str">
            <v>4850-LDB-301A</v>
          </cell>
        </row>
        <row r="397">
          <cell r="P397" t="str">
            <v>4850-LDB-301A</v>
          </cell>
        </row>
        <row r="398">
          <cell r="P398" t="str">
            <v>4850-LDB-301A</v>
          </cell>
        </row>
        <row r="399">
          <cell r="P399" t="str">
            <v>4850-LDB-301A</v>
          </cell>
        </row>
        <row r="400">
          <cell r="P400" t="str">
            <v>4850-LDB-301A</v>
          </cell>
        </row>
        <row r="401">
          <cell r="P401" t="str">
            <v>4850-LDB-301A</v>
          </cell>
        </row>
        <row r="402">
          <cell r="P402" t="str">
            <v>4850-LDB-301A</v>
          </cell>
        </row>
        <row r="403">
          <cell r="P403" t="str">
            <v>4850-LDB-301A</v>
          </cell>
        </row>
        <row r="404">
          <cell r="P404" t="str">
            <v>4850-LDB-301A</v>
          </cell>
        </row>
        <row r="405">
          <cell r="P405">
            <v>0</v>
          </cell>
        </row>
        <row r="406">
          <cell r="P406" t="str">
            <v>4850-XDB-301A</v>
          </cell>
        </row>
        <row r="407">
          <cell r="P407" t="str">
            <v>4850-XDB-301A</v>
          </cell>
        </row>
        <row r="408">
          <cell r="P408" t="str">
            <v>4850-XDB-301A</v>
          </cell>
        </row>
        <row r="409">
          <cell r="P409" t="str">
            <v>4850-XDB-301A</v>
          </cell>
        </row>
        <row r="410">
          <cell r="P410" t="str">
            <v>4850-XDB-301A</v>
          </cell>
        </row>
        <row r="411">
          <cell r="P411" t="str">
            <v>4850-XDB-301A</v>
          </cell>
        </row>
        <row r="412">
          <cell r="P412" t="str">
            <v>4850-XDB-301A</v>
          </cell>
        </row>
        <row r="413">
          <cell r="P413" t="str">
            <v>4850-XDB-301A</v>
          </cell>
        </row>
        <row r="414">
          <cell r="P414" t="str">
            <v>4850-XDB-301A</v>
          </cell>
        </row>
        <row r="415">
          <cell r="P415" t="str">
            <v>4850-XDB-301A</v>
          </cell>
        </row>
        <row r="416">
          <cell r="P416" t="str">
            <v>4850-XDB-301A</v>
          </cell>
        </row>
        <row r="417">
          <cell r="P417" t="str">
            <v>4850-XDB-301A</v>
          </cell>
        </row>
        <row r="418">
          <cell r="P418" t="str">
            <v>4850-XDB-301A</v>
          </cell>
        </row>
        <row r="419">
          <cell r="P419">
            <v>0</v>
          </cell>
        </row>
        <row r="420">
          <cell r="P420" t="str">
            <v>4850-ELDB-301B</v>
          </cell>
        </row>
        <row r="421">
          <cell r="P421" t="str">
            <v>4850-ELDB-301B</v>
          </cell>
        </row>
        <row r="422">
          <cell r="P422" t="str">
            <v>4850-ELDB-301B</v>
          </cell>
        </row>
        <row r="423">
          <cell r="P423" t="str">
            <v>4850-ELDB-301B</v>
          </cell>
        </row>
        <row r="424">
          <cell r="P424" t="str">
            <v>4850-ELDB-301B</v>
          </cell>
        </row>
        <row r="425">
          <cell r="P425" t="str">
            <v>4850-ELDB-301B</v>
          </cell>
        </row>
        <row r="426">
          <cell r="P426" t="str">
            <v>4850-ELDB-301B</v>
          </cell>
        </row>
        <row r="427">
          <cell r="P427" t="str">
            <v>4850-ELDB-301B</v>
          </cell>
        </row>
        <row r="428">
          <cell r="P428" t="str">
            <v>4850-ELDB-301B</v>
          </cell>
        </row>
        <row r="429">
          <cell r="P429" t="str">
            <v>4850-ELDB-301B</v>
          </cell>
        </row>
        <row r="430">
          <cell r="P430" t="str">
            <v>4850-ELDB-301B</v>
          </cell>
        </row>
        <row r="431">
          <cell r="P431" t="str">
            <v>4850-ELDB-301B</v>
          </cell>
        </row>
        <row r="432">
          <cell r="P432" t="str">
            <v>4850-ELDB-301B</v>
          </cell>
        </row>
        <row r="433">
          <cell r="P433" t="str">
            <v>4850-ELDB-301B</v>
          </cell>
        </row>
        <row r="434">
          <cell r="P434" t="str">
            <v>4850-ELDB-301B</v>
          </cell>
        </row>
        <row r="435">
          <cell r="P435" t="str">
            <v>4850-ELDB-301B</v>
          </cell>
        </row>
        <row r="436">
          <cell r="P436" t="str">
            <v>4850-ELDB-301B</v>
          </cell>
        </row>
        <row r="437">
          <cell r="P437">
            <v>0</v>
          </cell>
        </row>
        <row r="438">
          <cell r="P438">
            <v>0</v>
          </cell>
        </row>
        <row r="439">
          <cell r="P439" t="str">
            <v>4850-WDB-301A</v>
          </cell>
        </row>
        <row r="440">
          <cell r="P440" t="str">
            <v>4850-WDB-301A</v>
          </cell>
        </row>
        <row r="441">
          <cell r="P441" t="str">
            <v>4850-WDB-301A</v>
          </cell>
        </row>
        <row r="442">
          <cell r="P442" t="str">
            <v>4850-WDB-301A</v>
          </cell>
        </row>
        <row r="443">
          <cell r="P443" t="str">
            <v>4850-WDB-301A</v>
          </cell>
        </row>
        <row r="444">
          <cell r="P444" t="str">
            <v>4850-WDB-301A</v>
          </cell>
        </row>
        <row r="445">
          <cell r="P445" t="str">
            <v>4850-WDB-301A</v>
          </cell>
        </row>
        <row r="446">
          <cell r="P446" t="str">
            <v>4850-WDB-301A</v>
          </cell>
        </row>
        <row r="447">
          <cell r="P447" t="str">
            <v>4850-WDB-301A</v>
          </cell>
        </row>
        <row r="448">
          <cell r="P448" t="str">
            <v>4850-WDB-301A</v>
          </cell>
        </row>
        <row r="449">
          <cell r="P449" t="str">
            <v>4850-WDB-301A</v>
          </cell>
        </row>
        <row r="450">
          <cell r="P450" t="str">
            <v>4850-WDB-301A</v>
          </cell>
        </row>
        <row r="451">
          <cell r="P451" t="str">
            <v>4850-WDB-301A</v>
          </cell>
        </row>
        <row r="452">
          <cell r="P452">
            <v>0</v>
          </cell>
        </row>
        <row r="453">
          <cell r="P453" t="str">
            <v>4850-WDB-301A</v>
          </cell>
        </row>
        <row r="454">
          <cell r="P454" t="str">
            <v>4850-WDB-301A</v>
          </cell>
        </row>
        <row r="455">
          <cell r="P455" t="str">
            <v>4850-WDB-301A</v>
          </cell>
        </row>
        <row r="456">
          <cell r="P456" t="str">
            <v>4850-WDB-301A</v>
          </cell>
        </row>
        <row r="457">
          <cell r="P457" t="str">
            <v>4850-WDB-301A</v>
          </cell>
        </row>
        <row r="458">
          <cell r="P458">
            <v>0</v>
          </cell>
        </row>
        <row r="459">
          <cell r="P459">
            <v>0</v>
          </cell>
        </row>
        <row r="460">
          <cell r="P460" t="str">
            <v>4850-NDB-302A</v>
          </cell>
        </row>
        <row r="461">
          <cell r="P461" t="str">
            <v>4850-NDB-302A</v>
          </cell>
        </row>
        <row r="462">
          <cell r="P462" t="str">
            <v>4850-NDB-302A</v>
          </cell>
        </row>
        <row r="463">
          <cell r="P463" t="str">
            <v>4850-NDB-302A</v>
          </cell>
        </row>
        <row r="464">
          <cell r="P464" t="str">
            <v>4850-NDB-302A</v>
          </cell>
        </row>
        <row r="465">
          <cell r="P465" t="str">
            <v>4850-NDB-302A</v>
          </cell>
        </row>
        <row r="466">
          <cell r="P466" t="str">
            <v>4850-NDB-302A</v>
          </cell>
        </row>
        <row r="467">
          <cell r="P467" t="str">
            <v>4850-NDB-302A</v>
          </cell>
        </row>
        <row r="468">
          <cell r="P468" t="str">
            <v>4850-NDB-302A</v>
          </cell>
        </row>
        <row r="469">
          <cell r="P469" t="str">
            <v>4850-NDB-302A</v>
          </cell>
        </row>
        <row r="470">
          <cell r="P470">
            <v>0</v>
          </cell>
        </row>
        <row r="471">
          <cell r="P471" t="str">
            <v>4850-NDB-302B</v>
          </cell>
        </row>
        <row r="472">
          <cell r="P472" t="str">
            <v>4850-NDB-302B</v>
          </cell>
        </row>
        <row r="473">
          <cell r="P473" t="str">
            <v>4850-NDB-302B</v>
          </cell>
        </row>
        <row r="474">
          <cell r="P474" t="str">
            <v>4850-NDB-302B</v>
          </cell>
        </row>
        <row r="475">
          <cell r="P475" t="str">
            <v>4850-NDB-302B</v>
          </cell>
        </row>
        <row r="476">
          <cell r="P476" t="str">
            <v>4850-NDB-302B</v>
          </cell>
        </row>
        <row r="477">
          <cell r="P477" t="str">
            <v>4850-NDB-302B</v>
          </cell>
        </row>
        <row r="478">
          <cell r="P478" t="str">
            <v>4850-NDB-302B</v>
          </cell>
        </row>
        <row r="479">
          <cell r="P479" t="str">
            <v>4850-NDB-302B</v>
          </cell>
        </row>
        <row r="480">
          <cell r="P480" t="str">
            <v>4850-NDB-302B</v>
          </cell>
        </row>
        <row r="481">
          <cell r="P481">
            <v>0</v>
          </cell>
        </row>
        <row r="482">
          <cell r="P482">
            <v>0</v>
          </cell>
        </row>
        <row r="483">
          <cell r="P483" t="str">
            <v>4850-NDB-303A</v>
          </cell>
        </row>
        <row r="484">
          <cell r="P484" t="str">
            <v>4850-NDB-303B</v>
          </cell>
        </row>
        <row r="485">
          <cell r="P485" t="str">
            <v>4850-NDB-303A</v>
          </cell>
        </row>
        <row r="486">
          <cell r="P486" t="str">
            <v>4850-NDB-303B</v>
          </cell>
        </row>
        <row r="487">
          <cell r="P487" t="str">
            <v>4850-NDB-303A</v>
          </cell>
        </row>
        <row r="488">
          <cell r="P488" t="str">
            <v>4850-NDB-303B</v>
          </cell>
        </row>
        <row r="489">
          <cell r="P489" t="str">
            <v>4850-NDB-303A</v>
          </cell>
        </row>
        <row r="490">
          <cell r="P490" t="str">
            <v>4850-NDB-303B</v>
          </cell>
        </row>
        <row r="491">
          <cell r="P491">
            <v>0</v>
          </cell>
        </row>
        <row r="492">
          <cell r="P492" t="str">
            <v>4850-NDB-303A</v>
          </cell>
        </row>
        <row r="493">
          <cell r="P493" t="str">
            <v>4850-NDB-303B</v>
          </cell>
        </row>
        <row r="494">
          <cell r="P494">
            <v>0</v>
          </cell>
        </row>
        <row r="495">
          <cell r="P495">
            <v>0</v>
          </cell>
        </row>
        <row r="496">
          <cell r="P496" t="str">
            <v>4850-NDB-304A</v>
          </cell>
        </row>
        <row r="497">
          <cell r="P497" t="str">
            <v>4850-NDB-304A</v>
          </cell>
        </row>
        <row r="498">
          <cell r="P498" t="str">
            <v>4850-NDB-304A</v>
          </cell>
        </row>
        <row r="499">
          <cell r="P499" t="str">
            <v>4850-NDB-304A</v>
          </cell>
        </row>
        <row r="500">
          <cell r="P500" t="str">
            <v>4850-NDB-304A</v>
          </cell>
        </row>
        <row r="501">
          <cell r="P501" t="str">
            <v>4850-NDB-304A</v>
          </cell>
        </row>
        <row r="502">
          <cell r="P502" t="str">
            <v>4850-NDB-304A</v>
          </cell>
        </row>
        <row r="503">
          <cell r="P503" t="str">
            <v>4850-NDB-304A</v>
          </cell>
        </row>
        <row r="504">
          <cell r="P504" t="str">
            <v>4850-NDB-304A</v>
          </cell>
        </row>
        <row r="505">
          <cell r="P505" t="str">
            <v>4850-NDB-304A</v>
          </cell>
        </row>
        <row r="506">
          <cell r="P506">
            <v>0</v>
          </cell>
        </row>
        <row r="507">
          <cell r="P507" t="str">
            <v>4850-NDB-304B</v>
          </cell>
        </row>
        <row r="508">
          <cell r="P508" t="str">
            <v>4850-NDB-304B</v>
          </cell>
        </row>
        <row r="509">
          <cell r="P509" t="str">
            <v>4850-NDB-304B</v>
          </cell>
        </row>
        <row r="510">
          <cell r="P510" t="str">
            <v>4850-NDB-304B</v>
          </cell>
        </row>
        <row r="511">
          <cell r="P511" t="str">
            <v>4850-NDB-304B</v>
          </cell>
        </row>
        <row r="512">
          <cell r="P512" t="str">
            <v>4850-NDB-304B</v>
          </cell>
        </row>
        <row r="513">
          <cell r="P513" t="str">
            <v>4850-NDB-304B</v>
          </cell>
        </row>
        <row r="514">
          <cell r="P514" t="str">
            <v>4850-NDB-304B</v>
          </cell>
        </row>
        <row r="515">
          <cell r="P515" t="str">
            <v>4850-NDB-304B</v>
          </cell>
        </row>
        <row r="516">
          <cell r="P516" t="str">
            <v>4850-NDB-304B</v>
          </cell>
        </row>
        <row r="517">
          <cell r="P517">
            <v>0</v>
          </cell>
        </row>
        <row r="518">
          <cell r="P518">
            <v>0</v>
          </cell>
        </row>
        <row r="519">
          <cell r="P519">
            <v>0</v>
          </cell>
        </row>
        <row r="520">
          <cell r="P520" t="str">
            <v>4850-NDB-305A</v>
          </cell>
        </row>
        <row r="521">
          <cell r="P521" t="str">
            <v>4850-NDB-305A</v>
          </cell>
        </row>
        <row r="522">
          <cell r="P522" t="str">
            <v>4850-NDB-305A</v>
          </cell>
        </row>
        <row r="523">
          <cell r="P523" t="str">
            <v>4850-NDB-305A</v>
          </cell>
        </row>
        <row r="524">
          <cell r="P524" t="str">
            <v>4850-NDB-305A</v>
          </cell>
        </row>
        <row r="525">
          <cell r="P525" t="str">
            <v>4850-NDB-305A</v>
          </cell>
        </row>
        <row r="526">
          <cell r="P526" t="str">
            <v>4850-NDB-305A</v>
          </cell>
        </row>
        <row r="527">
          <cell r="P527" t="str">
            <v>4850-NDB-305A</v>
          </cell>
        </row>
        <row r="528">
          <cell r="P528" t="str">
            <v>4850-NDB-305A</v>
          </cell>
        </row>
        <row r="529">
          <cell r="P529" t="str">
            <v>4850-NDB-305A</v>
          </cell>
        </row>
        <row r="530">
          <cell r="P530">
            <v>0</v>
          </cell>
        </row>
        <row r="531">
          <cell r="P531" t="str">
            <v>4850-NDB-305B</v>
          </cell>
        </row>
        <row r="532">
          <cell r="P532" t="str">
            <v>4850-NDB-305B</v>
          </cell>
        </row>
        <row r="533">
          <cell r="P533" t="str">
            <v>4850-NDB-305B</v>
          </cell>
        </row>
        <row r="534">
          <cell r="P534" t="str">
            <v>4850-NDB-305B</v>
          </cell>
        </row>
        <row r="535">
          <cell r="P535" t="str">
            <v>4850-NDB-305B</v>
          </cell>
        </row>
        <row r="536">
          <cell r="P536" t="str">
            <v>4850-NDB-305B</v>
          </cell>
        </row>
        <row r="537">
          <cell r="P537" t="str">
            <v>4850-NDB-305B</v>
          </cell>
        </row>
        <row r="538">
          <cell r="P538" t="str">
            <v>4850-NDB-305B</v>
          </cell>
        </row>
        <row r="539">
          <cell r="P539" t="str">
            <v>4850-NDB-305B</v>
          </cell>
        </row>
        <row r="540">
          <cell r="P540" t="str">
            <v>4850-NDB-305B</v>
          </cell>
        </row>
        <row r="541">
          <cell r="P541">
            <v>0</v>
          </cell>
        </row>
        <row r="542">
          <cell r="P542">
            <v>0</v>
          </cell>
        </row>
        <row r="543">
          <cell r="P543">
            <v>0</v>
          </cell>
        </row>
        <row r="544">
          <cell r="P544" t="str">
            <v>4850-NDB-306A</v>
          </cell>
        </row>
        <row r="545">
          <cell r="P545" t="str">
            <v>4850-NDB-306B</v>
          </cell>
        </row>
        <row r="546">
          <cell r="P546" t="str">
            <v>4850-NDB-306A</v>
          </cell>
        </row>
        <row r="547">
          <cell r="P547" t="str">
            <v>4850-NDB-306B</v>
          </cell>
        </row>
        <row r="548">
          <cell r="P548" t="str">
            <v>4850-NDB-306A</v>
          </cell>
        </row>
        <row r="549">
          <cell r="P549" t="str">
            <v>4850-NDB-306B</v>
          </cell>
        </row>
        <row r="550">
          <cell r="P550" t="str">
            <v>4850-NDB-306A</v>
          </cell>
        </row>
        <row r="551">
          <cell r="P551" t="str">
            <v>4850-NDB-306B</v>
          </cell>
        </row>
        <row r="552">
          <cell r="P552" t="str">
            <v>4850-NDB-306A</v>
          </cell>
        </row>
        <row r="553">
          <cell r="P553" t="str">
            <v>4850-NDB-306B</v>
          </cell>
        </row>
        <row r="554">
          <cell r="P554">
            <v>0</v>
          </cell>
        </row>
        <row r="555">
          <cell r="P555" t="str">
            <v>4850-NDB-306A</v>
          </cell>
        </row>
        <row r="556">
          <cell r="P556" t="str">
            <v>4850-NDB-306B</v>
          </cell>
        </row>
        <row r="557">
          <cell r="P557" t="str">
            <v>4850-NDB-306A</v>
          </cell>
        </row>
        <row r="558">
          <cell r="P558" t="str">
            <v>4850-NDB-306B</v>
          </cell>
        </row>
        <row r="559">
          <cell r="P559" t="str">
            <v>4850-NDB-306A</v>
          </cell>
        </row>
        <row r="560">
          <cell r="P560" t="str">
            <v>4850-NDB-306B</v>
          </cell>
        </row>
        <row r="561">
          <cell r="P561" t="str">
            <v>4850-NDB-306A</v>
          </cell>
        </row>
        <row r="562">
          <cell r="P562" t="str">
            <v>4850-NDB-306B</v>
          </cell>
        </row>
        <row r="563">
          <cell r="P563" t="str">
            <v>4850-NDB-306A</v>
          </cell>
        </row>
        <row r="564">
          <cell r="P564" t="str">
            <v>4850-NDB-306B</v>
          </cell>
        </row>
        <row r="565">
          <cell r="P565">
            <v>0</v>
          </cell>
        </row>
        <row r="566">
          <cell r="P566">
            <v>0</v>
          </cell>
        </row>
        <row r="567">
          <cell r="P567">
            <v>0</v>
          </cell>
        </row>
        <row r="568">
          <cell r="P568" t="str">
            <v>4850-NDB-307A</v>
          </cell>
        </row>
        <row r="569">
          <cell r="P569" t="str">
            <v>4850-NDB-307B</v>
          </cell>
        </row>
        <row r="570">
          <cell r="P570" t="str">
            <v>4850-NDB-307A</v>
          </cell>
        </row>
        <row r="571">
          <cell r="P571" t="str">
            <v>4850-NDB-307B</v>
          </cell>
        </row>
        <row r="572">
          <cell r="P572" t="str">
            <v>4850-NDB-307A</v>
          </cell>
        </row>
        <row r="573">
          <cell r="P573" t="str">
            <v>4850-NDB-307B</v>
          </cell>
        </row>
        <row r="574">
          <cell r="P574" t="str">
            <v>4850-NDB-307A</v>
          </cell>
        </row>
        <row r="575">
          <cell r="P575" t="str">
            <v>4850-NDB-307B</v>
          </cell>
        </row>
        <row r="576">
          <cell r="P576" t="str">
            <v>4850-NDB-307A</v>
          </cell>
        </row>
        <row r="577">
          <cell r="P577" t="str">
            <v>4850-NDB-307B</v>
          </cell>
        </row>
        <row r="578">
          <cell r="P578">
            <v>0</v>
          </cell>
        </row>
        <row r="579">
          <cell r="P579" t="str">
            <v>4850-NDB-307A</v>
          </cell>
        </row>
        <row r="580">
          <cell r="P580" t="str">
            <v>4850-NDB-307B</v>
          </cell>
        </row>
        <row r="581">
          <cell r="P581" t="str">
            <v>4850-NDB-307A</v>
          </cell>
        </row>
        <row r="582">
          <cell r="P582" t="str">
            <v>4850-NDB-307B</v>
          </cell>
        </row>
        <row r="583">
          <cell r="P583" t="str">
            <v>4850-NDB-307A</v>
          </cell>
        </row>
        <row r="584">
          <cell r="P584" t="str">
            <v>4850-NDB-307B</v>
          </cell>
        </row>
        <row r="585">
          <cell r="P585" t="str">
            <v>4850-NDB-307A</v>
          </cell>
        </row>
        <row r="586">
          <cell r="P586" t="str">
            <v>4850-NDB-307B</v>
          </cell>
        </row>
        <row r="587">
          <cell r="P587" t="str">
            <v>4850-NDB-307A</v>
          </cell>
        </row>
        <row r="588">
          <cell r="P588" t="str">
            <v>4850-NDB-307B</v>
          </cell>
        </row>
        <row r="589">
          <cell r="P589" t="str">
            <v>4850-NDB-307B</v>
          </cell>
        </row>
        <row r="590">
          <cell r="P590" t="str">
            <v>4850-NDB-307A</v>
          </cell>
        </row>
        <row r="591">
          <cell r="P591" t="str">
            <v>4850-NDB-307B</v>
          </cell>
        </row>
        <row r="592">
          <cell r="P592" t="str">
            <v>4850-NDB-307A</v>
          </cell>
        </row>
        <row r="593">
          <cell r="P593" t="str">
            <v>4850-NDB-307B</v>
          </cell>
        </row>
        <row r="594">
          <cell r="P594" t="str">
            <v>4850-NDB-307A</v>
          </cell>
        </row>
        <row r="595">
          <cell r="P595" t="str">
            <v>4850-NDB-307B</v>
          </cell>
        </row>
        <row r="596">
          <cell r="P596" t="str">
            <v>4850-NDB-307A</v>
          </cell>
        </row>
        <row r="597">
          <cell r="P597" t="str">
            <v>4850-NDB-307B</v>
          </cell>
        </row>
        <row r="598">
          <cell r="P598">
            <v>0</v>
          </cell>
        </row>
        <row r="599">
          <cell r="P599" t="str">
            <v>4850-NDB-307A</v>
          </cell>
        </row>
        <row r="600">
          <cell r="P600" t="str">
            <v>4850-NDB-307B</v>
          </cell>
        </row>
        <row r="601">
          <cell r="P601" t="str">
            <v>4850-NDB-307A</v>
          </cell>
        </row>
        <row r="602">
          <cell r="P602" t="str">
            <v>4850-NDB-307B</v>
          </cell>
        </row>
        <row r="603">
          <cell r="P603" t="str">
            <v>4850-NDB-307A</v>
          </cell>
        </row>
        <row r="604">
          <cell r="P604" t="str">
            <v>4850-NDB-307B</v>
          </cell>
        </row>
        <row r="605">
          <cell r="P605" t="str">
            <v>4850-NDB-307A</v>
          </cell>
        </row>
        <row r="606">
          <cell r="P606" t="str">
            <v>4850-NDB-307B</v>
          </cell>
        </row>
        <row r="607">
          <cell r="P607" t="str">
            <v>4850-NDB-307A</v>
          </cell>
        </row>
        <row r="608">
          <cell r="P608" t="str">
            <v>4850-NDB-307B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"/>
      <sheetName val="Summary"/>
      <sheetName val="SS1"/>
      <sheetName val="SS2"/>
      <sheetName val="SS3"/>
      <sheetName val="SS4"/>
      <sheetName val="SS5"/>
      <sheetName val="SS6"/>
      <sheetName val="SS7"/>
      <sheetName val="SS8"/>
      <sheetName val="SS9"/>
      <sheetName val="SS10"/>
      <sheetName val="SS11"/>
      <sheetName val="SS12"/>
      <sheetName val="HV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비교"/>
      <sheetName val="인원"/>
      <sheetName val="간접비 총괄표"/>
      <sheetName val="간접비 내역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비교"/>
      <sheetName val="인원"/>
      <sheetName val="간접비 총괄표"/>
      <sheetName val="간접비 내역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L-BR01"/>
      <sheetName val="TL-BR02"/>
      <sheetName val="TL-BR03"/>
      <sheetName val="TC-BR01"/>
      <sheetName val="TC-BR02"/>
      <sheetName val="TC-BR03"/>
      <sheetName val="TC-BR04"/>
      <sheetName val="표지 appendix 2"/>
      <sheetName val="Lumen"/>
      <sheetName val="수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사본관증축여건보고"/>
      <sheetName val="#REF"/>
      <sheetName val="수량명세서"/>
      <sheetName val="6공구(당초)"/>
      <sheetName val="내역서"/>
      <sheetName val="부대내역"/>
      <sheetName val="산출내역(K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D07B-5098-4D13-8FED-A4456CFA3B4B}">
  <sheetPr codeName="Sheet14"/>
  <dimension ref="A1:K24"/>
  <sheetViews>
    <sheetView showGridLines="0" showZeros="0" view="pageBreakPreview" zoomScaleSheetLayoutView="100" workbookViewId="0">
      <pane ySplit="6" topLeftCell="A7" activePane="bottomLeft" state="frozen"/>
      <selection activeCell="A3" sqref="A3:K23"/>
      <selection pane="bottomLeft" activeCell="A3" sqref="A3:K23"/>
    </sheetView>
  </sheetViews>
  <sheetFormatPr defaultColWidth="8.8984375" defaultRowHeight="13.8"/>
  <cols>
    <col min="1" max="1" width="17.19921875" style="5" customWidth="1"/>
    <col min="2" max="2" width="18.8984375" style="2" customWidth="1"/>
    <col min="3" max="3" width="11.69921875" style="5" customWidth="1"/>
    <col min="4" max="6" width="6.796875" style="5" customWidth="1"/>
    <col min="7" max="7" width="8.796875" style="8" customWidth="1"/>
    <col min="8" max="9" width="8.796875" style="9" customWidth="1"/>
    <col min="10" max="10" width="11.796875" style="5" customWidth="1"/>
    <col min="11" max="11" width="15.8984375" style="5" customWidth="1"/>
    <col min="12" max="16384" width="8.8984375" style="5"/>
  </cols>
  <sheetData>
    <row r="1" spans="1:11" ht="17.399999999999999">
      <c r="A1" s="1"/>
      <c r="C1" s="1"/>
      <c r="D1" s="1"/>
      <c r="E1" s="1" t="s">
        <v>0</v>
      </c>
      <c r="F1" s="1"/>
      <c r="G1" s="3"/>
      <c r="H1" s="4"/>
      <c r="I1" s="4"/>
      <c r="J1" s="1"/>
      <c r="K1" s="1"/>
    </row>
    <row r="3" spans="1:11" ht="15" thickBot="1">
      <c r="A3" s="6" t="s">
        <v>1</v>
      </c>
      <c r="B3" s="7"/>
      <c r="C3" s="6"/>
      <c r="J3" s="10"/>
      <c r="K3" s="10"/>
    </row>
    <row r="4" spans="1:11" ht="20.100000000000001" customHeight="1">
      <c r="A4" s="11" t="s">
        <v>2</v>
      </c>
      <c r="B4" s="12" t="s">
        <v>3</v>
      </c>
      <c r="C4" s="13" t="s">
        <v>4</v>
      </c>
      <c r="D4" s="14" t="s">
        <v>5</v>
      </c>
      <c r="E4" s="14"/>
      <c r="F4" s="14"/>
      <c r="G4" s="15" t="s">
        <v>6</v>
      </c>
      <c r="H4" s="16" t="s">
        <v>7</v>
      </c>
      <c r="I4" s="16" t="s">
        <v>8</v>
      </c>
      <c r="J4" s="12" t="s">
        <v>9</v>
      </c>
      <c r="K4" s="17" t="s">
        <v>10</v>
      </c>
    </row>
    <row r="5" spans="1:11" ht="27" thickBot="1">
      <c r="A5" s="18"/>
      <c r="B5" s="19"/>
      <c r="C5" s="20"/>
      <c r="D5" s="21" t="s">
        <v>11</v>
      </c>
      <c r="E5" s="21" t="s">
        <v>12</v>
      </c>
      <c r="F5" s="21" t="s">
        <v>13</v>
      </c>
      <c r="G5" s="22"/>
      <c r="H5" s="23"/>
      <c r="I5" s="23"/>
      <c r="J5" s="19"/>
      <c r="K5" s="24"/>
    </row>
    <row r="6" spans="1:11" s="33" customFormat="1" ht="20.100000000000001" customHeight="1">
      <c r="A6" s="25" t="s">
        <v>14</v>
      </c>
      <c r="B6" s="26"/>
      <c r="C6" s="27"/>
      <c r="D6" s="28"/>
      <c r="E6" s="28"/>
      <c r="F6" s="28"/>
      <c r="G6" s="29"/>
      <c r="H6" s="28"/>
      <c r="I6" s="30"/>
      <c r="J6" s="31"/>
      <c r="K6" s="32"/>
    </row>
    <row r="7" spans="1:11" s="33" customFormat="1" ht="20.100000000000001" customHeight="1">
      <c r="A7" s="34" t="s">
        <v>15</v>
      </c>
      <c r="B7" s="35" t="s">
        <v>16</v>
      </c>
      <c r="C7" s="36"/>
      <c r="D7" s="37">
        <v>6100</v>
      </c>
      <c r="E7" s="37">
        <v>1070</v>
      </c>
      <c r="F7" s="37">
        <v>26</v>
      </c>
      <c r="G7" s="38"/>
      <c r="H7" s="39"/>
      <c r="I7" s="40"/>
      <c r="J7" s="36"/>
      <c r="K7" s="41" t="s">
        <v>17</v>
      </c>
    </row>
    <row r="8" spans="1:11" s="33" customFormat="1" ht="20.100000000000001" customHeight="1">
      <c r="A8" s="34" t="s">
        <v>18</v>
      </c>
      <c r="B8" s="35" t="s">
        <v>16</v>
      </c>
      <c r="C8" s="36"/>
      <c r="D8" s="37">
        <v>4800</v>
      </c>
      <c r="E8" s="37">
        <v>1070</v>
      </c>
      <c r="F8" s="37">
        <v>23</v>
      </c>
      <c r="G8" s="38"/>
      <c r="H8" s="39"/>
      <c r="I8" s="40"/>
      <c r="J8" s="36"/>
      <c r="K8" s="41"/>
    </row>
    <row r="9" spans="1:11" s="33" customFormat="1" ht="20.100000000000001" customHeight="1">
      <c r="A9" s="34" t="s">
        <v>19</v>
      </c>
      <c r="B9" s="35" t="s">
        <v>20</v>
      </c>
      <c r="C9" s="36"/>
      <c r="D9" s="37">
        <v>6100</v>
      </c>
      <c r="E9" s="37">
        <v>1070</v>
      </c>
      <c r="F9" s="37">
        <v>25</v>
      </c>
      <c r="G9" s="38"/>
      <c r="H9" s="39"/>
      <c r="I9" s="40"/>
      <c r="J9" s="36"/>
      <c r="K9" s="41"/>
    </row>
    <row r="10" spans="1:11" s="33" customFormat="1" ht="20.100000000000001" customHeight="1">
      <c r="A10" s="34" t="s">
        <v>21</v>
      </c>
      <c r="B10" s="35" t="s">
        <v>20</v>
      </c>
      <c r="C10" s="37"/>
      <c r="D10" s="37">
        <v>4800</v>
      </c>
      <c r="E10" s="37">
        <v>1070</v>
      </c>
      <c r="F10" s="37">
        <v>20</v>
      </c>
      <c r="G10" s="38"/>
      <c r="H10" s="39"/>
      <c r="I10" s="40"/>
      <c r="J10" s="37"/>
      <c r="K10" s="41"/>
    </row>
    <row r="11" spans="1:11" s="33" customFormat="1" ht="20.100000000000001" customHeight="1">
      <c r="A11" s="34" t="s">
        <v>22</v>
      </c>
      <c r="B11" s="35" t="s">
        <v>23</v>
      </c>
      <c r="C11" s="37"/>
      <c r="D11" s="37">
        <v>3600</v>
      </c>
      <c r="E11" s="37">
        <v>1070</v>
      </c>
      <c r="F11" s="37">
        <v>17</v>
      </c>
      <c r="G11" s="38"/>
      <c r="H11" s="39"/>
      <c r="I11" s="40"/>
      <c r="J11" s="37"/>
      <c r="K11" s="41"/>
    </row>
    <row r="12" spans="1:11" s="33" customFormat="1" ht="20.100000000000001" customHeight="1">
      <c r="A12" s="42" t="s">
        <v>24</v>
      </c>
      <c r="B12" s="43" t="s">
        <v>23</v>
      </c>
      <c r="C12" s="44"/>
      <c r="D12" s="44">
        <v>6100</v>
      </c>
      <c r="E12" s="44">
        <v>1070</v>
      </c>
      <c r="F12" s="44">
        <v>25</v>
      </c>
      <c r="G12" s="38"/>
      <c r="H12" s="39"/>
      <c r="I12" s="40"/>
      <c r="J12" s="37"/>
      <c r="K12" s="41"/>
    </row>
    <row r="13" spans="1:11" s="33" customFormat="1" ht="20.100000000000001" customHeight="1">
      <c r="A13" s="34"/>
      <c r="B13" s="45"/>
      <c r="C13" s="37"/>
      <c r="D13" s="37"/>
      <c r="E13" s="37"/>
      <c r="F13" s="37"/>
      <c r="G13" s="38"/>
      <c r="H13" s="39"/>
      <c r="I13" s="40"/>
      <c r="J13" s="37"/>
      <c r="K13" s="41"/>
    </row>
    <row r="14" spans="1:11" s="33" customFormat="1" ht="20.100000000000001" customHeight="1">
      <c r="A14" s="34"/>
      <c r="B14" s="45"/>
      <c r="C14" s="37"/>
      <c r="D14" s="37"/>
      <c r="E14" s="37"/>
      <c r="F14" s="37"/>
      <c r="G14" s="38"/>
      <c r="H14" s="39"/>
      <c r="I14" s="40"/>
      <c r="J14" s="37"/>
      <c r="K14" s="41"/>
    </row>
    <row r="15" spans="1:11" s="33" customFormat="1" ht="20.100000000000001" customHeight="1">
      <c r="A15" s="34"/>
      <c r="B15" s="45"/>
      <c r="C15" s="37"/>
      <c r="D15" s="37"/>
      <c r="E15" s="37"/>
      <c r="F15" s="37"/>
      <c r="G15" s="38"/>
      <c r="H15" s="39"/>
      <c r="I15" s="40"/>
      <c r="J15" s="37"/>
      <c r="K15" s="41"/>
    </row>
    <row r="16" spans="1:11" s="33" customFormat="1" ht="20.100000000000001" customHeight="1">
      <c r="A16" s="34"/>
      <c r="B16" s="45"/>
      <c r="C16" s="37"/>
      <c r="D16" s="37"/>
      <c r="E16" s="37"/>
      <c r="F16" s="37"/>
      <c r="G16" s="38"/>
      <c r="H16" s="39"/>
      <c r="I16" s="40"/>
      <c r="J16" s="37"/>
      <c r="K16" s="41"/>
    </row>
    <row r="17" spans="1:11" s="33" customFormat="1" ht="20.100000000000001" customHeight="1">
      <c r="A17" s="34"/>
      <c r="B17" s="45"/>
      <c r="C17" s="37"/>
      <c r="D17" s="37"/>
      <c r="E17" s="37"/>
      <c r="F17" s="37"/>
      <c r="G17" s="38"/>
      <c r="H17" s="39"/>
      <c r="I17" s="40"/>
      <c r="J17" s="37"/>
      <c r="K17" s="41"/>
    </row>
    <row r="18" spans="1:11" s="33" customFormat="1" ht="20.100000000000001" customHeight="1">
      <c r="A18" s="34"/>
      <c r="B18" s="45"/>
      <c r="C18" s="37"/>
      <c r="D18" s="37"/>
      <c r="E18" s="37"/>
      <c r="F18" s="37"/>
      <c r="G18" s="38"/>
      <c r="H18" s="39"/>
      <c r="I18" s="40"/>
      <c r="J18" s="37"/>
      <c r="K18" s="41"/>
    </row>
    <row r="19" spans="1:11" s="33" customFormat="1" ht="20.100000000000001" customHeight="1">
      <c r="A19" s="34"/>
      <c r="B19" s="45"/>
      <c r="C19" s="37"/>
      <c r="D19" s="37"/>
      <c r="E19" s="37"/>
      <c r="F19" s="37"/>
      <c r="G19" s="38"/>
      <c r="H19" s="39"/>
      <c r="I19" s="40"/>
      <c r="J19" s="37"/>
      <c r="K19" s="41"/>
    </row>
    <row r="20" spans="1:11" s="33" customFormat="1" ht="20.100000000000001" customHeight="1">
      <c r="A20" s="34"/>
      <c r="B20" s="45"/>
      <c r="C20" s="37"/>
      <c r="D20" s="37"/>
      <c r="E20" s="37"/>
      <c r="F20" s="37"/>
      <c r="G20" s="38"/>
      <c r="H20" s="39"/>
      <c r="I20" s="40"/>
      <c r="J20" s="37"/>
      <c r="K20" s="41"/>
    </row>
    <row r="21" spans="1:11" s="33" customFormat="1" ht="20.100000000000001" customHeight="1">
      <c r="A21" s="34"/>
      <c r="B21" s="45"/>
      <c r="C21" s="37"/>
      <c r="D21" s="37"/>
      <c r="E21" s="37"/>
      <c r="F21" s="37"/>
      <c r="G21" s="38"/>
      <c r="H21" s="39"/>
      <c r="I21" s="40"/>
      <c r="J21" s="37"/>
      <c r="K21" s="41"/>
    </row>
    <row r="22" spans="1:11" s="33" customFormat="1" ht="20.100000000000001" customHeight="1">
      <c r="A22" s="34"/>
      <c r="B22" s="45"/>
      <c r="C22" s="37"/>
      <c r="D22" s="37"/>
      <c r="E22" s="37"/>
      <c r="F22" s="37"/>
      <c r="G22" s="38"/>
      <c r="H22" s="39"/>
      <c r="I22" s="40"/>
      <c r="J22" s="37"/>
      <c r="K22" s="41"/>
    </row>
    <row r="23" spans="1:11" s="33" customFormat="1" ht="20.100000000000001" customHeight="1" thickBot="1">
      <c r="A23" s="46"/>
      <c r="B23" s="37"/>
      <c r="C23" s="37"/>
      <c r="D23" s="39"/>
      <c r="E23" s="39"/>
      <c r="F23" s="39"/>
      <c r="G23" s="38"/>
      <c r="H23" s="39"/>
      <c r="I23" s="40"/>
      <c r="J23" s="37"/>
      <c r="K23" s="47"/>
    </row>
    <row r="24" spans="1:11" s="33" customFormat="1" ht="20.100000000000001" customHeight="1" thickBot="1">
      <c r="A24" s="48"/>
      <c r="B24" s="49"/>
      <c r="C24" s="50" t="s">
        <v>25</v>
      </c>
      <c r="D24" s="51"/>
      <c r="E24" s="52"/>
      <c r="F24" s="53">
        <f>SUM(F7:F22)</f>
        <v>136</v>
      </c>
      <c r="G24" s="54">
        <f>SUM(G7:G22)</f>
        <v>0</v>
      </c>
      <c r="H24" s="53">
        <f>SUM(H7:H22)</f>
        <v>0</v>
      </c>
      <c r="I24" s="53">
        <f>SUM(I7:I22)</f>
        <v>0</v>
      </c>
      <c r="J24" s="55"/>
      <c r="K24" s="49"/>
    </row>
  </sheetData>
  <mergeCells count="9">
    <mergeCell ref="J4:J5"/>
    <mergeCell ref="K4:K5"/>
    <mergeCell ref="K7:K23"/>
    <mergeCell ref="A4:A5"/>
    <mergeCell ref="B4:B5"/>
    <mergeCell ref="C4:C5"/>
    <mergeCell ref="G4:G5"/>
    <mergeCell ref="H4:H5"/>
    <mergeCell ref="I4:I5"/>
  </mergeCells>
  <printOptions horizontalCentered="1"/>
  <pageMargins left="0.59055118110236227" right="0.43307086614173229" top="0.27559055118110237" bottom="0.47244094488188981" header="3.937007874015748E-2" footer="0.27559055118110237"/>
  <pageSetup paperSize="9" scale="57" orientation="portrait" blackAndWhite="1" r:id="rId1"/>
  <headerFooter alignWithMargins="0"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6217-B3C7-4A82-B549-BEA5FF639FA8}">
  <sheetPr>
    <tabColor rgb="FFFF0000"/>
  </sheetPr>
  <dimension ref="A1:Q227"/>
  <sheetViews>
    <sheetView showZeros="0" view="pageBreakPreview" zoomScale="70" zoomScaleSheetLayoutView="70" workbookViewId="0">
      <pane ySplit="6" topLeftCell="A7" activePane="bottomLeft" state="frozen"/>
      <selection activeCell="A3" sqref="A3:K23"/>
      <selection pane="bottomLeft" activeCell="A3" sqref="A3:O208"/>
    </sheetView>
  </sheetViews>
  <sheetFormatPr defaultRowHeight="14.4"/>
  <cols>
    <col min="1" max="1" width="19.19921875" customWidth="1"/>
    <col min="2" max="8" width="13.59765625" customWidth="1"/>
    <col min="9" max="9" width="13.59765625" style="143" customWidth="1"/>
    <col min="10" max="10" width="13.59765625" customWidth="1"/>
    <col min="11" max="12" width="13.59765625" style="144" customWidth="1"/>
    <col min="13" max="14" width="13.59765625" customWidth="1"/>
    <col min="15" max="15" width="18.59765625" customWidth="1"/>
    <col min="16" max="16" width="14.19921875" customWidth="1"/>
    <col min="17" max="17" width="0" hidden="1" customWidth="1"/>
    <col min="263" max="270" width="13.59765625" customWidth="1"/>
    <col min="271" max="271" width="26" bestFit="1" customWidth="1"/>
    <col min="519" max="526" width="13.59765625" customWidth="1"/>
    <col min="527" max="527" width="26" bestFit="1" customWidth="1"/>
    <col min="775" max="782" width="13.59765625" customWidth="1"/>
    <col min="783" max="783" width="26" bestFit="1" customWidth="1"/>
    <col min="1031" max="1038" width="13.59765625" customWidth="1"/>
    <col min="1039" max="1039" width="26" bestFit="1" customWidth="1"/>
    <col min="1287" max="1294" width="13.59765625" customWidth="1"/>
    <col min="1295" max="1295" width="26" bestFit="1" customWidth="1"/>
    <col min="1543" max="1550" width="13.59765625" customWidth="1"/>
    <col min="1551" max="1551" width="26" bestFit="1" customWidth="1"/>
    <col min="1799" max="1806" width="13.59765625" customWidth="1"/>
    <col min="1807" max="1807" width="26" bestFit="1" customWidth="1"/>
    <col min="2055" max="2062" width="13.59765625" customWidth="1"/>
    <col min="2063" max="2063" width="26" bestFit="1" customWidth="1"/>
    <col min="2311" max="2318" width="13.59765625" customWidth="1"/>
    <col min="2319" max="2319" width="26" bestFit="1" customWidth="1"/>
    <col min="2567" max="2574" width="13.59765625" customWidth="1"/>
    <col min="2575" max="2575" width="26" bestFit="1" customWidth="1"/>
    <col min="2823" max="2830" width="13.59765625" customWidth="1"/>
    <col min="2831" max="2831" width="26" bestFit="1" customWidth="1"/>
    <col min="3079" max="3086" width="13.59765625" customWidth="1"/>
    <col min="3087" max="3087" width="26" bestFit="1" customWidth="1"/>
    <col min="3335" max="3342" width="13.59765625" customWidth="1"/>
    <col min="3343" max="3343" width="26" bestFit="1" customWidth="1"/>
    <col min="3591" max="3598" width="13.59765625" customWidth="1"/>
    <col min="3599" max="3599" width="26" bestFit="1" customWidth="1"/>
    <col min="3847" max="3854" width="13.59765625" customWidth="1"/>
    <col min="3855" max="3855" width="26" bestFit="1" customWidth="1"/>
    <col min="4103" max="4110" width="13.59765625" customWidth="1"/>
    <col min="4111" max="4111" width="26" bestFit="1" customWidth="1"/>
    <col min="4359" max="4366" width="13.59765625" customWidth="1"/>
    <col min="4367" max="4367" width="26" bestFit="1" customWidth="1"/>
    <col min="4615" max="4622" width="13.59765625" customWidth="1"/>
    <col min="4623" max="4623" width="26" bestFit="1" customWidth="1"/>
    <col min="4871" max="4878" width="13.59765625" customWidth="1"/>
    <col min="4879" max="4879" width="26" bestFit="1" customWidth="1"/>
    <col min="5127" max="5134" width="13.59765625" customWidth="1"/>
    <col min="5135" max="5135" width="26" bestFit="1" customWidth="1"/>
    <col min="5383" max="5390" width="13.59765625" customWidth="1"/>
    <col min="5391" max="5391" width="26" bestFit="1" customWidth="1"/>
    <col min="5639" max="5646" width="13.59765625" customWidth="1"/>
    <col min="5647" max="5647" width="26" bestFit="1" customWidth="1"/>
    <col min="5895" max="5902" width="13.59765625" customWidth="1"/>
    <col min="5903" max="5903" width="26" bestFit="1" customWidth="1"/>
    <col min="6151" max="6158" width="13.59765625" customWidth="1"/>
    <col min="6159" max="6159" width="26" bestFit="1" customWidth="1"/>
    <col min="6407" max="6414" width="13.59765625" customWidth="1"/>
    <col min="6415" max="6415" width="26" bestFit="1" customWidth="1"/>
    <col min="6663" max="6670" width="13.59765625" customWidth="1"/>
    <col min="6671" max="6671" width="26" bestFit="1" customWidth="1"/>
    <col min="6919" max="6926" width="13.59765625" customWidth="1"/>
    <col min="6927" max="6927" width="26" bestFit="1" customWidth="1"/>
    <col min="7175" max="7182" width="13.59765625" customWidth="1"/>
    <col min="7183" max="7183" width="26" bestFit="1" customWidth="1"/>
    <col min="7431" max="7438" width="13.59765625" customWidth="1"/>
    <col min="7439" max="7439" width="26" bestFit="1" customWidth="1"/>
    <col min="7687" max="7694" width="13.59765625" customWidth="1"/>
    <col min="7695" max="7695" width="26" bestFit="1" customWidth="1"/>
    <col min="7943" max="7950" width="13.59765625" customWidth="1"/>
    <col min="7951" max="7951" width="26" bestFit="1" customWidth="1"/>
    <col min="8199" max="8206" width="13.59765625" customWidth="1"/>
    <col min="8207" max="8207" width="26" bestFit="1" customWidth="1"/>
    <col min="8455" max="8462" width="13.59765625" customWidth="1"/>
    <col min="8463" max="8463" width="26" bestFit="1" customWidth="1"/>
    <col min="8711" max="8718" width="13.59765625" customWidth="1"/>
    <col min="8719" max="8719" width="26" bestFit="1" customWidth="1"/>
    <col min="8967" max="8974" width="13.59765625" customWidth="1"/>
    <col min="8975" max="8975" width="26" bestFit="1" customWidth="1"/>
    <col min="9223" max="9230" width="13.59765625" customWidth="1"/>
    <col min="9231" max="9231" width="26" bestFit="1" customWidth="1"/>
    <col min="9479" max="9486" width="13.59765625" customWidth="1"/>
    <col min="9487" max="9487" width="26" bestFit="1" customWidth="1"/>
    <col min="9735" max="9742" width="13.59765625" customWidth="1"/>
    <col min="9743" max="9743" width="26" bestFit="1" customWidth="1"/>
    <col min="9991" max="9998" width="13.59765625" customWidth="1"/>
    <col min="9999" max="9999" width="26" bestFit="1" customWidth="1"/>
    <col min="10247" max="10254" width="13.59765625" customWidth="1"/>
    <col min="10255" max="10255" width="26" bestFit="1" customWidth="1"/>
    <col min="10503" max="10510" width="13.59765625" customWidth="1"/>
    <col min="10511" max="10511" width="26" bestFit="1" customWidth="1"/>
    <col min="10759" max="10766" width="13.59765625" customWidth="1"/>
    <col min="10767" max="10767" width="26" bestFit="1" customWidth="1"/>
    <col min="11015" max="11022" width="13.59765625" customWidth="1"/>
    <col min="11023" max="11023" width="26" bestFit="1" customWidth="1"/>
    <col min="11271" max="11278" width="13.59765625" customWidth="1"/>
    <col min="11279" max="11279" width="26" bestFit="1" customWidth="1"/>
    <col min="11527" max="11534" width="13.59765625" customWidth="1"/>
    <col min="11535" max="11535" width="26" bestFit="1" customWidth="1"/>
    <col min="11783" max="11790" width="13.59765625" customWidth="1"/>
    <col min="11791" max="11791" width="26" bestFit="1" customWidth="1"/>
    <col min="12039" max="12046" width="13.59765625" customWidth="1"/>
    <col min="12047" max="12047" width="26" bestFit="1" customWidth="1"/>
    <col min="12295" max="12302" width="13.59765625" customWidth="1"/>
    <col min="12303" max="12303" width="26" bestFit="1" customWidth="1"/>
    <col min="12551" max="12558" width="13.59765625" customWidth="1"/>
    <col min="12559" max="12559" width="26" bestFit="1" customWidth="1"/>
    <col min="12807" max="12814" width="13.59765625" customWidth="1"/>
    <col min="12815" max="12815" width="26" bestFit="1" customWidth="1"/>
    <col min="13063" max="13070" width="13.59765625" customWidth="1"/>
    <col min="13071" max="13071" width="26" bestFit="1" customWidth="1"/>
    <col min="13319" max="13326" width="13.59765625" customWidth="1"/>
    <col min="13327" max="13327" width="26" bestFit="1" customWidth="1"/>
    <col min="13575" max="13582" width="13.59765625" customWidth="1"/>
    <col min="13583" max="13583" width="26" bestFit="1" customWidth="1"/>
    <col min="13831" max="13838" width="13.59765625" customWidth="1"/>
    <col min="13839" max="13839" width="26" bestFit="1" customWidth="1"/>
    <col min="14087" max="14094" width="13.59765625" customWidth="1"/>
    <col min="14095" max="14095" width="26" bestFit="1" customWidth="1"/>
    <col min="14343" max="14350" width="13.59765625" customWidth="1"/>
    <col min="14351" max="14351" width="26" bestFit="1" customWidth="1"/>
    <col min="14599" max="14606" width="13.59765625" customWidth="1"/>
    <col min="14607" max="14607" width="26" bestFit="1" customWidth="1"/>
    <col min="14855" max="14862" width="13.59765625" customWidth="1"/>
    <col min="14863" max="14863" width="26" bestFit="1" customWidth="1"/>
    <col min="15111" max="15118" width="13.59765625" customWidth="1"/>
    <col min="15119" max="15119" width="26" bestFit="1" customWidth="1"/>
    <col min="15367" max="15374" width="13.59765625" customWidth="1"/>
    <col min="15375" max="15375" width="26" bestFit="1" customWidth="1"/>
    <col min="15623" max="15630" width="13.59765625" customWidth="1"/>
    <col min="15631" max="15631" width="26" bestFit="1" customWidth="1"/>
    <col min="15879" max="15886" width="13.59765625" customWidth="1"/>
    <col min="15887" max="15887" width="26" bestFit="1" customWidth="1"/>
    <col min="16135" max="16142" width="13.59765625" customWidth="1"/>
    <col min="16143" max="16143" width="26" bestFit="1" customWidth="1"/>
  </cols>
  <sheetData>
    <row r="1" spans="1:17" s="5" customFormat="1" ht="17.399999999999999">
      <c r="A1" s="56" t="s">
        <v>26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7" s="5" customFormat="1" ht="13.8">
      <c r="I2" s="57"/>
    </row>
    <row r="3" spans="1:17" s="5" customFormat="1" ht="15" thickBot="1">
      <c r="A3" s="6" t="s">
        <v>27</v>
      </c>
      <c r="B3" s="6"/>
      <c r="C3" s="6"/>
      <c r="G3" s="10"/>
      <c r="H3" s="10"/>
      <c r="I3" s="58"/>
      <c r="J3" s="10"/>
      <c r="K3" s="10"/>
      <c r="L3" s="10"/>
    </row>
    <row r="4" spans="1:17" ht="18.899999999999999" customHeight="1">
      <c r="A4" s="59" t="s">
        <v>28</v>
      </c>
      <c r="B4" s="60" t="s">
        <v>3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2" t="s">
        <v>29</v>
      </c>
    </row>
    <row r="5" spans="1:17" ht="24.9" customHeight="1">
      <c r="A5" s="63"/>
      <c r="B5" s="64"/>
      <c r="C5" s="65" t="s">
        <v>30</v>
      </c>
      <c r="D5" s="65"/>
      <c r="E5" s="65"/>
      <c r="F5" s="65"/>
      <c r="G5" s="66" t="s">
        <v>31</v>
      </c>
      <c r="H5" s="66" t="s">
        <v>32</v>
      </c>
      <c r="I5" s="67" t="s">
        <v>33</v>
      </c>
      <c r="J5" s="68" t="s">
        <v>33</v>
      </c>
      <c r="K5" s="68" t="s">
        <v>34</v>
      </c>
      <c r="L5" s="68" t="s">
        <v>34</v>
      </c>
      <c r="M5" s="69" t="s">
        <v>35</v>
      </c>
      <c r="N5" s="70" t="s">
        <v>36</v>
      </c>
      <c r="O5" s="71" t="s">
        <v>10</v>
      </c>
      <c r="P5" s="72"/>
    </row>
    <row r="6" spans="1:17" ht="26.4">
      <c r="A6" s="63"/>
      <c r="B6" s="73"/>
      <c r="C6" s="74" t="s">
        <v>37</v>
      </c>
      <c r="D6" s="74" t="s">
        <v>38</v>
      </c>
      <c r="E6" s="74" t="s">
        <v>39</v>
      </c>
      <c r="F6" s="74" t="s">
        <v>40</v>
      </c>
      <c r="G6" s="66"/>
      <c r="H6" s="66"/>
      <c r="I6" s="67" t="s">
        <v>41</v>
      </c>
      <c r="J6" s="68" t="s">
        <v>42</v>
      </c>
      <c r="K6" s="68" t="s">
        <v>41</v>
      </c>
      <c r="L6" s="68" t="s">
        <v>42</v>
      </c>
      <c r="M6" s="69"/>
      <c r="N6" s="75"/>
      <c r="O6" s="73"/>
      <c r="P6" s="76"/>
    </row>
    <row r="7" spans="1:17" s="79" customFormat="1" ht="18.899999999999999" customHeight="1">
      <c r="A7" s="77" t="s">
        <v>43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8"/>
    </row>
    <row r="8" spans="1:17" ht="18.899999999999999" customHeight="1">
      <c r="A8" s="80" t="s">
        <v>44</v>
      </c>
      <c r="B8" s="81" t="s">
        <v>45</v>
      </c>
      <c r="C8" s="82">
        <v>300</v>
      </c>
      <c r="D8" s="82">
        <v>150</v>
      </c>
      <c r="E8" s="82"/>
      <c r="F8" s="82"/>
      <c r="G8" s="82">
        <f t="shared" ref="G8:G71" si="0">E8+F8</f>
        <v>0</v>
      </c>
      <c r="H8" s="82"/>
      <c r="I8" s="83">
        <f>1.5*H8*G8/3</f>
        <v>0</v>
      </c>
      <c r="J8" s="84">
        <f>I8*13.4</f>
        <v>0</v>
      </c>
      <c r="K8" s="84">
        <f>(2.5*2*G8/3)</f>
        <v>0</v>
      </c>
      <c r="L8" s="84">
        <f>K8*31.5</f>
        <v>0</v>
      </c>
      <c r="M8" s="84">
        <f>SUM(G8*H8)*150</f>
        <v>0</v>
      </c>
      <c r="N8" s="85">
        <f>J8+M8+L8</f>
        <v>0</v>
      </c>
      <c r="O8" s="86" t="s">
        <v>17</v>
      </c>
      <c r="P8" s="87"/>
      <c r="Q8">
        <f>G8*H8</f>
        <v>0</v>
      </c>
    </row>
    <row r="9" spans="1:17" ht="18.899999999999999" customHeight="1">
      <c r="A9" s="88"/>
      <c r="B9" s="89" t="s">
        <v>45</v>
      </c>
      <c r="C9" s="90">
        <v>300</v>
      </c>
      <c r="D9" s="90">
        <v>150</v>
      </c>
      <c r="E9" s="90"/>
      <c r="F9" s="90"/>
      <c r="G9" s="90">
        <f t="shared" si="0"/>
        <v>0</v>
      </c>
      <c r="H9" s="90"/>
      <c r="I9" s="91">
        <f t="shared" ref="I9:I10" si="1">1.5*H9*G9/3</f>
        <v>0</v>
      </c>
      <c r="J9" s="92">
        <f t="shared" ref="J9:J10" si="2">I9*13.4</f>
        <v>0</v>
      </c>
      <c r="K9" s="92">
        <f>(2.5*1*G9/3)</f>
        <v>0</v>
      </c>
      <c r="L9" s="92">
        <f t="shared" ref="L9:L10" si="3">K9*31.5</f>
        <v>0</v>
      </c>
      <c r="M9" s="92">
        <f t="shared" ref="M9:M10" si="4">SUM(G9*H9)*150</f>
        <v>0</v>
      </c>
      <c r="N9" s="93">
        <f t="shared" ref="N9:N10" si="5">J9+M9+L9</f>
        <v>0</v>
      </c>
      <c r="O9" s="94"/>
      <c r="P9" s="95"/>
      <c r="Q9">
        <f t="shared" ref="Q9:Q10" si="6">G9*H9</f>
        <v>0</v>
      </c>
    </row>
    <row r="10" spans="1:17" ht="18.899999999999999" customHeight="1">
      <c r="A10" s="96"/>
      <c r="B10" s="97" t="s">
        <v>45</v>
      </c>
      <c r="C10" s="98">
        <v>300</v>
      </c>
      <c r="D10" s="98">
        <v>150</v>
      </c>
      <c r="E10" s="98"/>
      <c r="F10" s="98"/>
      <c r="G10" s="98">
        <f t="shared" si="0"/>
        <v>0</v>
      </c>
      <c r="H10" s="98"/>
      <c r="I10" s="99">
        <f t="shared" si="1"/>
        <v>0</v>
      </c>
      <c r="J10" s="100">
        <f t="shared" si="2"/>
        <v>0</v>
      </c>
      <c r="K10" s="101"/>
      <c r="L10" s="101">
        <f t="shared" si="3"/>
        <v>0</v>
      </c>
      <c r="M10" s="100">
        <f t="shared" si="4"/>
        <v>0</v>
      </c>
      <c r="N10" s="102">
        <f t="shared" si="5"/>
        <v>0</v>
      </c>
      <c r="O10" s="94"/>
      <c r="P10" s="95"/>
      <c r="Q10">
        <f t="shared" si="6"/>
        <v>0</v>
      </c>
    </row>
    <row r="11" spans="1:17" ht="18.899999999999999" customHeight="1">
      <c r="A11" s="80" t="s">
        <v>46</v>
      </c>
      <c r="B11" s="81" t="s">
        <v>45</v>
      </c>
      <c r="C11" s="82">
        <v>900</v>
      </c>
      <c r="D11" s="82">
        <v>150</v>
      </c>
      <c r="E11" s="82"/>
      <c r="F11" s="82"/>
      <c r="G11" s="82">
        <f t="shared" si="0"/>
        <v>0</v>
      </c>
      <c r="H11" s="82"/>
      <c r="I11" s="83">
        <f>1.5*H11*G11/3</f>
        <v>0</v>
      </c>
      <c r="J11" s="84">
        <f>I11*13.4</f>
        <v>0</v>
      </c>
      <c r="K11" s="84">
        <f>(2.5*1*G11/3)</f>
        <v>0</v>
      </c>
      <c r="L11" s="84">
        <f>K11*31.5</f>
        <v>0</v>
      </c>
      <c r="M11" s="84">
        <f>SUM(G11*H11)*150</f>
        <v>0</v>
      </c>
      <c r="N11" s="85">
        <f>J11+M11+L11</f>
        <v>0</v>
      </c>
      <c r="O11" s="94"/>
      <c r="P11" s="95"/>
      <c r="Q11">
        <f>G11*H11</f>
        <v>0</v>
      </c>
    </row>
    <row r="12" spans="1:17" ht="18.899999999999999" customHeight="1">
      <c r="A12" s="88"/>
      <c r="B12" s="89" t="s">
        <v>45</v>
      </c>
      <c r="C12" s="90">
        <v>600</v>
      </c>
      <c r="D12" s="90">
        <v>150</v>
      </c>
      <c r="E12" s="90"/>
      <c r="F12" s="90"/>
      <c r="G12" s="90">
        <f t="shared" si="0"/>
        <v>0</v>
      </c>
      <c r="H12" s="90"/>
      <c r="I12" s="91">
        <f t="shared" ref="I12:I13" si="7">1.5*H12*G12/3</f>
        <v>0</v>
      </c>
      <c r="J12" s="92">
        <f t="shared" ref="J12:J13" si="8">I12*13.4</f>
        <v>0</v>
      </c>
      <c r="K12" s="92">
        <f>(2.5*1*G12/3)</f>
        <v>0</v>
      </c>
      <c r="L12" s="92">
        <f t="shared" ref="L12:L13" si="9">K12*31.5</f>
        <v>0</v>
      </c>
      <c r="M12" s="92">
        <f t="shared" ref="M12:M13" si="10">SUM(G12*H12)*150</f>
        <v>0</v>
      </c>
      <c r="N12" s="93">
        <f t="shared" ref="N12:N13" si="11">J12+M12+L12</f>
        <v>0</v>
      </c>
      <c r="O12" s="94"/>
      <c r="P12" s="95"/>
      <c r="Q12">
        <f t="shared" ref="Q12:Q13" si="12">G12*H12</f>
        <v>0</v>
      </c>
    </row>
    <row r="13" spans="1:17" ht="18.899999999999999" customHeight="1">
      <c r="A13" s="96"/>
      <c r="B13" s="97" t="s">
        <v>45</v>
      </c>
      <c r="C13" s="98">
        <v>300</v>
      </c>
      <c r="D13" s="98">
        <v>150</v>
      </c>
      <c r="E13" s="98"/>
      <c r="F13" s="98"/>
      <c r="G13" s="98">
        <f t="shared" si="0"/>
        <v>0</v>
      </c>
      <c r="H13" s="98"/>
      <c r="I13" s="99">
        <f t="shared" si="7"/>
        <v>0</v>
      </c>
      <c r="J13" s="100">
        <f t="shared" si="8"/>
        <v>0</v>
      </c>
      <c r="K13" s="101"/>
      <c r="L13" s="101">
        <f t="shared" si="9"/>
        <v>0</v>
      </c>
      <c r="M13" s="100">
        <f t="shared" si="10"/>
        <v>0</v>
      </c>
      <c r="N13" s="102">
        <f t="shared" si="11"/>
        <v>0</v>
      </c>
      <c r="O13" s="94"/>
      <c r="P13" s="95"/>
      <c r="Q13">
        <f t="shared" si="12"/>
        <v>0</v>
      </c>
    </row>
    <row r="14" spans="1:17" ht="18.899999999999999" customHeight="1">
      <c r="A14" s="80" t="s">
        <v>47</v>
      </c>
      <c r="B14" s="81" t="s">
        <v>45</v>
      </c>
      <c r="C14" s="82">
        <v>900</v>
      </c>
      <c r="D14" s="82">
        <v>150</v>
      </c>
      <c r="E14" s="82"/>
      <c r="F14" s="82"/>
      <c r="G14" s="82">
        <f t="shared" si="0"/>
        <v>0</v>
      </c>
      <c r="H14" s="82"/>
      <c r="I14" s="83">
        <f>1.5*H14*G14/3</f>
        <v>0</v>
      </c>
      <c r="J14" s="84">
        <f>I14*13.4</f>
        <v>0</v>
      </c>
      <c r="K14" s="84">
        <f>(2.5*2*G14/3)</f>
        <v>0</v>
      </c>
      <c r="L14" s="84">
        <f>K14*31.5</f>
        <v>0</v>
      </c>
      <c r="M14" s="84">
        <f>SUM(G14*H14)*150</f>
        <v>0</v>
      </c>
      <c r="N14" s="85">
        <f>J14+M14+L14</f>
        <v>0</v>
      </c>
      <c r="O14" s="94"/>
      <c r="P14" s="95"/>
      <c r="Q14">
        <f>G14*H14</f>
        <v>0</v>
      </c>
    </row>
    <row r="15" spans="1:17" ht="18.899999999999999" customHeight="1">
      <c r="A15" s="88"/>
      <c r="B15" s="89" t="s">
        <v>45</v>
      </c>
      <c r="C15" s="90">
        <v>600</v>
      </c>
      <c r="D15" s="90">
        <v>150</v>
      </c>
      <c r="E15" s="90"/>
      <c r="F15" s="90"/>
      <c r="G15" s="90">
        <f t="shared" si="0"/>
        <v>0</v>
      </c>
      <c r="H15" s="90"/>
      <c r="I15" s="91">
        <f t="shared" ref="I15:I78" si="13">1.5*H15*G15/3</f>
        <v>0</v>
      </c>
      <c r="J15" s="92">
        <f t="shared" ref="J15:J90" si="14">I15*13.4</f>
        <v>0</v>
      </c>
      <c r="K15" s="92"/>
      <c r="L15" s="92">
        <f t="shared" ref="L15:L78" si="15">K15*31.5</f>
        <v>0</v>
      </c>
      <c r="M15" s="92">
        <f t="shared" ref="M15:M90" si="16">SUM(G15*H15)*150</f>
        <v>0</v>
      </c>
      <c r="N15" s="93">
        <f t="shared" ref="N15:N78" si="17">J15+M15+L15</f>
        <v>0</v>
      </c>
      <c r="O15" s="94"/>
      <c r="P15" s="95"/>
      <c r="Q15">
        <f t="shared" ref="Q15:Q90" si="18">G15*H15</f>
        <v>0</v>
      </c>
    </row>
    <row r="16" spans="1:17" ht="18.899999999999999" customHeight="1">
      <c r="A16" s="96"/>
      <c r="B16" s="97" t="s">
        <v>45</v>
      </c>
      <c r="C16" s="98">
        <v>300</v>
      </c>
      <c r="D16" s="98">
        <v>150</v>
      </c>
      <c r="E16" s="98"/>
      <c r="F16" s="98"/>
      <c r="G16" s="98">
        <f t="shared" si="0"/>
        <v>0</v>
      </c>
      <c r="H16" s="98"/>
      <c r="I16" s="99">
        <f t="shared" si="13"/>
        <v>0</v>
      </c>
      <c r="J16" s="100">
        <f t="shared" si="14"/>
        <v>0</v>
      </c>
      <c r="K16" s="101"/>
      <c r="L16" s="101">
        <f t="shared" si="15"/>
        <v>0</v>
      </c>
      <c r="M16" s="100">
        <f t="shared" si="16"/>
        <v>0</v>
      </c>
      <c r="N16" s="102">
        <f t="shared" si="17"/>
        <v>0</v>
      </c>
      <c r="O16" s="94"/>
      <c r="P16" s="95"/>
      <c r="Q16">
        <f t="shared" si="18"/>
        <v>0</v>
      </c>
    </row>
    <row r="17" spans="1:17" ht="18.899999999999999" customHeight="1">
      <c r="A17" s="80" t="s">
        <v>48</v>
      </c>
      <c r="B17" s="81" t="s">
        <v>45</v>
      </c>
      <c r="C17" s="82">
        <v>900</v>
      </c>
      <c r="D17" s="82">
        <v>150</v>
      </c>
      <c r="E17" s="82"/>
      <c r="F17" s="82"/>
      <c r="G17" s="82">
        <f t="shared" si="0"/>
        <v>0</v>
      </c>
      <c r="H17" s="82"/>
      <c r="I17" s="83">
        <f>1.5*H17*G17/3</f>
        <v>0</v>
      </c>
      <c r="J17" s="84">
        <f>I17*13.4</f>
        <v>0</v>
      </c>
      <c r="K17" s="84">
        <f>(2.5*1*G17/3)</f>
        <v>0</v>
      </c>
      <c r="L17" s="84">
        <f>K17*31.5</f>
        <v>0</v>
      </c>
      <c r="M17" s="84">
        <f>SUM(G17*H17)*150</f>
        <v>0</v>
      </c>
      <c r="N17" s="85">
        <f>J17+M17+L17</f>
        <v>0</v>
      </c>
      <c r="O17" s="94"/>
      <c r="P17" s="95"/>
      <c r="Q17">
        <f>G17*H17</f>
        <v>0</v>
      </c>
    </row>
    <row r="18" spans="1:17" ht="18.899999999999999" customHeight="1">
      <c r="A18" s="88"/>
      <c r="B18" s="89" t="s">
        <v>45</v>
      </c>
      <c r="C18" s="90">
        <v>600</v>
      </c>
      <c r="D18" s="90">
        <v>150</v>
      </c>
      <c r="E18" s="90"/>
      <c r="F18" s="90"/>
      <c r="G18" s="90">
        <f t="shared" si="0"/>
        <v>0</v>
      </c>
      <c r="H18" s="90"/>
      <c r="I18" s="91">
        <f t="shared" ref="I18:I19" si="19">1.5*H18*G18/3</f>
        <v>0</v>
      </c>
      <c r="J18" s="92">
        <f t="shared" ref="J18:J19" si="20">I18*13.4</f>
        <v>0</v>
      </c>
      <c r="K18" s="92">
        <f>(2.5*1*G18/3)</f>
        <v>0</v>
      </c>
      <c r="L18" s="92">
        <f t="shared" ref="L18:L19" si="21">K18*31.5</f>
        <v>0</v>
      </c>
      <c r="M18" s="92">
        <f t="shared" ref="M18:M19" si="22">SUM(G18*H18)*150</f>
        <v>0</v>
      </c>
      <c r="N18" s="93">
        <f t="shared" ref="N18:N19" si="23">J18+M18+L18</f>
        <v>0</v>
      </c>
      <c r="O18" s="94"/>
      <c r="P18" s="95"/>
      <c r="Q18">
        <f t="shared" ref="Q18:Q19" si="24">G18*H18</f>
        <v>0</v>
      </c>
    </row>
    <row r="19" spans="1:17" ht="18.899999999999999" customHeight="1">
      <c r="A19" s="96"/>
      <c r="B19" s="97" t="s">
        <v>45</v>
      </c>
      <c r="C19" s="98">
        <v>300</v>
      </c>
      <c r="D19" s="98">
        <v>150</v>
      </c>
      <c r="E19" s="98"/>
      <c r="F19" s="98"/>
      <c r="G19" s="98">
        <f t="shared" si="0"/>
        <v>0</v>
      </c>
      <c r="H19" s="98"/>
      <c r="I19" s="99">
        <f t="shared" si="19"/>
        <v>0</v>
      </c>
      <c r="J19" s="100">
        <f t="shared" si="20"/>
        <v>0</v>
      </c>
      <c r="K19" s="101"/>
      <c r="L19" s="101">
        <f t="shared" si="21"/>
        <v>0</v>
      </c>
      <c r="M19" s="100">
        <f t="shared" si="22"/>
        <v>0</v>
      </c>
      <c r="N19" s="102">
        <f t="shared" si="23"/>
        <v>0</v>
      </c>
      <c r="O19" s="94"/>
      <c r="P19" s="95"/>
      <c r="Q19">
        <f t="shared" si="24"/>
        <v>0</v>
      </c>
    </row>
    <row r="20" spans="1:17" ht="18.899999999999999" customHeight="1">
      <c r="A20" s="80" t="s">
        <v>49</v>
      </c>
      <c r="B20" s="81" t="s">
        <v>45</v>
      </c>
      <c r="C20" s="82">
        <v>900</v>
      </c>
      <c r="D20" s="82">
        <v>150</v>
      </c>
      <c r="E20" s="82"/>
      <c r="F20" s="82"/>
      <c r="G20" s="82">
        <f t="shared" si="0"/>
        <v>0</v>
      </c>
      <c r="H20" s="82"/>
      <c r="I20" s="83">
        <f>1.5*H20*G20/3</f>
        <v>0</v>
      </c>
      <c r="J20" s="84">
        <f>I20*13.4</f>
        <v>0</v>
      </c>
      <c r="K20" s="84">
        <f>(2.5*1*G20/3)</f>
        <v>0</v>
      </c>
      <c r="L20" s="84">
        <f>K20*31.5</f>
        <v>0</v>
      </c>
      <c r="M20" s="84">
        <f>SUM(G20*H20)*150</f>
        <v>0</v>
      </c>
      <c r="N20" s="85">
        <f>J20+M20+L20</f>
        <v>0</v>
      </c>
      <c r="O20" s="94"/>
      <c r="P20" s="95"/>
      <c r="Q20">
        <f>G20*H20</f>
        <v>0</v>
      </c>
    </row>
    <row r="21" spans="1:17" ht="18.899999999999999" customHeight="1">
      <c r="A21" s="88"/>
      <c r="B21" s="89" t="s">
        <v>45</v>
      </c>
      <c r="C21" s="90">
        <v>600</v>
      </c>
      <c r="D21" s="90">
        <v>150</v>
      </c>
      <c r="E21" s="90"/>
      <c r="F21" s="90"/>
      <c r="G21" s="90">
        <f t="shared" si="0"/>
        <v>0</v>
      </c>
      <c r="H21" s="90"/>
      <c r="I21" s="91">
        <f t="shared" ref="I21:I22" si="25">1.5*H21*G21/3</f>
        <v>0</v>
      </c>
      <c r="J21" s="92">
        <f t="shared" ref="J21:J22" si="26">I21*13.4</f>
        <v>0</v>
      </c>
      <c r="K21" s="92"/>
      <c r="L21" s="92">
        <f t="shared" ref="L21:L22" si="27">K21*31.5</f>
        <v>0</v>
      </c>
      <c r="M21" s="92">
        <f t="shared" ref="M21:M22" si="28">SUM(G21*H21)*150</f>
        <v>0</v>
      </c>
      <c r="N21" s="93">
        <f t="shared" ref="N21:N22" si="29">J21+M21+L21</f>
        <v>0</v>
      </c>
      <c r="O21" s="94"/>
      <c r="P21" s="95"/>
      <c r="Q21">
        <f t="shared" ref="Q21:Q22" si="30">G21*H21</f>
        <v>0</v>
      </c>
    </row>
    <row r="22" spans="1:17" ht="18.899999999999999" customHeight="1">
      <c r="A22" s="96"/>
      <c r="B22" s="97" t="s">
        <v>45</v>
      </c>
      <c r="C22" s="98">
        <v>300</v>
      </c>
      <c r="D22" s="98">
        <v>150</v>
      </c>
      <c r="E22" s="98"/>
      <c r="F22" s="98"/>
      <c r="G22" s="98">
        <f t="shared" si="0"/>
        <v>0</v>
      </c>
      <c r="H22" s="98"/>
      <c r="I22" s="99">
        <f t="shared" si="25"/>
        <v>0</v>
      </c>
      <c r="J22" s="100">
        <f t="shared" si="26"/>
        <v>0</v>
      </c>
      <c r="K22" s="101"/>
      <c r="L22" s="101">
        <f t="shared" si="27"/>
        <v>0</v>
      </c>
      <c r="M22" s="100">
        <f t="shared" si="28"/>
        <v>0</v>
      </c>
      <c r="N22" s="102">
        <f t="shared" si="29"/>
        <v>0</v>
      </c>
      <c r="O22" s="94"/>
      <c r="P22" s="95"/>
      <c r="Q22">
        <f t="shared" si="30"/>
        <v>0</v>
      </c>
    </row>
    <row r="23" spans="1:17" ht="18.899999999999999" customHeight="1">
      <c r="A23" s="80" t="s">
        <v>50</v>
      </c>
      <c r="B23" s="81" t="s">
        <v>45</v>
      </c>
      <c r="C23" s="82">
        <v>900</v>
      </c>
      <c r="D23" s="82">
        <v>150</v>
      </c>
      <c r="E23" s="82"/>
      <c r="F23" s="82"/>
      <c r="G23" s="82">
        <f t="shared" si="0"/>
        <v>0</v>
      </c>
      <c r="H23" s="82"/>
      <c r="I23" s="83">
        <f t="shared" si="13"/>
        <v>0</v>
      </c>
      <c r="J23" s="84">
        <f>I23*13.4</f>
        <v>0</v>
      </c>
      <c r="K23" s="103">
        <f>(2.5*1*G23/3)</f>
        <v>0</v>
      </c>
      <c r="L23" s="103">
        <f t="shared" si="15"/>
        <v>0</v>
      </c>
      <c r="M23" s="84">
        <f>SUM(G23*H23)*150</f>
        <v>0</v>
      </c>
      <c r="N23" s="85">
        <f t="shared" si="17"/>
        <v>0</v>
      </c>
      <c r="O23" s="94"/>
      <c r="P23" s="95"/>
      <c r="Q23">
        <f t="shared" si="18"/>
        <v>0</v>
      </c>
    </row>
    <row r="24" spans="1:17" ht="18.899999999999999" customHeight="1">
      <c r="A24" s="88"/>
      <c r="B24" s="89" t="s">
        <v>45</v>
      </c>
      <c r="C24" s="90">
        <v>600</v>
      </c>
      <c r="D24" s="90">
        <v>150</v>
      </c>
      <c r="E24" s="90"/>
      <c r="F24" s="90"/>
      <c r="G24" s="90">
        <f t="shared" si="0"/>
        <v>0</v>
      </c>
      <c r="H24" s="90"/>
      <c r="I24" s="91">
        <f t="shared" si="13"/>
        <v>0</v>
      </c>
      <c r="J24" s="92">
        <f t="shared" si="14"/>
        <v>0</v>
      </c>
      <c r="K24" s="92">
        <f>(2.5*1*G24/3)</f>
        <v>0</v>
      </c>
      <c r="L24" s="92">
        <f t="shared" si="15"/>
        <v>0</v>
      </c>
      <c r="M24" s="92">
        <f t="shared" si="16"/>
        <v>0</v>
      </c>
      <c r="N24" s="93">
        <f t="shared" si="17"/>
        <v>0</v>
      </c>
      <c r="O24" s="94"/>
      <c r="P24" s="95"/>
      <c r="Q24">
        <f t="shared" si="18"/>
        <v>0</v>
      </c>
    </row>
    <row r="25" spans="1:17" ht="18.899999999999999" customHeight="1">
      <c r="A25" s="96"/>
      <c r="B25" s="97" t="s">
        <v>45</v>
      </c>
      <c r="C25" s="98">
        <v>300</v>
      </c>
      <c r="D25" s="98">
        <v>150</v>
      </c>
      <c r="E25" s="98"/>
      <c r="F25" s="98"/>
      <c r="G25" s="98">
        <f t="shared" si="0"/>
        <v>0</v>
      </c>
      <c r="H25" s="98"/>
      <c r="I25" s="99">
        <f t="shared" si="13"/>
        <v>0</v>
      </c>
      <c r="J25" s="100">
        <f t="shared" si="14"/>
        <v>0</v>
      </c>
      <c r="K25" s="104"/>
      <c r="L25" s="104">
        <f t="shared" si="15"/>
        <v>0</v>
      </c>
      <c r="M25" s="100">
        <f t="shared" si="16"/>
        <v>0</v>
      </c>
      <c r="N25" s="102">
        <f t="shared" si="17"/>
        <v>0</v>
      </c>
      <c r="O25" s="94"/>
      <c r="P25" s="95"/>
      <c r="Q25">
        <f t="shared" si="18"/>
        <v>0</v>
      </c>
    </row>
    <row r="26" spans="1:17" ht="18.899999999999999" customHeight="1">
      <c r="A26" s="80" t="s">
        <v>51</v>
      </c>
      <c r="B26" s="81" t="s">
        <v>45</v>
      </c>
      <c r="C26" s="82">
        <v>900</v>
      </c>
      <c r="D26" s="82">
        <v>150</v>
      </c>
      <c r="E26" s="82"/>
      <c r="F26" s="82"/>
      <c r="G26" s="82">
        <f t="shared" si="0"/>
        <v>0</v>
      </c>
      <c r="H26" s="82"/>
      <c r="I26" s="83">
        <f t="shared" si="13"/>
        <v>0</v>
      </c>
      <c r="J26" s="84">
        <f>I26*13.4</f>
        <v>0</v>
      </c>
      <c r="K26" s="103">
        <f>(2.5*2*G26/3)</f>
        <v>0</v>
      </c>
      <c r="L26" s="103">
        <f t="shared" si="15"/>
        <v>0</v>
      </c>
      <c r="M26" s="84">
        <f>SUM(G26*H26)*150</f>
        <v>0</v>
      </c>
      <c r="N26" s="85">
        <f t="shared" si="17"/>
        <v>0</v>
      </c>
      <c r="O26" s="94"/>
      <c r="P26" s="95"/>
      <c r="Q26">
        <f t="shared" si="18"/>
        <v>0</v>
      </c>
    </row>
    <row r="27" spans="1:17" ht="18.899999999999999" customHeight="1">
      <c r="A27" s="88"/>
      <c r="B27" s="89" t="s">
        <v>45</v>
      </c>
      <c r="C27" s="90">
        <v>600</v>
      </c>
      <c r="D27" s="90">
        <v>150</v>
      </c>
      <c r="E27" s="90"/>
      <c r="F27" s="90"/>
      <c r="G27" s="90">
        <f t="shared" si="0"/>
        <v>0</v>
      </c>
      <c r="H27" s="90"/>
      <c r="I27" s="91">
        <f t="shared" si="13"/>
        <v>0</v>
      </c>
      <c r="J27" s="92">
        <f t="shared" si="14"/>
        <v>0</v>
      </c>
      <c r="K27" s="92">
        <f t="shared" ref="K27" si="31">(2.5*2*G27/3)</f>
        <v>0</v>
      </c>
      <c r="L27" s="92">
        <f t="shared" si="15"/>
        <v>0</v>
      </c>
      <c r="M27" s="92">
        <f t="shared" si="16"/>
        <v>0</v>
      </c>
      <c r="N27" s="93">
        <f t="shared" si="17"/>
        <v>0</v>
      </c>
      <c r="O27" s="94"/>
      <c r="P27" s="95"/>
      <c r="Q27">
        <f t="shared" si="18"/>
        <v>0</v>
      </c>
    </row>
    <row r="28" spans="1:17" ht="18.899999999999999" customHeight="1">
      <c r="A28" s="96"/>
      <c r="B28" s="97" t="s">
        <v>45</v>
      </c>
      <c r="C28" s="98">
        <v>300</v>
      </c>
      <c r="D28" s="98">
        <v>150</v>
      </c>
      <c r="E28" s="98"/>
      <c r="F28" s="98"/>
      <c r="G28" s="98">
        <f t="shared" si="0"/>
        <v>0</v>
      </c>
      <c r="H28" s="98"/>
      <c r="I28" s="99">
        <f t="shared" si="13"/>
        <v>0</v>
      </c>
      <c r="J28" s="100">
        <f t="shared" si="14"/>
        <v>0</v>
      </c>
      <c r="K28" s="104"/>
      <c r="L28" s="104">
        <f t="shared" si="15"/>
        <v>0</v>
      </c>
      <c r="M28" s="100">
        <f t="shared" si="16"/>
        <v>0</v>
      </c>
      <c r="N28" s="102">
        <f t="shared" si="17"/>
        <v>0</v>
      </c>
      <c r="O28" s="94"/>
      <c r="P28" s="95"/>
      <c r="Q28">
        <f t="shared" si="18"/>
        <v>0</v>
      </c>
    </row>
    <row r="29" spans="1:17" ht="18.899999999999999" customHeight="1">
      <c r="A29" s="80" t="s">
        <v>52</v>
      </c>
      <c r="B29" s="81" t="s">
        <v>45</v>
      </c>
      <c r="C29" s="82">
        <v>900</v>
      </c>
      <c r="D29" s="82">
        <v>150</v>
      </c>
      <c r="E29" s="82"/>
      <c r="F29" s="82"/>
      <c r="G29" s="82">
        <f t="shared" si="0"/>
        <v>0</v>
      </c>
      <c r="H29" s="82"/>
      <c r="I29" s="83">
        <f t="shared" si="13"/>
        <v>0</v>
      </c>
      <c r="J29" s="84">
        <f>I29*13.4</f>
        <v>0</v>
      </c>
      <c r="K29" s="103">
        <f>(2.5*2*G29/3)</f>
        <v>0</v>
      </c>
      <c r="L29" s="103">
        <f t="shared" si="15"/>
        <v>0</v>
      </c>
      <c r="M29" s="84">
        <f>SUM(G29*H29)*150</f>
        <v>0</v>
      </c>
      <c r="N29" s="85">
        <f t="shared" si="17"/>
        <v>0</v>
      </c>
      <c r="O29" s="94"/>
      <c r="P29" s="95"/>
      <c r="Q29">
        <f t="shared" si="18"/>
        <v>0</v>
      </c>
    </row>
    <row r="30" spans="1:17" ht="18.899999999999999" customHeight="1">
      <c r="A30" s="88"/>
      <c r="B30" s="89" t="s">
        <v>45</v>
      </c>
      <c r="C30" s="90">
        <v>600</v>
      </c>
      <c r="D30" s="90">
        <v>150</v>
      </c>
      <c r="E30" s="90"/>
      <c r="F30" s="90"/>
      <c r="G30" s="90">
        <f t="shared" si="0"/>
        <v>0</v>
      </c>
      <c r="H30" s="90"/>
      <c r="I30" s="91">
        <f t="shared" si="13"/>
        <v>0</v>
      </c>
      <c r="J30" s="92">
        <f t="shared" si="14"/>
        <v>0</v>
      </c>
      <c r="K30" s="92">
        <v>0</v>
      </c>
      <c r="L30" s="92">
        <f t="shared" si="15"/>
        <v>0</v>
      </c>
      <c r="M30" s="92">
        <f t="shared" si="16"/>
        <v>0</v>
      </c>
      <c r="N30" s="93">
        <f t="shared" si="17"/>
        <v>0</v>
      </c>
      <c r="O30" s="94"/>
      <c r="P30" s="95"/>
      <c r="Q30">
        <f t="shared" si="18"/>
        <v>0</v>
      </c>
    </row>
    <row r="31" spans="1:17" ht="18.899999999999999" customHeight="1">
      <c r="A31" s="96"/>
      <c r="B31" s="97" t="s">
        <v>45</v>
      </c>
      <c r="C31" s="98">
        <v>300</v>
      </c>
      <c r="D31" s="98">
        <v>150</v>
      </c>
      <c r="E31" s="98"/>
      <c r="F31" s="98"/>
      <c r="G31" s="98">
        <f t="shared" si="0"/>
        <v>0</v>
      </c>
      <c r="H31" s="98"/>
      <c r="I31" s="99">
        <f t="shared" si="13"/>
        <v>0</v>
      </c>
      <c r="J31" s="100">
        <f t="shared" si="14"/>
        <v>0</v>
      </c>
      <c r="K31" s="104">
        <v>0</v>
      </c>
      <c r="L31" s="104">
        <f t="shared" si="15"/>
        <v>0</v>
      </c>
      <c r="M31" s="100">
        <f t="shared" si="16"/>
        <v>0</v>
      </c>
      <c r="N31" s="102">
        <f t="shared" si="17"/>
        <v>0</v>
      </c>
      <c r="O31" s="94"/>
      <c r="P31" s="95"/>
      <c r="Q31">
        <f t="shared" si="18"/>
        <v>0</v>
      </c>
    </row>
    <row r="32" spans="1:17" ht="18.899999999999999" customHeight="1">
      <c r="A32" s="80" t="s">
        <v>53</v>
      </c>
      <c r="B32" s="81" t="s">
        <v>45</v>
      </c>
      <c r="C32" s="82">
        <v>900</v>
      </c>
      <c r="D32" s="82">
        <v>150</v>
      </c>
      <c r="E32" s="82"/>
      <c r="F32" s="82"/>
      <c r="G32" s="82">
        <f t="shared" si="0"/>
        <v>0</v>
      </c>
      <c r="H32" s="82"/>
      <c r="I32" s="83">
        <f t="shared" si="13"/>
        <v>0</v>
      </c>
      <c r="J32" s="84">
        <f>I32*13.4</f>
        <v>0</v>
      </c>
      <c r="K32" s="103">
        <f>(2.5*1*G32/3)</f>
        <v>0</v>
      </c>
      <c r="L32" s="103">
        <f t="shared" si="15"/>
        <v>0</v>
      </c>
      <c r="M32" s="84">
        <f>SUM(G32*H32)*150</f>
        <v>0</v>
      </c>
      <c r="N32" s="85">
        <f t="shared" si="17"/>
        <v>0</v>
      </c>
      <c r="O32" s="94"/>
      <c r="P32" s="95"/>
      <c r="Q32">
        <f t="shared" si="18"/>
        <v>0</v>
      </c>
    </row>
    <row r="33" spans="1:17" ht="18.899999999999999" customHeight="1">
      <c r="A33" s="88"/>
      <c r="B33" s="89" t="s">
        <v>45</v>
      </c>
      <c r="C33" s="90">
        <v>600</v>
      </c>
      <c r="D33" s="90">
        <v>150</v>
      </c>
      <c r="E33" s="90"/>
      <c r="F33" s="90"/>
      <c r="G33" s="90">
        <f t="shared" si="0"/>
        <v>0</v>
      </c>
      <c r="H33" s="90"/>
      <c r="I33" s="91">
        <f t="shared" si="13"/>
        <v>0</v>
      </c>
      <c r="J33" s="92">
        <f t="shared" si="14"/>
        <v>0</v>
      </c>
      <c r="K33" s="92">
        <v>0</v>
      </c>
      <c r="L33" s="92">
        <f t="shared" si="15"/>
        <v>0</v>
      </c>
      <c r="M33" s="92">
        <f t="shared" si="16"/>
        <v>0</v>
      </c>
      <c r="N33" s="93">
        <f t="shared" si="17"/>
        <v>0</v>
      </c>
      <c r="O33" s="94"/>
      <c r="P33" s="95"/>
      <c r="Q33">
        <f t="shared" si="18"/>
        <v>0</v>
      </c>
    </row>
    <row r="34" spans="1:17" ht="18.899999999999999" customHeight="1">
      <c r="A34" s="96"/>
      <c r="B34" s="97" t="s">
        <v>45</v>
      </c>
      <c r="C34" s="98">
        <v>300</v>
      </c>
      <c r="D34" s="98">
        <v>150</v>
      </c>
      <c r="E34" s="98"/>
      <c r="F34" s="98"/>
      <c r="G34" s="98">
        <f t="shared" si="0"/>
        <v>0</v>
      </c>
      <c r="H34" s="98"/>
      <c r="I34" s="99">
        <f t="shared" si="13"/>
        <v>0</v>
      </c>
      <c r="J34" s="100">
        <f t="shared" si="14"/>
        <v>0</v>
      </c>
      <c r="K34" s="104">
        <v>0</v>
      </c>
      <c r="L34" s="104">
        <f t="shared" si="15"/>
        <v>0</v>
      </c>
      <c r="M34" s="100">
        <f t="shared" si="16"/>
        <v>0</v>
      </c>
      <c r="N34" s="102">
        <f t="shared" si="17"/>
        <v>0</v>
      </c>
      <c r="O34" s="94"/>
      <c r="P34" s="95"/>
      <c r="Q34">
        <f t="shared" si="18"/>
        <v>0</v>
      </c>
    </row>
    <row r="35" spans="1:17" ht="18.899999999999999" customHeight="1">
      <c r="A35" s="80" t="s">
        <v>54</v>
      </c>
      <c r="B35" s="81" t="s">
        <v>45</v>
      </c>
      <c r="C35" s="82">
        <v>900</v>
      </c>
      <c r="D35" s="82">
        <v>150</v>
      </c>
      <c r="E35" s="82"/>
      <c r="F35" s="82"/>
      <c r="G35" s="82">
        <f t="shared" si="0"/>
        <v>0</v>
      </c>
      <c r="H35" s="82"/>
      <c r="I35" s="83">
        <f t="shared" si="13"/>
        <v>0</v>
      </c>
      <c r="J35" s="84">
        <f>I35*13.4</f>
        <v>0</v>
      </c>
      <c r="K35" s="103">
        <f>(2.5*2*G35/3)</f>
        <v>0</v>
      </c>
      <c r="L35" s="103">
        <f t="shared" si="15"/>
        <v>0</v>
      </c>
      <c r="M35" s="84">
        <f>SUM(G35*H35)*150</f>
        <v>0</v>
      </c>
      <c r="N35" s="85">
        <f t="shared" si="17"/>
        <v>0</v>
      </c>
      <c r="O35" s="94"/>
      <c r="P35" s="95"/>
      <c r="Q35">
        <f t="shared" si="18"/>
        <v>0</v>
      </c>
    </row>
    <row r="36" spans="1:17" ht="18.899999999999999" customHeight="1">
      <c r="A36" s="88"/>
      <c r="B36" s="89" t="s">
        <v>45</v>
      </c>
      <c r="C36" s="90">
        <v>600</v>
      </c>
      <c r="D36" s="90">
        <v>150</v>
      </c>
      <c r="E36" s="90"/>
      <c r="F36" s="90"/>
      <c r="G36" s="90">
        <f t="shared" si="0"/>
        <v>0</v>
      </c>
      <c r="H36" s="90"/>
      <c r="I36" s="91">
        <f t="shared" si="13"/>
        <v>0</v>
      </c>
      <c r="J36" s="92">
        <f t="shared" si="14"/>
        <v>0</v>
      </c>
      <c r="K36" s="92">
        <v>0</v>
      </c>
      <c r="L36" s="92">
        <f t="shared" si="15"/>
        <v>0</v>
      </c>
      <c r="M36" s="92">
        <f t="shared" si="16"/>
        <v>0</v>
      </c>
      <c r="N36" s="93">
        <f t="shared" si="17"/>
        <v>0</v>
      </c>
      <c r="O36" s="94"/>
      <c r="P36" s="95"/>
      <c r="Q36">
        <f t="shared" si="18"/>
        <v>0</v>
      </c>
    </row>
    <row r="37" spans="1:17" ht="18.899999999999999" customHeight="1">
      <c r="A37" s="96"/>
      <c r="B37" s="97" t="s">
        <v>45</v>
      </c>
      <c r="C37" s="98">
        <v>300</v>
      </c>
      <c r="D37" s="98">
        <v>150</v>
      </c>
      <c r="E37" s="98"/>
      <c r="F37" s="98"/>
      <c r="G37" s="98">
        <f t="shared" si="0"/>
        <v>0</v>
      </c>
      <c r="H37" s="98"/>
      <c r="I37" s="99">
        <f t="shared" si="13"/>
        <v>0</v>
      </c>
      <c r="J37" s="100">
        <f t="shared" si="14"/>
        <v>0</v>
      </c>
      <c r="K37" s="104">
        <v>0</v>
      </c>
      <c r="L37" s="104">
        <f t="shared" si="15"/>
        <v>0</v>
      </c>
      <c r="M37" s="100">
        <f t="shared" si="16"/>
        <v>0</v>
      </c>
      <c r="N37" s="102">
        <f t="shared" si="17"/>
        <v>0</v>
      </c>
      <c r="O37" s="94"/>
      <c r="P37" s="95"/>
      <c r="Q37">
        <f t="shared" si="18"/>
        <v>0</v>
      </c>
    </row>
    <row r="38" spans="1:17" ht="18.899999999999999" customHeight="1">
      <c r="A38" s="80" t="s">
        <v>55</v>
      </c>
      <c r="B38" s="81" t="s">
        <v>45</v>
      </c>
      <c r="C38" s="82">
        <v>900</v>
      </c>
      <c r="D38" s="82">
        <v>150</v>
      </c>
      <c r="E38" s="82"/>
      <c r="F38" s="82"/>
      <c r="G38" s="82">
        <f t="shared" si="0"/>
        <v>0</v>
      </c>
      <c r="H38" s="82"/>
      <c r="I38" s="83">
        <f t="shared" si="13"/>
        <v>0</v>
      </c>
      <c r="J38" s="84">
        <f>I38*13.4</f>
        <v>0</v>
      </c>
      <c r="K38" s="103">
        <f>(2.5*1*G38/3)</f>
        <v>0</v>
      </c>
      <c r="L38" s="103">
        <f t="shared" si="15"/>
        <v>0</v>
      </c>
      <c r="M38" s="84">
        <f>SUM(G38*H38)*150</f>
        <v>0</v>
      </c>
      <c r="N38" s="85">
        <f t="shared" si="17"/>
        <v>0</v>
      </c>
      <c r="O38" s="94"/>
      <c r="P38" s="95"/>
      <c r="Q38">
        <f t="shared" si="18"/>
        <v>0</v>
      </c>
    </row>
    <row r="39" spans="1:17" ht="18.899999999999999" customHeight="1">
      <c r="A39" s="88"/>
      <c r="B39" s="89" t="s">
        <v>45</v>
      </c>
      <c r="C39" s="90">
        <v>600</v>
      </c>
      <c r="D39" s="90">
        <v>150</v>
      </c>
      <c r="E39" s="90"/>
      <c r="F39" s="90"/>
      <c r="G39" s="90">
        <f t="shared" si="0"/>
        <v>0</v>
      </c>
      <c r="H39" s="90"/>
      <c r="I39" s="91">
        <f t="shared" si="13"/>
        <v>0</v>
      </c>
      <c r="J39" s="92">
        <f t="shared" si="14"/>
        <v>0</v>
      </c>
      <c r="K39" s="92">
        <v>0</v>
      </c>
      <c r="L39" s="92">
        <f t="shared" si="15"/>
        <v>0</v>
      </c>
      <c r="M39" s="92">
        <f t="shared" si="16"/>
        <v>0</v>
      </c>
      <c r="N39" s="93">
        <f t="shared" si="17"/>
        <v>0</v>
      </c>
      <c r="O39" s="94"/>
      <c r="P39" s="95"/>
      <c r="Q39">
        <f t="shared" si="18"/>
        <v>0</v>
      </c>
    </row>
    <row r="40" spans="1:17" ht="18.899999999999999" customHeight="1">
      <c r="A40" s="96"/>
      <c r="B40" s="97" t="s">
        <v>45</v>
      </c>
      <c r="C40" s="98">
        <v>300</v>
      </c>
      <c r="D40" s="98">
        <v>150</v>
      </c>
      <c r="E40" s="98"/>
      <c r="F40" s="98"/>
      <c r="G40" s="98">
        <f t="shared" si="0"/>
        <v>0</v>
      </c>
      <c r="H40" s="98"/>
      <c r="I40" s="99">
        <f t="shared" si="13"/>
        <v>0</v>
      </c>
      <c r="J40" s="100">
        <f t="shared" si="14"/>
        <v>0</v>
      </c>
      <c r="K40" s="104">
        <v>0</v>
      </c>
      <c r="L40" s="104">
        <f t="shared" si="15"/>
        <v>0</v>
      </c>
      <c r="M40" s="100">
        <f t="shared" si="16"/>
        <v>0</v>
      </c>
      <c r="N40" s="102">
        <f t="shared" si="17"/>
        <v>0</v>
      </c>
      <c r="O40" s="94"/>
      <c r="P40" s="95"/>
      <c r="Q40">
        <f t="shared" si="18"/>
        <v>0</v>
      </c>
    </row>
    <row r="41" spans="1:17" ht="18.899999999999999" customHeight="1">
      <c r="A41" s="80" t="s">
        <v>56</v>
      </c>
      <c r="B41" s="81" t="s">
        <v>45</v>
      </c>
      <c r="C41" s="82">
        <v>900</v>
      </c>
      <c r="D41" s="82">
        <v>150</v>
      </c>
      <c r="E41" s="82"/>
      <c r="F41" s="82"/>
      <c r="G41" s="82">
        <f t="shared" si="0"/>
        <v>0</v>
      </c>
      <c r="H41" s="82"/>
      <c r="I41" s="83">
        <f t="shared" si="13"/>
        <v>0</v>
      </c>
      <c r="J41" s="84">
        <f>I41*13.4</f>
        <v>0</v>
      </c>
      <c r="K41" s="103">
        <f>(2.5*1*G41/3)</f>
        <v>0</v>
      </c>
      <c r="L41" s="103">
        <f t="shared" si="15"/>
        <v>0</v>
      </c>
      <c r="M41" s="84">
        <f>SUM(G41*H41)*150</f>
        <v>0</v>
      </c>
      <c r="N41" s="85">
        <f t="shared" si="17"/>
        <v>0</v>
      </c>
      <c r="O41" s="94"/>
      <c r="P41" s="95"/>
      <c r="Q41">
        <f t="shared" si="18"/>
        <v>0</v>
      </c>
    </row>
    <row r="42" spans="1:17" ht="18.899999999999999" customHeight="1">
      <c r="A42" s="88"/>
      <c r="B42" s="89" t="s">
        <v>45</v>
      </c>
      <c r="C42" s="90">
        <v>600</v>
      </c>
      <c r="D42" s="90">
        <v>150</v>
      </c>
      <c r="E42" s="90"/>
      <c r="F42" s="90"/>
      <c r="G42" s="90">
        <f t="shared" si="0"/>
        <v>0</v>
      </c>
      <c r="H42" s="90"/>
      <c r="I42" s="91">
        <f t="shared" si="13"/>
        <v>0</v>
      </c>
      <c r="J42" s="92">
        <f t="shared" si="14"/>
        <v>0</v>
      </c>
      <c r="K42" s="92">
        <v>0</v>
      </c>
      <c r="L42" s="92">
        <f t="shared" si="15"/>
        <v>0</v>
      </c>
      <c r="M42" s="92">
        <f t="shared" si="16"/>
        <v>0</v>
      </c>
      <c r="N42" s="93">
        <f t="shared" si="17"/>
        <v>0</v>
      </c>
      <c r="O42" s="94"/>
      <c r="P42" s="95"/>
      <c r="Q42">
        <f t="shared" si="18"/>
        <v>0</v>
      </c>
    </row>
    <row r="43" spans="1:17" ht="18.899999999999999" customHeight="1">
      <c r="A43" s="96"/>
      <c r="B43" s="97" t="s">
        <v>45</v>
      </c>
      <c r="C43" s="98">
        <v>300</v>
      </c>
      <c r="D43" s="98">
        <v>150</v>
      </c>
      <c r="E43" s="98"/>
      <c r="F43" s="98"/>
      <c r="G43" s="98">
        <f t="shared" si="0"/>
        <v>0</v>
      </c>
      <c r="H43" s="98"/>
      <c r="I43" s="99">
        <f t="shared" si="13"/>
        <v>0</v>
      </c>
      <c r="J43" s="100">
        <f t="shared" si="14"/>
        <v>0</v>
      </c>
      <c r="K43" s="104">
        <v>0</v>
      </c>
      <c r="L43" s="104">
        <f t="shared" si="15"/>
        <v>0</v>
      </c>
      <c r="M43" s="100">
        <f t="shared" si="16"/>
        <v>0</v>
      </c>
      <c r="N43" s="102">
        <f t="shared" si="17"/>
        <v>0</v>
      </c>
      <c r="O43" s="94"/>
      <c r="P43" s="95"/>
      <c r="Q43">
        <f t="shared" si="18"/>
        <v>0</v>
      </c>
    </row>
    <row r="44" spans="1:17" ht="18.899999999999999" customHeight="1">
      <c r="A44" s="80" t="s">
        <v>57</v>
      </c>
      <c r="B44" s="81" t="s">
        <v>45</v>
      </c>
      <c r="C44" s="82">
        <v>900</v>
      </c>
      <c r="D44" s="82">
        <v>150</v>
      </c>
      <c r="E44" s="82"/>
      <c r="F44" s="82"/>
      <c r="G44" s="82">
        <f t="shared" si="0"/>
        <v>0</v>
      </c>
      <c r="H44" s="82"/>
      <c r="I44" s="83">
        <f t="shared" si="13"/>
        <v>0</v>
      </c>
      <c r="J44" s="84">
        <f>I44*13.4</f>
        <v>0</v>
      </c>
      <c r="K44" s="103">
        <f>(2.5*1*G44/3)</f>
        <v>0</v>
      </c>
      <c r="L44" s="103">
        <f t="shared" si="15"/>
        <v>0</v>
      </c>
      <c r="M44" s="84">
        <f>SUM(G44*H44)*150</f>
        <v>0</v>
      </c>
      <c r="N44" s="85">
        <f t="shared" si="17"/>
        <v>0</v>
      </c>
      <c r="O44" s="94"/>
      <c r="P44" s="95"/>
      <c r="Q44">
        <f t="shared" si="18"/>
        <v>0</v>
      </c>
    </row>
    <row r="45" spans="1:17" ht="18.899999999999999" customHeight="1">
      <c r="A45" s="88"/>
      <c r="B45" s="89" t="s">
        <v>45</v>
      </c>
      <c r="C45" s="90">
        <v>600</v>
      </c>
      <c r="D45" s="90">
        <v>150</v>
      </c>
      <c r="E45" s="90"/>
      <c r="F45" s="90"/>
      <c r="G45" s="90">
        <f t="shared" si="0"/>
        <v>0</v>
      </c>
      <c r="H45" s="90"/>
      <c r="I45" s="91">
        <f t="shared" si="13"/>
        <v>0</v>
      </c>
      <c r="J45" s="92">
        <f t="shared" ref="J45:J46" si="32">I45*13.4</f>
        <v>0</v>
      </c>
      <c r="K45" s="92">
        <v>0</v>
      </c>
      <c r="L45" s="92">
        <f t="shared" si="15"/>
        <v>0</v>
      </c>
      <c r="M45" s="92">
        <f t="shared" ref="M45:M46" si="33">SUM(G45*H45)*150</f>
        <v>0</v>
      </c>
      <c r="N45" s="93">
        <f t="shared" si="17"/>
        <v>0</v>
      </c>
      <c r="O45" s="94"/>
      <c r="P45" s="95"/>
      <c r="Q45">
        <f t="shared" si="18"/>
        <v>0</v>
      </c>
    </row>
    <row r="46" spans="1:17" ht="18.899999999999999" customHeight="1">
      <c r="A46" s="96"/>
      <c r="B46" s="97" t="s">
        <v>45</v>
      </c>
      <c r="C46" s="98">
        <v>300</v>
      </c>
      <c r="D46" s="98">
        <v>150</v>
      </c>
      <c r="E46" s="98"/>
      <c r="F46" s="98"/>
      <c r="G46" s="98">
        <f t="shared" si="0"/>
        <v>0</v>
      </c>
      <c r="H46" s="98"/>
      <c r="I46" s="99">
        <f t="shared" si="13"/>
        <v>0</v>
      </c>
      <c r="J46" s="100">
        <f t="shared" si="32"/>
        <v>0</v>
      </c>
      <c r="K46" s="104">
        <v>0</v>
      </c>
      <c r="L46" s="104">
        <f t="shared" si="15"/>
        <v>0</v>
      </c>
      <c r="M46" s="100">
        <f t="shared" si="33"/>
        <v>0</v>
      </c>
      <c r="N46" s="102">
        <f t="shared" si="17"/>
        <v>0</v>
      </c>
      <c r="O46" s="94"/>
      <c r="P46" s="95"/>
      <c r="Q46">
        <f t="shared" si="18"/>
        <v>0</v>
      </c>
    </row>
    <row r="47" spans="1:17" ht="18.75" customHeight="1">
      <c r="A47" s="80" t="s">
        <v>58</v>
      </c>
      <c r="B47" s="81" t="s">
        <v>45</v>
      </c>
      <c r="C47" s="82">
        <v>900</v>
      </c>
      <c r="D47" s="82">
        <v>150</v>
      </c>
      <c r="E47" s="82"/>
      <c r="F47" s="82"/>
      <c r="G47" s="82">
        <f t="shared" si="0"/>
        <v>0</v>
      </c>
      <c r="H47" s="82"/>
      <c r="I47" s="83">
        <f t="shared" si="13"/>
        <v>0</v>
      </c>
      <c r="J47" s="84">
        <f>I47*13.4</f>
        <v>0</v>
      </c>
      <c r="K47" s="103">
        <f>(2.5*1*G47/3)</f>
        <v>0</v>
      </c>
      <c r="L47" s="103">
        <f t="shared" si="15"/>
        <v>0</v>
      </c>
      <c r="M47" s="84">
        <f>SUM(G47*H47)*150</f>
        <v>0</v>
      </c>
      <c r="N47" s="85">
        <f t="shared" si="17"/>
        <v>0</v>
      </c>
      <c r="O47" s="94"/>
      <c r="P47" s="95"/>
      <c r="Q47">
        <f t="shared" si="18"/>
        <v>0</v>
      </c>
    </row>
    <row r="48" spans="1:17" ht="18.899999999999999" customHeight="1">
      <c r="A48" s="88"/>
      <c r="B48" s="89" t="s">
        <v>45</v>
      </c>
      <c r="C48" s="90">
        <v>600</v>
      </c>
      <c r="D48" s="90">
        <v>150</v>
      </c>
      <c r="E48" s="90"/>
      <c r="F48" s="90"/>
      <c r="G48" s="90">
        <f t="shared" si="0"/>
        <v>0</v>
      </c>
      <c r="H48" s="90"/>
      <c r="I48" s="91">
        <f t="shared" si="13"/>
        <v>0</v>
      </c>
      <c r="J48" s="92">
        <f t="shared" si="14"/>
        <v>0</v>
      </c>
      <c r="K48" s="92">
        <v>0</v>
      </c>
      <c r="L48" s="92">
        <f t="shared" si="15"/>
        <v>0</v>
      </c>
      <c r="M48" s="92">
        <f t="shared" si="16"/>
        <v>0</v>
      </c>
      <c r="N48" s="93">
        <f t="shared" si="17"/>
        <v>0</v>
      </c>
      <c r="O48" s="94"/>
      <c r="P48" s="95"/>
      <c r="Q48">
        <f t="shared" si="18"/>
        <v>0</v>
      </c>
    </row>
    <row r="49" spans="1:17" ht="18.899999999999999" customHeight="1">
      <c r="A49" s="96"/>
      <c r="B49" s="97" t="s">
        <v>45</v>
      </c>
      <c r="C49" s="98">
        <v>300</v>
      </c>
      <c r="D49" s="98">
        <v>150</v>
      </c>
      <c r="E49" s="98"/>
      <c r="F49" s="98"/>
      <c r="G49" s="98">
        <f t="shared" si="0"/>
        <v>0</v>
      </c>
      <c r="H49" s="98"/>
      <c r="I49" s="99">
        <f t="shared" si="13"/>
        <v>0</v>
      </c>
      <c r="J49" s="100">
        <f t="shared" si="14"/>
        <v>0</v>
      </c>
      <c r="K49" s="104">
        <v>0</v>
      </c>
      <c r="L49" s="104">
        <f t="shared" si="15"/>
        <v>0</v>
      </c>
      <c r="M49" s="100">
        <f t="shared" si="16"/>
        <v>0</v>
      </c>
      <c r="N49" s="102">
        <f t="shared" si="17"/>
        <v>0</v>
      </c>
      <c r="O49" s="94"/>
      <c r="P49" s="95"/>
      <c r="Q49">
        <f t="shared" si="18"/>
        <v>0</v>
      </c>
    </row>
    <row r="50" spans="1:17" ht="18.899999999999999" customHeight="1">
      <c r="A50" s="80" t="s">
        <v>59</v>
      </c>
      <c r="B50" s="81" t="s">
        <v>45</v>
      </c>
      <c r="C50" s="82">
        <v>900</v>
      </c>
      <c r="D50" s="82">
        <v>150</v>
      </c>
      <c r="E50" s="82"/>
      <c r="F50" s="82"/>
      <c r="G50" s="82">
        <f t="shared" si="0"/>
        <v>0</v>
      </c>
      <c r="H50" s="82"/>
      <c r="I50" s="83">
        <f t="shared" si="13"/>
        <v>0</v>
      </c>
      <c r="J50" s="84">
        <f>I50*13.4</f>
        <v>0</v>
      </c>
      <c r="K50" s="103">
        <f>(2.5*1*G50/3)</f>
        <v>0</v>
      </c>
      <c r="L50" s="103">
        <f t="shared" si="15"/>
        <v>0</v>
      </c>
      <c r="M50" s="84">
        <f>SUM(G50*H50)*150</f>
        <v>0</v>
      </c>
      <c r="N50" s="85">
        <f t="shared" si="17"/>
        <v>0</v>
      </c>
      <c r="O50" s="94"/>
      <c r="P50" s="95"/>
      <c r="Q50">
        <f t="shared" si="18"/>
        <v>0</v>
      </c>
    </row>
    <row r="51" spans="1:17" ht="18.899999999999999" customHeight="1">
      <c r="A51" s="88"/>
      <c r="B51" s="89" t="s">
        <v>45</v>
      </c>
      <c r="C51" s="90">
        <v>600</v>
      </c>
      <c r="D51" s="90">
        <v>150</v>
      </c>
      <c r="E51" s="90"/>
      <c r="F51" s="90"/>
      <c r="G51" s="90">
        <f t="shared" si="0"/>
        <v>0</v>
      </c>
      <c r="H51" s="90"/>
      <c r="I51" s="91">
        <f t="shared" si="13"/>
        <v>0</v>
      </c>
      <c r="J51" s="92">
        <f t="shared" si="14"/>
        <v>0</v>
      </c>
      <c r="K51" s="92">
        <v>0</v>
      </c>
      <c r="L51" s="92">
        <f t="shared" si="15"/>
        <v>0</v>
      </c>
      <c r="M51" s="92">
        <f t="shared" si="16"/>
        <v>0</v>
      </c>
      <c r="N51" s="93">
        <f t="shared" si="17"/>
        <v>0</v>
      </c>
      <c r="O51" s="94"/>
      <c r="P51" s="95"/>
      <c r="Q51">
        <f t="shared" si="18"/>
        <v>0</v>
      </c>
    </row>
    <row r="52" spans="1:17" ht="18.899999999999999" customHeight="1">
      <c r="A52" s="96"/>
      <c r="B52" s="97" t="s">
        <v>45</v>
      </c>
      <c r="C52" s="98">
        <v>300</v>
      </c>
      <c r="D52" s="98">
        <v>150</v>
      </c>
      <c r="E52" s="98"/>
      <c r="F52" s="98"/>
      <c r="G52" s="98">
        <f t="shared" si="0"/>
        <v>0</v>
      </c>
      <c r="H52" s="98"/>
      <c r="I52" s="99">
        <f t="shared" si="13"/>
        <v>0</v>
      </c>
      <c r="J52" s="100">
        <f t="shared" si="14"/>
        <v>0</v>
      </c>
      <c r="K52" s="104">
        <v>0</v>
      </c>
      <c r="L52" s="104">
        <f t="shared" si="15"/>
        <v>0</v>
      </c>
      <c r="M52" s="100">
        <f t="shared" si="16"/>
        <v>0</v>
      </c>
      <c r="N52" s="102">
        <f t="shared" si="17"/>
        <v>0</v>
      </c>
      <c r="O52" s="94"/>
      <c r="P52" s="95"/>
      <c r="Q52">
        <f t="shared" si="18"/>
        <v>0</v>
      </c>
    </row>
    <row r="53" spans="1:17" ht="18.899999999999999" customHeight="1">
      <c r="A53" s="80" t="s">
        <v>60</v>
      </c>
      <c r="B53" s="81" t="s">
        <v>45</v>
      </c>
      <c r="C53" s="82">
        <v>900</v>
      </c>
      <c r="D53" s="82">
        <v>150</v>
      </c>
      <c r="E53" s="82"/>
      <c r="F53" s="82"/>
      <c r="G53" s="82">
        <f t="shared" si="0"/>
        <v>0</v>
      </c>
      <c r="H53" s="82"/>
      <c r="I53" s="83">
        <f t="shared" si="13"/>
        <v>0</v>
      </c>
      <c r="J53" s="84">
        <f>I53*13.4</f>
        <v>0</v>
      </c>
      <c r="K53" s="103">
        <f>(2.5*1*G53/3)</f>
        <v>0</v>
      </c>
      <c r="L53" s="103">
        <f t="shared" si="15"/>
        <v>0</v>
      </c>
      <c r="M53" s="84">
        <f>SUM(G53*H53)*150</f>
        <v>0</v>
      </c>
      <c r="N53" s="85">
        <f t="shared" si="17"/>
        <v>0</v>
      </c>
      <c r="O53" s="94"/>
      <c r="P53" s="95"/>
      <c r="Q53">
        <f t="shared" si="18"/>
        <v>0</v>
      </c>
    </row>
    <row r="54" spans="1:17" ht="18.899999999999999" customHeight="1">
      <c r="A54" s="88"/>
      <c r="B54" s="89" t="s">
        <v>45</v>
      </c>
      <c r="C54" s="90">
        <v>600</v>
      </c>
      <c r="D54" s="90">
        <v>150</v>
      </c>
      <c r="E54" s="90"/>
      <c r="F54" s="90"/>
      <c r="G54" s="90">
        <f t="shared" si="0"/>
        <v>0</v>
      </c>
      <c r="H54" s="90"/>
      <c r="I54" s="91">
        <f t="shared" si="13"/>
        <v>0</v>
      </c>
      <c r="J54" s="92">
        <f t="shared" si="14"/>
        <v>0</v>
      </c>
      <c r="K54" s="92">
        <v>0</v>
      </c>
      <c r="L54" s="92">
        <f t="shared" si="15"/>
        <v>0</v>
      </c>
      <c r="M54" s="92">
        <f t="shared" si="16"/>
        <v>0</v>
      </c>
      <c r="N54" s="93">
        <f t="shared" si="17"/>
        <v>0</v>
      </c>
      <c r="O54" s="94"/>
      <c r="P54" s="95"/>
      <c r="Q54">
        <f t="shared" si="18"/>
        <v>0</v>
      </c>
    </row>
    <row r="55" spans="1:17" ht="18.899999999999999" customHeight="1">
      <c r="A55" s="96"/>
      <c r="B55" s="97" t="s">
        <v>45</v>
      </c>
      <c r="C55" s="98">
        <v>300</v>
      </c>
      <c r="D55" s="98">
        <v>150</v>
      </c>
      <c r="E55" s="98"/>
      <c r="F55" s="98"/>
      <c r="G55" s="98">
        <f t="shared" si="0"/>
        <v>0</v>
      </c>
      <c r="H55" s="98"/>
      <c r="I55" s="99">
        <f t="shared" si="13"/>
        <v>0</v>
      </c>
      <c r="J55" s="100">
        <f t="shared" si="14"/>
        <v>0</v>
      </c>
      <c r="K55" s="104">
        <v>0</v>
      </c>
      <c r="L55" s="104">
        <f t="shared" si="15"/>
        <v>0</v>
      </c>
      <c r="M55" s="100">
        <f t="shared" si="16"/>
        <v>0</v>
      </c>
      <c r="N55" s="102">
        <f t="shared" si="17"/>
        <v>0</v>
      </c>
      <c r="O55" s="94"/>
      <c r="P55" s="95"/>
      <c r="Q55">
        <f t="shared" si="18"/>
        <v>0</v>
      </c>
    </row>
    <row r="56" spans="1:17" ht="18.899999999999999" customHeight="1">
      <c r="A56" s="80" t="s">
        <v>61</v>
      </c>
      <c r="B56" s="81" t="s">
        <v>45</v>
      </c>
      <c r="C56" s="82">
        <v>900</v>
      </c>
      <c r="D56" s="82">
        <v>150</v>
      </c>
      <c r="E56" s="82"/>
      <c r="F56" s="82"/>
      <c r="G56" s="82">
        <f t="shared" si="0"/>
        <v>0</v>
      </c>
      <c r="H56" s="82"/>
      <c r="I56" s="83">
        <f t="shared" si="13"/>
        <v>0</v>
      </c>
      <c r="J56" s="84">
        <f>I56*13.4</f>
        <v>0</v>
      </c>
      <c r="K56" s="103">
        <f>(2.5*2*G56/3)</f>
        <v>0</v>
      </c>
      <c r="L56" s="103">
        <f t="shared" si="15"/>
        <v>0</v>
      </c>
      <c r="M56" s="84">
        <f>SUM(G56*H56)*150</f>
        <v>0</v>
      </c>
      <c r="N56" s="85">
        <f t="shared" si="17"/>
        <v>0</v>
      </c>
      <c r="O56" s="94"/>
      <c r="P56" s="95"/>
      <c r="Q56">
        <f t="shared" si="18"/>
        <v>0</v>
      </c>
    </row>
    <row r="57" spans="1:17" ht="18.899999999999999" customHeight="1">
      <c r="A57" s="88"/>
      <c r="B57" s="89" t="s">
        <v>45</v>
      </c>
      <c r="C57" s="90">
        <v>600</v>
      </c>
      <c r="D57" s="90">
        <v>150</v>
      </c>
      <c r="E57" s="90"/>
      <c r="F57" s="90"/>
      <c r="G57" s="90">
        <f t="shared" si="0"/>
        <v>0</v>
      </c>
      <c r="H57" s="90"/>
      <c r="I57" s="91">
        <f t="shared" si="13"/>
        <v>0</v>
      </c>
      <c r="J57" s="92">
        <f t="shared" si="14"/>
        <v>0</v>
      </c>
      <c r="K57" s="92">
        <v>0</v>
      </c>
      <c r="L57" s="92">
        <f t="shared" si="15"/>
        <v>0</v>
      </c>
      <c r="M57" s="92">
        <f t="shared" si="16"/>
        <v>0</v>
      </c>
      <c r="N57" s="93">
        <f t="shared" si="17"/>
        <v>0</v>
      </c>
      <c r="O57" s="94"/>
      <c r="P57" s="95"/>
      <c r="Q57">
        <f t="shared" si="18"/>
        <v>0</v>
      </c>
    </row>
    <row r="58" spans="1:17" ht="18.899999999999999" customHeight="1">
      <c r="A58" s="96"/>
      <c r="B58" s="97" t="s">
        <v>45</v>
      </c>
      <c r="C58" s="98">
        <v>300</v>
      </c>
      <c r="D58" s="98">
        <v>150</v>
      </c>
      <c r="E58" s="98"/>
      <c r="F58" s="98"/>
      <c r="G58" s="98">
        <f t="shared" si="0"/>
        <v>0</v>
      </c>
      <c r="H58" s="98"/>
      <c r="I58" s="99">
        <f t="shared" si="13"/>
        <v>0</v>
      </c>
      <c r="J58" s="100">
        <f t="shared" si="14"/>
        <v>0</v>
      </c>
      <c r="K58" s="104">
        <v>0</v>
      </c>
      <c r="L58" s="104">
        <f t="shared" si="15"/>
        <v>0</v>
      </c>
      <c r="M58" s="100">
        <f t="shared" si="16"/>
        <v>0</v>
      </c>
      <c r="N58" s="102">
        <f t="shared" si="17"/>
        <v>0</v>
      </c>
      <c r="O58" s="94"/>
      <c r="P58" s="95"/>
      <c r="Q58">
        <f t="shared" si="18"/>
        <v>0</v>
      </c>
    </row>
    <row r="59" spans="1:17" ht="18.899999999999999" customHeight="1">
      <c r="A59" s="80" t="s">
        <v>62</v>
      </c>
      <c r="B59" s="81" t="s">
        <v>45</v>
      </c>
      <c r="C59" s="82">
        <v>900</v>
      </c>
      <c r="D59" s="82">
        <v>150</v>
      </c>
      <c r="E59" s="82"/>
      <c r="F59" s="82"/>
      <c r="G59" s="82">
        <f t="shared" si="0"/>
        <v>0</v>
      </c>
      <c r="H59" s="82"/>
      <c r="I59" s="83">
        <f t="shared" si="13"/>
        <v>0</v>
      </c>
      <c r="J59" s="84">
        <f>I59*13.4</f>
        <v>0</v>
      </c>
      <c r="K59" s="103">
        <f>(2.5*2*G59/3)</f>
        <v>0</v>
      </c>
      <c r="L59" s="103">
        <f t="shared" si="15"/>
        <v>0</v>
      </c>
      <c r="M59" s="84">
        <f>SUM(G59*H59)*150</f>
        <v>0</v>
      </c>
      <c r="N59" s="85">
        <f t="shared" si="17"/>
        <v>0</v>
      </c>
      <c r="O59" s="94"/>
      <c r="P59" s="95"/>
      <c r="Q59">
        <f t="shared" si="18"/>
        <v>0</v>
      </c>
    </row>
    <row r="60" spans="1:17" ht="18.899999999999999" customHeight="1">
      <c r="A60" s="88"/>
      <c r="B60" s="89" t="s">
        <v>45</v>
      </c>
      <c r="C60" s="90">
        <v>600</v>
      </c>
      <c r="D60" s="90">
        <v>150</v>
      </c>
      <c r="E60" s="90"/>
      <c r="F60" s="90"/>
      <c r="G60" s="90">
        <f t="shared" si="0"/>
        <v>0</v>
      </c>
      <c r="H60" s="90"/>
      <c r="I60" s="91">
        <f t="shared" si="13"/>
        <v>0</v>
      </c>
      <c r="J60" s="92">
        <f t="shared" si="14"/>
        <v>0</v>
      </c>
      <c r="K60" s="92">
        <v>0</v>
      </c>
      <c r="L60" s="92">
        <f t="shared" si="15"/>
        <v>0</v>
      </c>
      <c r="M60" s="92">
        <f t="shared" si="16"/>
        <v>0</v>
      </c>
      <c r="N60" s="93">
        <f t="shared" si="17"/>
        <v>0</v>
      </c>
      <c r="O60" s="94"/>
      <c r="P60" s="95"/>
      <c r="Q60">
        <f t="shared" si="18"/>
        <v>0</v>
      </c>
    </row>
    <row r="61" spans="1:17" ht="18.899999999999999" customHeight="1">
      <c r="A61" s="96"/>
      <c r="B61" s="97" t="s">
        <v>45</v>
      </c>
      <c r="C61" s="98">
        <v>300</v>
      </c>
      <c r="D61" s="98">
        <v>150</v>
      </c>
      <c r="E61" s="98"/>
      <c r="F61" s="98"/>
      <c r="G61" s="98">
        <f t="shared" si="0"/>
        <v>0</v>
      </c>
      <c r="H61" s="98"/>
      <c r="I61" s="99">
        <f t="shared" si="13"/>
        <v>0</v>
      </c>
      <c r="J61" s="100">
        <f t="shared" si="14"/>
        <v>0</v>
      </c>
      <c r="K61" s="104">
        <v>0</v>
      </c>
      <c r="L61" s="104">
        <f t="shared" si="15"/>
        <v>0</v>
      </c>
      <c r="M61" s="100">
        <f t="shared" si="16"/>
        <v>0</v>
      </c>
      <c r="N61" s="102">
        <f t="shared" si="17"/>
        <v>0</v>
      </c>
      <c r="O61" s="94"/>
      <c r="P61" s="95"/>
      <c r="Q61">
        <f t="shared" si="18"/>
        <v>0</v>
      </c>
    </row>
    <row r="62" spans="1:17" ht="18.899999999999999" customHeight="1">
      <c r="A62" s="80" t="s">
        <v>63</v>
      </c>
      <c r="B62" s="81" t="s">
        <v>45</v>
      </c>
      <c r="C62" s="82">
        <v>900</v>
      </c>
      <c r="D62" s="82">
        <v>150</v>
      </c>
      <c r="E62" s="82"/>
      <c r="F62" s="82"/>
      <c r="G62" s="82">
        <f t="shared" si="0"/>
        <v>0</v>
      </c>
      <c r="H62" s="82"/>
      <c r="I62" s="83">
        <f t="shared" si="13"/>
        <v>0</v>
      </c>
      <c r="J62" s="84">
        <f>I62*13.4</f>
        <v>0</v>
      </c>
      <c r="K62" s="103">
        <f>(2.5*2*G62/3)</f>
        <v>0</v>
      </c>
      <c r="L62" s="103">
        <f t="shared" si="15"/>
        <v>0</v>
      </c>
      <c r="M62" s="84">
        <f>SUM(G62*H62)*150</f>
        <v>0</v>
      </c>
      <c r="N62" s="85">
        <f t="shared" si="17"/>
        <v>0</v>
      </c>
      <c r="O62" s="94"/>
      <c r="P62" s="95"/>
      <c r="Q62">
        <f t="shared" si="18"/>
        <v>0</v>
      </c>
    </row>
    <row r="63" spans="1:17" ht="18.899999999999999" customHeight="1">
      <c r="A63" s="88"/>
      <c r="B63" s="89" t="s">
        <v>45</v>
      </c>
      <c r="C63" s="90">
        <v>600</v>
      </c>
      <c r="D63" s="90">
        <v>150</v>
      </c>
      <c r="E63" s="90"/>
      <c r="F63" s="90"/>
      <c r="G63" s="90">
        <f t="shared" si="0"/>
        <v>0</v>
      </c>
      <c r="H63" s="90"/>
      <c r="I63" s="91">
        <f t="shared" si="13"/>
        <v>0</v>
      </c>
      <c r="J63" s="92">
        <f t="shared" si="14"/>
        <v>0</v>
      </c>
      <c r="K63" s="92">
        <v>0</v>
      </c>
      <c r="L63" s="92">
        <f t="shared" si="15"/>
        <v>0</v>
      </c>
      <c r="M63" s="92">
        <f t="shared" si="16"/>
        <v>0</v>
      </c>
      <c r="N63" s="93">
        <f t="shared" si="17"/>
        <v>0</v>
      </c>
      <c r="O63" s="94"/>
      <c r="P63" s="95"/>
      <c r="Q63">
        <f t="shared" si="18"/>
        <v>0</v>
      </c>
    </row>
    <row r="64" spans="1:17" ht="18.899999999999999" customHeight="1">
      <c r="A64" s="96"/>
      <c r="B64" s="97" t="s">
        <v>45</v>
      </c>
      <c r="C64" s="98">
        <v>300</v>
      </c>
      <c r="D64" s="98">
        <v>150</v>
      </c>
      <c r="E64" s="98"/>
      <c r="F64" s="98"/>
      <c r="G64" s="98">
        <f t="shared" si="0"/>
        <v>0</v>
      </c>
      <c r="H64" s="98"/>
      <c r="I64" s="99">
        <f t="shared" si="13"/>
        <v>0</v>
      </c>
      <c r="J64" s="100">
        <f t="shared" si="14"/>
        <v>0</v>
      </c>
      <c r="K64" s="104">
        <v>0</v>
      </c>
      <c r="L64" s="104">
        <f t="shared" si="15"/>
        <v>0</v>
      </c>
      <c r="M64" s="100">
        <f t="shared" si="16"/>
        <v>0</v>
      </c>
      <c r="N64" s="102">
        <f t="shared" si="17"/>
        <v>0</v>
      </c>
      <c r="O64" s="94"/>
      <c r="P64" s="95"/>
      <c r="Q64">
        <f t="shared" si="18"/>
        <v>0</v>
      </c>
    </row>
    <row r="65" spans="1:17" ht="18.899999999999999" customHeight="1">
      <c r="A65" s="80" t="s">
        <v>64</v>
      </c>
      <c r="B65" s="81" t="s">
        <v>45</v>
      </c>
      <c r="C65" s="82">
        <v>900</v>
      </c>
      <c r="D65" s="82">
        <v>150</v>
      </c>
      <c r="E65" s="82"/>
      <c r="F65" s="82"/>
      <c r="G65" s="82">
        <f t="shared" si="0"/>
        <v>0</v>
      </c>
      <c r="H65" s="82"/>
      <c r="I65" s="83">
        <f t="shared" si="13"/>
        <v>0</v>
      </c>
      <c r="J65" s="84">
        <f>I65*13.4</f>
        <v>0</v>
      </c>
      <c r="K65" s="103">
        <f>(2.5*2*G65/3)</f>
        <v>0</v>
      </c>
      <c r="L65" s="103">
        <f t="shared" si="15"/>
        <v>0</v>
      </c>
      <c r="M65" s="84">
        <f>SUM(G65*H65)*150</f>
        <v>0</v>
      </c>
      <c r="N65" s="85">
        <f t="shared" si="17"/>
        <v>0</v>
      </c>
      <c r="O65" s="94"/>
      <c r="P65" s="95"/>
      <c r="Q65">
        <f t="shared" si="18"/>
        <v>0</v>
      </c>
    </row>
    <row r="66" spans="1:17" ht="18.899999999999999" customHeight="1">
      <c r="A66" s="88"/>
      <c r="B66" s="89" t="s">
        <v>45</v>
      </c>
      <c r="C66" s="90">
        <v>600</v>
      </c>
      <c r="D66" s="90">
        <v>150</v>
      </c>
      <c r="E66" s="90"/>
      <c r="F66" s="90"/>
      <c r="G66" s="90">
        <f t="shared" si="0"/>
        <v>0</v>
      </c>
      <c r="H66" s="90"/>
      <c r="I66" s="91">
        <f t="shared" si="13"/>
        <v>0</v>
      </c>
      <c r="J66" s="92">
        <f t="shared" si="14"/>
        <v>0</v>
      </c>
      <c r="K66" s="92">
        <v>0</v>
      </c>
      <c r="L66" s="92">
        <f t="shared" si="15"/>
        <v>0</v>
      </c>
      <c r="M66" s="92">
        <f t="shared" si="16"/>
        <v>0</v>
      </c>
      <c r="N66" s="93">
        <f t="shared" si="17"/>
        <v>0</v>
      </c>
      <c r="O66" s="94"/>
      <c r="P66" s="95"/>
      <c r="Q66">
        <f t="shared" si="18"/>
        <v>0</v>
      </c>
    </row>
    <row r="67" spans="1:17" ht="18.899999999999999" customHeight="1">
      <c r="A67" s="96"/>
      <c r="B67" s="97" t="s">
        <v>45</v>
      </c>
      <c r="C67" s="98">
        <v>300</v>
      </c>
      <c r="D67" s="98">
        <v>150</v>
      </c>
      <c r="E67" s="98"/>
      <c r="F67" s="98"/>
      <c r="G67" s="98">
        <f t="shared" si="0"/>
        <v>0</v>
      </c>
      <c r="H67" s="98"/>
      <c r="I67" s="99">
        <f t="shared" si="13"/>
        <v>0</v>
      </c>
      <c r="J67" s="100">
        <f t="shared" si="14"/>
        <v>0</v>
      </c>
      <c r="K67" s="104">
        <v>0</v>
      </c>
      <c r="L67" s="104">
        <f t="shared" si="15"/>
        <v>0</v>
      </c>
      <c r="M67" s="100">
        <f t="shared" si="16"/>
        <v>0</v>
      </c>
      <c r="N67" s="102">
        <f t="shared" si="17"/>
        <v>0</v>
      </c>
      <c r="O67" s="94"/>
      <c r="P67" s="95"/>
      <c r="Q67">
        <f t="shared" si="18"/>
        <v>0</v>
      </c>
    </row>
    <row r="68" spans="1:17" ht="18.899999999999999" customHeight="1">
      <c r="A68" s="80" t="s">
        <v>65</v>
      </c>
      <c r="B68" s="81" t="s">
        <v>45</v>
      </c>
      <c r="C68" s="82">
        <v>900</v>
      </c>
      <c r="D68" s="82">
        <v>150</v>
      </c>
      <c r="E68" s="82"/>
      <c r="F68" s="82"/>
      <c r="G68" s="82">
        <f t="shared" si="0"/>
        <v>0</v>
      </c>
      <c r="H68" s="82"/>
      <c r="I68" s="83">
        <f t="shared" si="13"/>
        <v>0</v>
      </c>
      <c r="J68" s="84">
        <f>I68*13.4</f>
        <v>0</v>
      </c>
      <c r="K68" s="103">
        <f>(2.5*2*G68/3)</f>
        <v>0</v>
      </c>
      <c r="L68" s="103">
        <f t="shared" si="15"/>
        <v>0</v>
      </c>
      <c r="M68" s="84">
        <f>SUM(G68*H68)*150</f>
        <v>0</v>
      </c>
      <c r="N68" s="85">
        <f t="shared" si="17"/>
        <v>0</v>
      </c>
      <c r="O68" s="94"/>
      <c r="P68" s="95"/>
      <c r="Q68">
        <f t="shared" si="18"/>
        <v>0</v>
      </c>
    </row>
    <row r="69" spans="1:17" ht="18.899999999999999" customHeight="1">
      <c r="A69" s="88"/>
      <c r="B69" s="89" t="s">
        <v>45</v>
      </c>
      <c r="C69" s="90">
        <v>600</v>
      </c>
      <c r="D69" s="90">
        <v>150</v>
      </c>
      <c r="E69" s="90"/>
      <c r="F69" s="90"/>
      <c r="G69" s="90">
        <f t="shared" si="0"/>
        <v>0</v>
      </c>
      <c r="H69" s="90"/>
      <c r="I69" s="91">
        <f t="shared" si="13"/>
        <v>0</v>
      </c>
      <c r="J69" s="92">
        <f t="shared" si="14"/>
        <v>0</v>
      </c>
      <c r="K69" s="92">
        <v>0</v>
      </c>
      <c r="L69" s="92">
        <f t="shared" si="15"/>
        <v>0</v>
      </c>
      <c r="M69" s="92">
        <f t="shared" si="16"/>
        <v>0</v>
      </c>
      <c r="N69" s="93">
        <f t="shared" si="17"/>
        <v>0</v>
      </c>
      <c r="O69" s="94"/>
      <c r="P69" s="95"/>
      <c r="Q69">
        <f t="shared" si="18"/>
        <v>0</v>
      </c>
    </row>
    <row r="70" spans="1:17" ht="18.899999999999999" customHeight="1">
      <c r="A70" s="96"/>
      <c r="B70" s="97" t="s">
        <v>45</v>
      </c>
      <c r="C70" s="98">
        <v>300</v>
      </c>
      <c r="D70" s="98">
        <v>150</v>
      </c>
      <c r="E70" s="98"/>
      <c r="F70" s="98"/>
      <c r="G70" s="98">
        <f t="shared" si="0"/>
        <v>0</v>
      </c>
      <c r="H70" s="98"/>
      <c r="I70" s="99">
        <f t="shared" si="13"/>
        <v>0</v>
      </c>
      <c r="J70" s="100">
        <f t="shared" si="14"/>
        <v>0</v>
      </c>
      <c r="K70" s="104">
        <v>0</v>
      </c>
      <c r="L70" s="104">
        <f t="shared" si="15"/>
        <v>0</v>
      </c>
      <c r="M70" s="100">
        <f t="shared" si="16"/>
        <v>0</v>
      </c>
      <c r="N70" s="102">
        <f t="shared" si="17"/>
        <v>0</v>
      </c>
      <c r="O70" s="94"/>
      <c r="P70" s="95"/>
      <c r="Q70">
        <f t="shared" si="18"/>
        <v>0</v>
      </c>
    </row>
    <row r="71" spans="1:17" ht="18.899999999999999" customHeight="1">
      <c r="A71" s="80" t="s">
        <v>66</v>
      </c>
      <c r="B71" s="81" t="s">
        <v>45</v>
      </c>
      <c r="C71" s="82">
        <v>900</v>
      </c>
      <c r="D71" s="82">
        <v>150</v>
      </c>
      <c r="E71" s="82"/>
      <c r="F71" s="82"/>
      <c r="G71" s="82">
        <f t="shared" si="0"/>
        <v>0</v>
      </c>
      <c r="H71" s="82"/>
      <c r="I71" s="83">
        <f t="shared" si="13"/>
        <v>0</v>
      </c>
      <c r="J71" s="84">
        <f>I71*13.4</f>
        <v>0</v>
      </c>
      <c r="K71" s="103">
        <f>(2.5*2*G71/3)</f>
        <v>0</v>
      </c>
      <c r="L71" s="103">
        <f t="shared" si="15"/>
        <v>0</v>
      </c>
      <c r="M71" s="84">
        <f>SUM(G71*H71)*150</f>
        <v>0</v>
      </c>
      <c r="N71" s="85">
        <f t="shared" si="17"/>
        <v>0</v>
      </c>
      <c r="O71" s="94"/>
      <c r="P71" s="95"/>
      <c r="Q71">
        <f t="shared" si="18"/>
        <v>0</v>
      </c>
    </row>
    <row r="72" spans="1:17" ht="18.899999999999999" customHeight="1">
      <c r="A72" s="88"/>
      <c r="B72" s="89" t="s">
        <v>45</v>
      </c>
      <c r="C72" s="90">
        <v>600</v>
      </c>
      <c r="D72" s="90">
        <v>150</v>
      </c>
      <c r="E72" s="90"/>
      <c r="F72" s="90"/>
      <c r="G72" s="90">
        <f t="shared" ref="G72:G135" si="34">E72+F72</f>
        <v>0</v>
      </c>
      <c r="H72" s="90"/>
      <c r="I72" s="91">
        <f t="shared" si="13"/>
        <v>0</v>
      </c>
      <c r="J72" s="92">
        <f t="shared" si="14"/>
        <v>0</v>
      </c>
      <c r="K72" s="92">
        <v>0</v>
      </c>
      <c r="L72" s="92">
        <f t="shared" si="15"/>
        <v>0</v>
      </c>
      <c r="M72" s="92">
        <f t="shared" si="16"/>
        <v>0</v>
      </c>
      <c r="N72" s="93">
        <f t="shared" si="17"/>
        <v>0</v>
      </c>
      <c r="O72" s="94"/>
      <c r="P72" s="95"/>
      <c r="Q72">
        <f t="shared" si="18"/>
        <v>0</v>
      </c>
    </row>
    <row r="73" spans="1:17" ht="18.899999999999999" customHeight="1">
      <c r="A73" s="96"/>
      <c r="B73" s="97" t="s">
        <v>45</v>
      </c>
      <c r="C73" s="98">
        <v>300</v>
      </c>
      <c r="D73" s="98">
        <v>150</v>
      </c>
      <c r="E73" s="98"/>
      <c r="F73" s="98"/>
      <c r="G73" s="98">
        <f t="shared" si="34"/>
        <v>0</v>
      </c>
      <c r="H73" s="98"/>
      <c r="I73" s="99">
        <f t="shared" si="13"/>
        <v>0</v>
      </c>
      <c r="J73" s="100">
        <f t="shared" si="14"/>
        <v>0</v>
      </c>
      <c r="K73" s="104">
        <v>0</v>
      </c>
      <c r="L73" s="104">
        <f t="shared" si="15"/>
        <v>0</v>
      </c>
      <c r="M73" s="100">
        <f t="shared" si="16"/>
        <v>0</v>
      </c>
      <c r="N73" s="102">
        <f t="shared" si="17"/>
        <v>0</v>
      </c>
      <c r="O73" s="94"/>
      <c r="P73" s="95"/>
      <c r="Q73">
        <f t="shared" si="18"/>
        <v>0</v>
      </c>
    </row>
    <row r="74" spans="1:17" ht="18.899999999999999" customHeight="1">
      <c r="A74" s="80" t="s">
        <v>67</v>
      </c>
      <c r="B74" s="81" t="s">
        <v>45</v>
      </c>
      <c r="C74" s="82">
        <v>900</v>
      </c>
      <c r="D74" s="82">
        <v>150</v>
      </c>
      <c r="E74" s="82"/>
      <c r="F74" s="82"/>
      <c r="G74" s="82">
        <f t="shared" si="34"/>
        <v>0</v>
      </c>
      <c r="H74" s="82"/>
      <c r="I74" s="83">
        <f t="shared" si="13"/>
        <v>0</v>
      </c>
      <c r="J74" s="84">
        <f>I74*13.4</f>
        <v>0</v>
      </c>
      <c r="K74" s="103">
        <f>(2.5*2*G74/3)</f>
        <v>0</v>
      </c>
      <c r="L74" s="103">
        <f t="shared" si="15"/>
        <v>0</v>
      </c>
      <c r="M74" s="84">
        <f>SUM(G74*H74)*150</f>
        <v>0</v>
      </c>
      <c r="N74" s="85">
        <f t="shared" si="17"/>
        <v>0</v>
      </c>
      <c r="O74" s="94"/>
      <c r="P74" s="95"/>
      <c r="Q74">
        <f t="shared" si="18"/>
        <v>0</v>
      </c>
    </row>
    <row r="75" spans="1:17" ht="18.899999999999999" customHeight="1">
      <c r="A75" s="88"/>
      <c r="B75" s="89" t="s">
        <v>45</v>
      </c>
      <c r="C75" s="90">
        <v>600</v>
      </c>
      <c r="D75" s="90">
        <v>150</v>
      </c>
      <c r="E75" s="90"/>
      <c r="F75" s="90"/>
      <c r="G75" s="90">
        <f t="shared" si="34"/>
        <v>0</v>
      </c>
      <c r="H75" s="90"/>
      <c r="I75" s="91">
        <f t="shared" si="13"/>
        <v>0</v>
      </c>
      <c r="J75" s="92">
        <f t="shared" si="14"/>
        <v>0</v>
      </c>
      <c r="K75" s="92">
        <v>0</v>
      </c>
      <c r="L75" s="92">
        <f t="shared" si="15"/>
        <v>0</v>
      </c>
      <c r="M75" s="92">
        <f t="shared" si="16"/>
        <v>0</v>
      </c>
      <c r="N75" s="93">
        <f t="shared" si="17"/>
        <v>0</v>
      </c>
      <c r="O75" s="94"/>
      <c r="P75" s="95"/>
      <c r="Q75">
        <f t="shared" si="18"/>
        <v>0</v>
      </c>
    </row>
    <row r="76" spans="1:17" ht="18.899999999999999" customHeight="1">
      <c r="A76" s="96"/>
      <c r="B76" s="97" t="s">
        <v>45</v>
      </c>
      <c r="C76" s="98">
        <v>300</v>
      </c>
      <c r="D76" s="98">
        <v>150</v>
      </c>
      <c r="E76" s="98"/>
      <c r="F76" s="98"/>
      <c r="G76" s="98">
        <f t="shared" si="34"/>
        <v>0</v>
      </c>
      <c r="H76" s="98"/>
      <c r="I76" s="99">
        <f t="shared" si="13"/>
        <v>0</v>
      </c>
      <c r="J76" s="100">
        <f t="shared" si="14"/>
        <v>0</v>
      </c>
      <c r="K76" s="104">
        <v>0</v>
      </c>
      <c r="L76" s="104">
        <f t="shared" si="15"/>
        <v>0</v>
      </c>
      <c r="M76" s="100">
        <f t="shared" si="16"/>
        <v>0</v>
      </c>
      <c r="N76" s="102">
        <f t="shared" si="17"/>
        <v>0</v>
      </c>
      <c r="O76" s="94"/>
      <c r="P76" s="95"/>
      <c r="Q76">
        <f t="shared" si="18"/>
        <v>0</v>
      </c>
    </row>
    <row r="77" spans="1:17" ht="18.899999999999999" customHeight="1">
      <c r="A77" s="80" t="s">
        <v>68</v>
      </c>
      <c r="B77" s="81" t="s">
        <v>45</v>
      </c>
      <c r="C77" s="82">
        <v>900</v>
      </c>
      <c r="D77" s="82">
        <v>150</v>
      </c>
      <c r="E77" s="82"/>
      <c r="F77" s="82"/>
      <c r="G77" s="82">
        <f t="shared" si="34"/>
        <v>0</v>
      </c>
      <c r="H77" s="82"/>
      <c r="I77" s="83">
        <f t="shared" si="13"/>
        <v>0</v>
      </c>
      <c r="J77" s="84">
        <f>I77*13.4</f>
        <v>0</v>
      </c>
      <c r="K77" s="103">
        <f>(2.5*3*G77/3)</f>
        <v>0</v>
      </c>
      <c r="L77" s="103">
        <f t="shared" si="15"/>
        <v>0</v>
      </c>
      <c r="M77" s="84">
        <f>SUM(G77*H77)*150</f>
        <v>0</v>
      </c>
      <c r="N77" s="85">
        <f t="shared" si="17"/>
        <v>0</v>
      </c>
      <c r="O77" s="94"/>
      <c r="P77" s="95"/>
      <c r="Q77">
        <f t="shared" si="18"/>
        <v>0</v>
      </c>
    </row>
    <row r="78" spans="1:17" ht="18.899999999999999" customHeight="1">
      <c r="A78" s="88"/>
      <c r="B78" s="89" t="s">
        <v>45</v>
      </c>
      <c r="C78" s="90">
        <v>600</v>
      </c>
      <c r="D78" s="90">
        <v>150</v>
      </c>
      <c r="E78" s="90"/>
      <c r="F78" s="90"/>
      <c r="G78" s="90">
        <f t="shared" si="34"/>
        <v>0</v>
      </c>
      <c r="H78" s="90"/>
      <c r="I78" s="91">
        <f t="shared" si="13"/>
        <v>0</v>
      </c>
      <c r="J78" s="92">
        <f t="shared" si="14"/>
        <v>0</v>
      </c>
      <c r="K78" s="92">
        <v>0</v>
      </c>
      <c r="L78" s="92">
        <f t="shared" si="15"/>
        <v>0</v>
      </c>
      <c r="M78" s="92">
        <f t="shared" si="16"/>
        <v>0</v>
      </c>
      <c r="N78" s="93">
        <f t="shared" si="17"/>
        <v>0</v>
      </c>
      <c r="O78" s="94"/>
      <c r="P78" s="95"/>
      <c r="Q78">
        <f t="shared" si="18"/>
        <v>0</v>
      </c>
    </row>
    <row r="79" spans="1:17" ht="18.899999999999999" customHeight="1">
      <c r="A79" s="96"/>
      <c r="B79" s="97" t="s">
        <v>45</v>
      </c>
      <c r="C79" s="98">
        <v>300</v>
      </c>
      <c r="D79" s="98">
        <v>150</v>
      </c>
      <c r="E79" s="98"/>
      <c r="F79" s="98"/>
      <c r="G79" s="98">
        <f t="shared" si="34"/>
        <v>0</v>
      </c>
      <c r="H79" s="98"/>
      <c r="I79" s="99">
        <f t="shared" ref="I79:I154" si="35">1.5*H79*G79/3</f>
        <v>0</v>
      </c>
      <c r="J79" s="100">
        <f t="shared" si="14"/>
        <v>0</v>
      </c>
      <c r="K79" s="104">
        <v>0</v>
      </c>
      <c r="L79" s="104">
        <f t="shared" ref="L79:L154" si="36">K79*31.5</f>
        <v>0</v>
      </c>
      <c r="M79" s="100">
        <f t="shared" si="16"/>
        <v>0</v>
      </c>
      <c r="N79" s="102">
        <f t="shared" ref="N79:N154" si="37">J79+M79+L79</f>
        <v>0</v>
      </c>
      <c r="O79" s="94"/>
      <c r="P79" s="95"/>
      <c r="Q79">
        <f t="shared" si="18"/>
        <v>0</v>
      </c>
    </row>
    <row r="80" spans="1:17" ht="18.899999999999999" customHeight="1">
      <c r="A80" s="80" t="s">
        <v>69</v>
      </c>
      <c r="B80" s="81" t="s">
        <v>45</v>
      </c>
      <c r="C80" s="82">
        <v>900</v>
      </c>
      <c r="D80" s="82">
        <v>150</v>
      </c>
      <c r="E80" s="82"/>
      <c r="F80" s="82"/>
      <c r="G80" s="82">
        <f t="shared" si="34"/>
        <v>0</v>
      </c>
      <c r="H80" s="82"/>
      <c r="I80" s="83">
        <f t="shared" si="35"/>
        <v>0</v>
      </c>
      <c r="J80" s="84">
        <f>I80*13.4</f>
        <v>0</v>
      </c>
      <c r="K80" s="103">
        <f>(2.5*4*G80/3)</f>
        <v>0</v>
      </c>
      <c r="L80" s="103">
        <f t="shared" si="36"/>
        <v>0</v>
      </c>
      <c r="M80" s="84">
        <f>SUM(G80*H80)*150</f>
        <v>0</v>
      </c>
      <c r="N80" s="85">
        <f t="shared" si="37"/>
        <v>0</v>
      </c>
      <c r="O80" s="94"/>
      <c r="P80" s="95"/>
      <c r="Q80">
        <f t="shared" si="18"/>
        <v>0</v>
      </c>
    </row>
    <row r="81" spans="1:17" ht="18.899999999999999" customHeight="1">
      <c r="A81" s="88"/>
      <c r="B81" s="89" t="s">
        <v>45</v>
      </c>
      <c r="C81" s="90">
        <v>600</v>
      </c>
      <c r="D81" s="90">
        <v>150</v>
      </c>
      <c r="E81" s="90"/>
      <c r="F81" s="90"/>
      <c r="G81" s="90">
        <f t="shared" si="34"/>
        <v>0</v>
      </c>
      <c r="H81" s="90"/>
      <c r="I81" s="91">
        <f t="shared" si="35"/>
        <v>0</v>
      </c>
      <c r="J81" s="92">
        <f t="shared" si="14"/>
        <v>0</v>
      </c>
      <c r="K81" s="92">
        <v>0</v>
      </c>
      <c r="L81" s="92">
        <f t="shared" si="36"/>
        <v>0</v>
      </c>
      <c r="M81" s="92">
        <f t="shared" si="16"/>
        <v>0</v>
      </c>
      <c r="N81" s="93">
        <f t="shared" si="37"/>
        <v>0</v>
      </c>
      <c r="O81" s="94"/>
      <c r="P81" s="95"/>
      <c r="Q81">
        <f t="shared" si="18"/>
        <v>0</v>
      </c>
    </row>
    <row r="82" spans="1:17" ht="18.899999999999999" customHeight="1">
      <c r="A82" s="96"/>
      <c r="B82" s="97" t="s">
        <v>45</v>
      </c>
      <c r="C82" s="98">
        <v>300</v>
      </c>
      <c r="D82" s="98">
        <v>150</v>
      </c>
      <c r="E82" s="98"/>
      <c r="F82" s="98"/>
      <c r="G82" s="98">
        <f t="shared" si="34"/>
        <v>0</v>
      </c>
      <c r="H82" s="98"/>
      <c r="I82" s="99">
        <f t="shared" si="35"/>
        <v>0</v>
      </c>
      <c r="J82" s="100">
        <f t="shared" si="14"/>
        <v>0</v>
      </c>
      <c r="K82" s="104">
        <v>0</v>
      </c>
      <c r="L82" s="104">
        <f t="shared" si="36"/>
        <v>0</v>
      </c>
      <c r="M82" s="100">
        <f t="shared" si="16"/>
        <v>0</v>
      </c>
      <c r="N82" s="102">
        <f t="shared" si="37"/>
        <v>0</v>
      </c>
      <c r="O82" s="94"/>
      <c r="P82" s="95"/>
      <c r="Q82">
        <f t="shared" si="18"/>
        <v>0</v>
      </c>
    </row>
    <row r="83" spans="1:17" ht="18.899999999999999" customHeight="1">
      <c r="A83" s="80" t="s">
        <v>70</v>
      </c>
      <c r="B83" s="81" t="s">
        <v>45</v>
      </c>
      <c r="C83" s="82">
        <v>900</v>
      </c>
      <c r="D83" s="82">
        <v>150</v>
      </c>
      <c r="E83" s="82"/>
      <c r="F83" s="82"/>
      <c r="G83" s="82">
        <f t="shared" si="34"/>
        <v>0</v>
      </c>
      <c r="H83" s="82"/>
      <c r="I83" s="83">
        <f t="shared" si="35"/>
        <v>0</v>
      </c>
      <c r="J83" s="84">
        <f>I83*13.4</f>
        <v>0</v>
      </c>
      <c r="K83" s="103">
        <f>(2.5*6*G83/3)</f>
        <v>0</v>
      </c>
      <c r="L83" s="103">
        <f t="shared" si="36"/>
        <v>0</v>
      </c>
      <c r="M83" s="84">
        <f>SUM(G83*H83)*150</f>
        <v>0</v>
      </c>
      <c r="N83" s="85">
        <f t="shared" si="37"/>
        <v>0</v>
      </c>
      <c r="O83" s="94"/>
      <c r="P83" s="95"/>
      <c r="Q83">
        <f t="shared" si="18"/>
        <v>0</v>
      </c>
    </row>
    <row r="84" spans="1:17" ht="18.899999999999999" customHeight="1">
      <c r="A84" s="88"/>
      <c r="B84" s="89" t="s">
        <v>45</v>
      </c>
      <c r="C84" s="90">
        <v>600</v>
      </c>
      <c r="D84" s="90">
        <v>150</v>
      </c>
      <c r="E84" s="90"/>
      <c r="F84" s="90"/>
      <c r="G84" s="90">
        <f t="shared" si="34"/>
        <v>0</v>
      </c>
      <c r="H84" s="90"/>
      <c r="I84" s="91">
        <f t="shared" si="35"/>
        <v>0</v>
      </c>
      <c r="J84" s="92">
        <f t="shared" si="14"/>
        <v>0</v>
      </c>
      <c r="K84" s="92">
        <v>0</v>
      </c>
      <c r="L84" s="92">
        <f t="shared" si="36"/>
        <v>0</v>
      </c>
      <c r="M84" s="92">
        <f t="shared" si="16"/>
        <v>0</v>
      </c>
      <c r="N84" s="93">
        <f t="shared" si="37"/>
        <v>0</v>
      </c>
      <c r="O84" s="94"/>
      <c r="P84" s="95"/>
      <c r="Q84">
        <f t="shared" si="18"/>
        <v>0</v>
      </c>
    </row>
    <row r="85" spans="1:17" ht="18.899999999999999" customHeight="1">
      <c r="A85" s="96"/>
      <c r="B85" s="97" t="s">
        <v>45</v>
      </c>
      <c r="C85" s="98">
        <v>300</v>
      </c>
      <c r="D85" s="98">
        <v>150</v>
      </c>
      <c r="E85" s="98"/>
      <c r="F85" s="98"/>
      <c r="G85" s="98">
        <f t="shared" si="34"/>
        <v>0</v>
      </c>
      <c r="H85" s="98"/>
      <c r="I85" s="99">
        <f t="shared" si="35"/>
        <v>0</v>
      </c>
      <c r="J85" s="100">
        <f t="shared" si="14"/>
        <v>0</v>
      </c>
      <c r="K85" s="104">
        <v>0</v>
      </c>
      <c r="L85" s="104">
        <f t="shared" si="36"/>
        <v>0</v>
      </c>
      <c r="M85" s="100">
        <f t="shared" si="16"/>
        <v>0</v>
      </c>
      <c r="N85" s="102">
        <f t="shared" si="37"/>
        <v>0</v>
      </c>
      <c r="O85" s="94"/>
      <c r="P85" s="95"/>
      <c r="Q85">
        <f t="shared" si="18"/>
        <v>0</v>
      </c>
    </row>
    <row r="86" spans="1:17" ht="18.899999999999999" customHeight="1">
      <c r="A86" s="80" t="s">
        <v>71</v>
      </c>
      <c r="B86" s="81" t="s">
        <v>45</v>
      </c>
      <c r="C86" s="82">
        <v>900</v>
      </c>
      <c r="D86" s="82">
        <v>150</v>
      </c>
      <c r="E86" s="82"/>
      <c r="F86" s="82"/>
      <c r="G86" s="82">
        <f t="shared" si="34"/>
        <v>0</v>
      </c>
      <c r="H86" s="82"/>
      <c r="I86" s="83">
        <f t="shared" si="35"/>
        <v>0</v>
      </c>
      <c r="J86" s="84">
        <f>I86*13.4</f>
        <v>0</v>
      </c>
      <c r="K86" s="103">
        <f>(2.5*6*G86/3)</f>
        <v>0</v>
      </c>
      <c r="L86" s="103">
        <f t="shared" si="36"/>
        <v>0</v>
      </c>
      <c r="M86" s="84">
        <f>SUM(G86*H86)*150</f>
        <v>0</v>
      </c>
      <c r="N86" s="85">
        <f t="shared" si="37"/>
        <v>0</v>
      </c>
      <c r="O86" s="94"/>
      <c r="P86" s="95"/>
      <c r="Q86">
        <f t="shared" si="18"/>
        <v>0</v>
      </c>
    </row>
    <row r="87" spans="1:17" ht="18.899999999999999" customHeight="1">
      <c r="A87" s="88"/>
      <c r="B87" s="89" t="s">
        <v>45</v>
      </c>
      <c r="C87" s="90">
        <v>600</v>
      </c>
      <c r="D87" s="90">
        <v>150</v>
      </c>
      <c r="E87" s="90"/>
      <c r="F87" s="90"/>
      <c r="G87" s="90">
        <f t="shared" si="34"/>
        <v>0</v>
      </c>
      <c r="H87" s="90"/>
      <c r="I87" s="91">
        <f t="shared" si="35"/>
        <v>0</v>
      </c>
      <c r="J87" s="92">
        <f t="shared" ref="J87:J88" si="38">I87*13.4</f>
        <v>0</v>
      </c>
      <c r="K87" s="92">
        <v>0</v>
      </c>
      <c r="L87" s="92">
        <f t="shared" si="36"/>
        <v>0</v>
      </c>
      <c r="M87" s="92">
        <f t="shared" ref="M87:M88" si="39">SUM(G87*H87)*150</f>
        <v>0</v>
      </c>
      <c r="N87" s="93">
        <f t="shared" si="37"/>
        <v>0</v>
      </c>
      <c r="O87" s="94"/>
      <c r="P87" s="95"/>
      <c r="Q87">
        <f t="shared" si="18"/>
        <v>0</v>
      </c>
    </row>
    <row r="88" spans="1:17" ht="18.899999999999999" customHeight="1">
      <c r="A88" s="96"/>
      <c r="B88" s="97" t="s">
        <v>45</v>
      </c>
      <c r="C88" s="98">
        <v>300</v>
      </c>
      <c r="D88" s="98">
        <v>150</v>
      </c>
      <c r="E88" s="98"/>
      <c r="F88" s="98"/>
      <c r="G88" s="98">
        <f t="shared" si="34"/>
        <v>0</v>
      </c>
      <c r="H88" s="98"/>
      <c r="I88" s="99">
        <f t="shared" si="35"/>
        <v>0</v>
      </c>
      <c r="J88" s="100">
        <f t="shared" si="38"/>
        <v>0</v>
      </c>
      <c r="K88" s="104">
        <v>0</v>
      </c>
      <c r="L88" s="104">
        <f t="shared" si="36"/>
        <v>0</v>
      </c>
      <c r="M88" s="100">
        <f t="shared" si="39"/>
        <v>0</v>
      </c>
      <c r="N88" s="102">
        <f t="shared" si="37"/>
        <v>0</v>
      </c>
      <c r="O88" s="94"/>
      <c r="P88" s="95"/>
      <c r="Q88">
        <f t="shared" si="18"/>
        <v>0</v>
      </c>
    </row>
    <row r="89" spans="1:17" ht="18.899999999999999" customHeight="1">
      <c r="A89" s="80" t="s">
        <v>72</v>
      </c>
      <c r="B89" s="81" t="s">
        <v>45</v>
      </c>
      <c r="C89" s="82">
        <v>900</v>
      </c>
      <c r="D89" s="82">
        <v>150</v>
      </c>
      <c r="E89" s="82"/>
      <c r="F89" s="82"/>
      <c r="G89" s="82">
        <f t="shared" si="34"/>
        <v>0</v>
      </c>
      <c r="H89" s="82"/>
      <c r="I89" s="83">
        <f t="shared" si="35"/>
        <v>0</v>
      </c>
      <c r="J89" s="84">
        <f>I89*13.4</f>
        <v>0</v>
      </c>
      <c r="K89" s="103">
        <f>(2.5*2*G89/3)</f>
        <v>0</v>
      </c>
      <c r="L89" s="103">
        <f t="shared" si="36"/>
        <v>0</v>
      </c>
      <c r="M89" s="84">
        <f>SUM(G89*H89)*150</f>
        <v>0</v>
      </c>
      <c r="N89" s="85">
        <f t="shared" si="37"/>
        <v>0</v>
      </c>
      <c r="O89" s="94"/>
      <c r="P89" s="95"/>
      <c r="Q89">
        <f t="shared" si="18"/>
        <v>0</v>
      </c>
    </row>
    <row r="90" spans="1:17" ht="18.899999999999999" customHeight="1">
      <c r="A90" s="88"/>
      <c r="B90" s="89" t="s">
        <v>45</v>
      </c>
      <c r="C90" s="90">
        <v>600</v>
      </c>
      <c r="D90" s="90">
        <v>150</v>
      </c>
      <c r="E90" s="90"/>
      <c r="F90" s="90"/>
      <c r="G90" s="82">
        <f t="shared" si="34"/>
        <v>0</v>
      </c>
      <c r="H90" s="90"/>
      <c r="I90" s="91">
        <f t="shared" si="35"/>
        <v>0</v>
      </c>
      <c r="J90" s="92">
        <f t="shared" si="14"/>
        <v>0</v>
      </c>
      <c r="K90" s="92">
        <v>0</v>
      </c>
      <c r="L90" s="92">
        <f t="shared" si="36"/>
        <v>0</v>
      </c>
      <c r="M90" s="92">
        <f t="shared" si="16"/>
        <v>0</v>
      </c>
      <c r="N90" s="93">
        <f t="shared" si="37"/>
        <v>0</v>
      </c>
      <c r="O90" s="94"/>
      <c r="P90" s="95"/>
      <c r="Q90">
        <f t="shared" si="18"/>
        <v>0</v>
      </c>
    </row>
    <row r="91" spans="1:17" ht="18.899999999999999" customHeight="1">
      <c r="A91" s="96"/>
      <c r="B91" s="97" t="s">
        <v>45</v>
      </c>
      <c r="C91" s="98">
        <v>300</v>
      </c>
      <c r="D91" s="98">
        <v>150</v>
      </c>
      <c r="E91" s="98"/>
      <c r="F91" s="98"/>
      <c r="G91" s="98">
        <f t="shared" si="34"/>
        <v>0</v>
      </c>
      <c r="H91" s="98"/>
      <c r="I91" s="99">
        <f t="shared" si="35"/>
        <v>0</v>
      </c>
      <c r="J91" s="100">
        <f t="shared" ref="J91" si="40">I91*13.4</f>
        <v>0</v>
      </c>
      <c r="K91" s="104">
        <v>0</v>
      </c>
      <c r="L91" s="104">
        <f t="shared" si="36"/>
        <v>0</v>
      </c>
      <c r="M91" s="100">
        <f t="shared" ref="M91" si="41">SUM(G91*H91)*150</f>
        <v>0</v>
      </c>
      <c r="N91" s="102">
        <f t="shared" si="37"/>
        <v>0</v>
      </c>
      <c r="O91" s="94"/>
      <c r="P91" s="95"/>
      <c r="Q91">
        <f t="shared" ref="Q91:Q178" si="42">G91*H91</f>
        <v>0</v>
      </c>
    </row>
    <row r="92" spans="1:17" ht="18.899999999999999" customHeight="1">
      <c r="A92" s="105" t="s">
        <v>73</v>
      </c>
      <c r="B92" s="81" t="s">
        <v>45</v>
      </c>
      <c r="C92" s="82">
        <v>900</v>
      </c>
      <c r="D92" s="82">
        <v>150</v>
      </c>
      <c r="E92" s="82"/>
      <c r="F92" s="82"/>
      <c r="G92" s="82">
        <f t="shared" si="34"/>
        <v>0</v>
      </c>
      <c r="H92" s="82"/>
      <c r="I92" s="83">
        <f t="shared" si="35"/>
        <v>0</v>
      </c>
      <c r="J92" s="84">
        <f>I92*13.4</f>
        <v>0</v>
      </c>
      <c r="K92" s="103">
        <f>(2.5*2*G92/3)</f>
        <v>0</v>
      </c>
      <c r="L92" s="103">
        <f t="shared" si="36"/>
        <v>0</v>
      </c>
      <c r="M92" s="84">
        <f>SUM(G92*H92)*150</f>
        <v>0</v>
      </c>
      <c r="N92" s="85">
        <f t="shared" si="37"/>
        <v>0</v>
      </c>
      <c r="O92" s="94"/>
      <c r="P92" s="95"/>
      <c r="Q92">
        <f t="shared" si="42"/>
        <v>0</v>
      </c>
    </row>
    <row r="93" spans="1:17" ht="18.899999999999999" customHeight="1">
      <c r="A93" s="88"/>
      <c r="B93" s="89" t="s">
        <v>45</v>
      </c>
      <c r="C93" s="90">
        <v>600</v>
      </c>
      <c r="D93" s="90">
        <v>150</v>
      </c>
      <c r="E93" s="90"/>
      <c r="F93" s="90"/>
      <c r="G93" s="82">
        <f t="shared" si="34"/>
        <v>0</v>
      </c>
      <c r="H93" s="90"/>
      <c r="I93" s="91">
        <f t="shared" si="35"/>
        <v>0</v>
      </c>
      <c r="J93" s="92">
        <f t="shared" ref="J93:J94" si="43">I93*13.4</f>
        <v>0</v>
      </c>
      <c r="K93" s="92">
        <v>0</v>
      </c>
      <c r="L93" s="92">
        <f t="shared" si="36"/>
        <v>0</v>
      </c>
      <c r="M93" s="92">
        <f t="shared" ref="M93" si="44">SUM(G93*H93)*150</f>
        <v>0</v>
      </c>
      <c r="N93" s="93">
        <f t="shared" si="37"/>
        <v>0</v>
      </c>
      <c r="O93" s="94"/>
      <c r="P93" s="95"/>
      <c r="Q93">
        <f t="shared" si="42"/>
        <v>0</v>
      </c>
    </row>
    <row r="94" spans="1:17" ht="18.899999999999999" customHeight="1">
      <c r="A94" s="96"/>
      <c r="B94" s="97" t="s">
        <v>45</v>
      </c>
      <c r="C94" s="98">
        <v>300</v>
      </c>
      <c r="D94" s="98">
        <v>150</v>
      </c>
      <c r="E94" s="98"/>
      <c r="F94" s="98"/>
      <c r="G94" s="98">
        <f t="shared" si="34"/>
        <v>0</v>
      </c>
      <c r="H94" s="98"/>
      <c r="I94" s="99">
        <f t="shared" si="35"/>
        <v>0</v>
      </c>
      <c r="J94" s="100">
        <f t="shared" si="43"/>
        <v>0</v>
      </c>
      <c r="K94" s="104">
        <v>0</v>
      </c>
      <c r="L94" s="104">
        <f t="shared" si="36"/>
        <v>0</v>
      </c>
      <c r="M94" s="100">
        <f t="shared" ref="M94" si="45">SUM(G94*H94)*150</f>
        <v>0</v>
      </c>
      <c r="N94" s="102">
        <f t="shared" si="37"/>
        <v>0</v>
      </c>
      <c r="O94" s="94"/>
      <c r="P94" s="95"/>
      <c r="Q94">
        <f t="shared" si="42"/>
        <v>0</v>
      </c>
    </row>
    <row r="95" spans="1:17" ht="18.899999999999999" customHeight="1">
      <c r="A95" s="105" t="s">
        <v>74</v>
      </c>
      <c r="B95" s="81" t="s">
        <v>45</v>
      </c>
      <c r="C95" s="82">
        <v>900</v>
      </c>
      <c r="D95" s="82">
        <v>150</v>
      </c>
      <c r="E95" s="82"/>
      <c r="F95" s="82"/>
      <c r="G95" s="82">
        <f t="shared" si="34"/>
        <v>0</v>
      </c>
      <c r="H95" s="82"/>
      <c r="I95" s="83">
        <f t="shared" si="35"/>
        <v>0</v>
      </c>
      <c r="J95" s="84">
        <f>I95*13.4</f>
        <v>0</v>
      </c>
      <c r="K95" s="103">
        <f>(2.5*2*G95/3)</f>
        <v>0</v>
      </c>
      <c r="L95" s="103">
        <f t="shared" si="36"/>
        <v>0</v>
      </c>
      <c r="M95" s="84">
        <f>SUM(G95*H95)*150</f>
        <v>0</v>
      </c>
      <c r="N95" s="85">
        <f t="shared" si="37"/>
        <v>0</v>
      </c>
      <c r="O95" s="94"/>
      <c r="P95" s="95"/>
      <c r="Q95">
        <f t="shared" si="42"/>
        <v>0</v>
      </c>
    </row>
    <row r="96" spans="1:17" ht="18.899999999999999" customHeight="1">
      <c r="A96" s="88"/>
      <c r="B96" s="89" t="s">
        <v>45</v>
      </c>
      <c r="C96" s="90">
        <v>600</v>
      </c>
      <c r="D96" s="90">
        <v>150</v>
      </c>
      <c r="E96" s="90"/>
      <c r="F96" s="90"/>
      <c r="G96" s="90">
        <f t="shared" si="34"/>
        <v>0</v>
      </c>
      <c r="H96" s="90"/>
      <c r="I96" s="91">
        <f t="shared" si="35"/>
        <v>0</v>
      </c>
      <c r="J96" s="92">
        <f t="shared" ref="J96:J97" si="46">I96*13.4</f>
        <v>0</v>
      </c>
      <c r="K96" s="92">
        <v>0</v>
      </c>
      <c r="L96" s="92">
        <f t="shared" si="36"/>
        <v>0</v>
      </c>
      <c r="M96" s="92">
        <f t="shared" ref="M96" si="47">SUM(G96*H96)*150</f>
        <v>0</v>
      </c>
      <c r="N96" s="93">
        <f t="shared" si="37"/>
        <v>0</v>
      </c>
      <c r="O96" s="94"/>
      <c r="P96" s="95"/>
      <c r="Q96">
        <f t="shared" si="42"/>
        <v>0</v>
      </c>
    </row>
    <row r="97" spans="1:17" ht="18.899999999999999" customHeight="1">
      <c r="A97" s="96"/>
      <c r="B97" s="97" t="s">
        <v>45</v>
      </c>
      <c r="C97" s="98">
        <v>300</v>
      </c>
      <c r="D97" s="98">
        <v>150</v>
      </c>
      <c r="E97" s="98"/>
      <c r="F97" s="98"/>
      <c r="G97" s="98">
        <f t="shared" si="34"/>
        <v>0</v>
      </c>
      <c r="H97" s="98"/>
      <c r="I97" s="99">
        <f t="shared" si="35"/>
        <v>0</v>
      </c>
      <c r="J97" s="100">
        <f t="shared" si="46"/>
        <v>0</v>
      </c>
      <c r="K97" s="104">
        <v>0</v>
      </c>
      <c r="L97" s="104">
        <f t="shared" si="36"/>
        <v>0</v>
      </c>
      <c r="M97" s="100">
        <f t="shared" ref="M97" si="48">SUM(G97*H97)*150</f>
        <v>0</v>
      </c>
      <c r="N97" s="102">
        <f t="shared" si="37"/>
        <v>0</v>
      </c>
      <c r="O97" s="94"/>
      <c r="P97" s="95"/>
      <c r="Q97">
        <f t="shared" si="42"/>
        <v>0</v>
      </c>
    </row>
    <row r="98" spans="1:17" ht="18.899999999999999" customHeight="1">
      <c r="A98" s="80" t="s">
        <v>75</v>
      </c>
      <c r="B98" s="81" t="s">
        <v>45</v>
      </c>
      <c r="C98" s="82">
        <v>900</v>
      </c>
      <c r="D98" s="82">
        <v>150</v>
      </c>
      <c r="E98" s="82"/>
      <c r="F98" s="82"/>
      <c r="G98" s="82">
        <f t="shared" si="34"/>
        <v>0</v>
      </c>
      <c r="H98" s="82"/>
      <c r="I98" s="83">
        <f t="shared" si="35"/>
        <v>0</v>
      </c>
      <c r="J98" s="84">
        <f>I98*13.4</f>
        <v>0</v>
      </c>
      <c r="K98" s="103">
        <f>(2.5*2*G98/3)</f>
        <v>0</v>
      </c>
      <c r="L98" s="103">
        <f t="shared" si="36"/>
        <v>0</v>
      </c>
      <c r="M98" s="84">
        <f>SUM(G98*H98)*150</f>
        <v>0</v>
      </c>
      <c r="N98" s="85">
        <f t="shared" si="37"/>
        <v>0</v>
      </c>
      <c r="O98" s="94"/>
      <c r="P98" s="95"/>
      <c r="Q98">
        <f t="shared" si="42"/>
        <v>0</v>
      </c>
    </row>
    <row r="99" spans="1:17" ht="18.899999999999999" customHeight="1">
      <c r="A99" s="88"/>
      <c r="B99" s="89" t="s">
        <v>45</v>
      </c>
      <c r="C99" s="90">
        <v>600</v>
      </c>
      <c r="D99" s="90">
        <v>150</v>
      </c>
      <c r="E99" s="90"/>
      <c r="F99" s="90"/>
      <c r="G99" s="90">
        <f t="shared" si="34"/>
        <v>0</v>
      </c>
      <c r="H99" s="90"/>
      <c r="I99" s="91">
        <f t="shared" si="35"/>
        <v>0</v>
      </c>
      <c r="J99" s="92">
        <f t="shared" ref="J99:J100" si="49">I99*13.4</f>
        <v>0</v>
      </c>
      <c r="K99" s="92">
        <v>0</v>
      </c>
      <c r="L99" s="92">
        <f t="shared" si="36"/>
        <v>0</v>
      </c>
      <c r="M99" s="92">
        <f t="shared" ref="M99:M100" si="50">SUM(G99*H99)*150</f>
        <v>0</v>
      </c>
      <c r="N99" s="93">
        <f t="shared" si="37"/>
        <v>0</v>
      </c>
      <c r="O99" s="94"/>
      <c r="P99" s="95"/>
      <c r="Q99">
        <f t="shared" si="42"/>
        <v>0</v>
      </c>
    </row>
    <row r="100" spans="1:17" ht="18.899999999999999" customHeight="1">
      <c r="A100" s="96"/>
      <c r="B100" s="97" t="s">
        <v>45</v>
      </c>
      <c r="C100" s="98">
        <v>300</v>
      </c>
      <c r="D100" s="98">
        <v>150</v>
      </c>
      <c r="E100" s="98"/>
      <c r="F100" s="98"/>
      <c r="G100" s="98">
        <f t="shared" si="34"/>
        <v>0</v>
      </c>
      <c r="H100" s="98"/>
      <c r="I100" s="99">
        <f t="shared" si="35"/>
        <v>0</v>
      </c>
      <c r="J100" s="100">
        <f t="shared" si="49"/>
        <v>0</v>
      </c>
      <c r="K100" s="104">
        <v>0</v>
      </c>
      <c r="L100" s="104">
        <f t="shared" si="36"/>
        <v>0</v>
      </c>
      <c r="M100" s="100">
        <f t="shared" si="50"/>
        <v>0</v>
      </c>
      <c r="N100" s="102">
        <f t="shared" si="37"/>
        <v>0</v>
      </c>
      <c r="O100" s="94"/>
      <c r="P100" s="95"/>
      <c r="Q100">
        <f t="shared" si="42"/>
        <v>0</v>
      </c>
    </row>
    <row r="101" spans="1:17" ht="18.899999999999999" customHeight="1">
      <c r="A101" s="105" t="s">
        <v>76</v>
      </c>
      <c r="B101" s="81" t="s">
        <v>45</v>
      </c>
      <c r="C101" s="82">
        <v>900</v>
      </c>
      <c r="D101" s="82">
        <v>150</v>
      </c>
      <c r="E101" s="82"/>
      <c r="F101" s="82"/>
      <c r="G101" s="82">
        <f t="shared" si="34"/>
        <v>0</v>
      </c>
      <c r="H101" s="82"/>
      <c r="I101" s="83">
        <f t="shared" si="35"/>
        <v>0</v>
      </c>
      <c r="J101" s="84">
        <f>I101*13.4</f>
        <v>0</v>
      </c>
      <c r="K101" s="103">
        <f>(2.5*1*G101/3)</f>
        <v>0</v>
      </c>
      <c r="L101" s="103">
        <f t="shared" si="36"/>
        <v>0</v>
      </c>
      <c r="M101" s="84">
        <f>SUM(G101*H101)*150</f>
        <v>0</v>
      </c>
      <c r="N101" s="85">
        <f t="shared" si="37"/>
        <v>0</v>
      </c>
      <c r="O101" s="94"/>
      <c r="P101" s="95"/>
      <c r="Q101">
        <f t="shared" si="42"/>
        <v>0</v>
      </c>
    </row>
    <row r="102" spans="1:17" ht="18.899999999999999" customHeight="1">
      <c r="A102" s="88"/>
      <c r="B102" s="89" t="s">
        <v>45</v>
      </c>
      <c r="C102" s="90">
        <v>600</v>
      </c>
      <c r="D102" s="90">
        <v>150</v>
      </c>
      <c r="E102" s="90"/>
      <c r="F102" s="90"/>
      <c r="G102" s="90">
        <f t="shared" si="34"/>
        <v>0</v>
      </c>
      <c r="H102" s="90"/>
      <c r="I102" s="91">
        <f t="shared" si="35"/>
        <v>0</v>
      </c>
      <c r="J102" s="92">
        <f t="shared" ref="J102:J103" si="51">I102*13.4</f>
        <v>0</v>
      </c>
      <c r="K102" s="92">
        <v>0</v>
      </c>
      <c r="L102" s="92">
        <f t="shared" si="36"/>
        <v>0</v>
      </c>
      <c r="M102" s="92">
        <f t="shared" ref="M102:M103" si="52">SUM(G102*H102)*150</f>
        <v>0</v>
      </c>
      <c r="N102" s="93">
        <f t="shared" si="37"/>
        <v>0</v>
      </c>
      <c r="O102" s="94"/>
      <c r="P102" s="95"/>
      <c r="Q102">
        <f t="shared" si="42"/>
        <v>0</v>
      </c>
    </row>
    <row r="103" spans="1:17" ht="18.899999999999999" customHeight="1">
      <c r="A103" s="96"/>
      <c r="B103" s="97" t="s">
        <v>45</v>
      </c>
      <c r="C103" s="98">
        <v>300</v>
      </c>
      <c r="D103" s="98">
        <v>150</v>
      </c>
      <c r="E103" s="98"/>
      <c r="F103" s="98"/>
      <c r="G103" s="98">
        <f t="shared" si="34"/>
        <v>0</v>
      </c>
      <c r="H103" s="98"/>
      <c r="I103" s="99">
        <f t="shared" si="35"/>
        <v>0</v>
      </c>
      <c r="J103" s="100">
        <f t="shared" si="51"/>
        <v>0</v>
      </c>
      <c r="K103" s="104">
        <v>0</v>
      </c>
      <c r="L103" s="104">
        <f t="shared" si="36"/>
        <v>0</v>
      </c>
      <c r="M103" s="100">
        <f t="shared" si="52"/>
        <v>0</v>
      </c>
      <c r="N103" s="102">
        <f t="shared" si="37"/>
        <v>0</v>
      </c>
      <c r="O103" s="94"/>
      <c r="P103" s="95"/>
      <c r="Q103">
        <f t="shared" si="42"/>
        <v>0</v>
      </c>
    </row>
    <row r="104" spans="1:17" ht="18.899999999999999" customHeight="1">
      <c r="A104" s="80" t="s">
        <v>77</v>
      </c>
      <c r="B104" s="81" t="s">
        <v>45</v>
      </c>
      <c r="C104" s="82">
        <v>900</v>
      </c>
      <c r="D104" s="82">
        <v>150</v>
      </c>
      <c r="E104" s="82"/>
      <c r="F104" s="82"/>
      <c r="G104" s="82">
        <f t="shared" si="34"/>
        <v>0</v>
      </c>
      <c r="H104" s="82"/>
      <c r="I104" s="83">
        <f t="shared" si="35"/>
        <v>0</v>
      </c>
      <c r="J104" s="84">
        <f>I104*13.4</f>
        <v>0</v>
      </c>
      <c r="K104" s="103">
        <f>(2.5*3*G104/3)</f>
        <v>0</v>
      </c>
      <c r="L104" s="103">
        <f t="shared" si="36"/>
        <v>0</v>
      </c>
      <c r="M104" s="84">
        <f>SUM(G104*H104)*150</f>
        <v>0</v>
      </c>
      <c r="N104" s="85">
        <f t="shared" si="37"/>
        <v>0</v>
      </c>
      <c r="O104" s="94"/>
      <c r="P104" s="95"/>
      <c r="Q104">
        <f t="shared" si="42"/>
        <v>0</v>
      </c>
    </row>
    <row r="105" spans="1:17" ht="18.899999999999999" customHeight="1">
      <c r="A105" s="88"/>
      <c r="B105" s="89" t="s">
        <v>45</v>
      </c>
      <c r="C105" s="90">
        <v>600</v>
      </c>
      <c r="D105" s="90">
        <v>150</v>
      </c>
      <c r="E105" s="90"/>
      <c r="F105" s="90"/>
      <c r="G105" s="90">
        <f t="shared" si="34"/>
        <v>0</v>
      </c>
      <c r="H105" s="90"/>
      <c r="I105" s="91">
        <f t="shared" si="35"/>
        <v>0</v>
      </c>
      <c r="J105" s="92">
        <f t="shared" ref="J105:J106" si="53">I105*13.4</f>
        <v>0</v>
      </c>
      <c r="K105" s="92">
        <v>0</v>
      </c>
      <c r="L105" s="92">
        <f t="shared" si="36"/>
        <v>0</v>
      </c>
      <c r="M105" s="92">
        <f t="shared" ref="M105:M106" si="54">SUM(G105*H105)*150</f>
        <v>0</v>
      </c>
      <c r="N105" s="93">
        <f t="shared" si="37"/>
        <v>0</v>
      </c>
      <c r="O105" s="94"/>
      <c r="P105" s="95"/>
      <c r="Q105">
        <f t="shared" si="42"/>
        <v>0</v>
      </c>
    </row>
    <row r="106" spans="1:17" ht="18.899999999999999" customHeight="1">
      <c r="A106" s="96"/>
      <c r="B106" s="97" t="s">
        <v>45</v>
      </c>
      <c r="C106" s="98">
        <v>300</v>
      </c>
      <c r="D106" s="98">
        <v>150</v>
      </c>
      <c r="E106" s="98"/>
      <c r="F106" s="98"/>
      <c r="G106" s="98">
        <f t="shared" si="34"/>
        <v>0</v>
      </c>
      <c r="H106" s="98"/>
      <c r="I106" s="99">
        <f t="shared" si="35"/>
        <v>0</v>
      </c>
      <c r="J106" s="100">
        <f t="shared" si="53"/>
        <v>0</v>
      </c>
      <c r="K106" s="104">
        <v>0</v>
      </c>
      <c r="L106" s="104">
        <f t="shared" si="36"/>
        <v>0</v>
      </c>
      <c r="M106" s="100">
        <f t="shared" si="54"/>
        <v>0</v>
      </c>
      <c r="N106" s="102">
        <f t="shared" si="37"/>
        <v>0</v>
      </c>
      <c r="O106" s="94"/>
      <c r="P106" s="95"/>
      <c r="Q106">
        <f t="shared" si="42"/>
        <v>0</v>
      </c>
    </row>
    <row r="107" spans="1:17" ht="18.899999999999999" customHeight="1">
      <c r="A107" s="80" t="s">
        <v>78</v>
      </c>
      <c r="B107" s="81" t="s">
        <v>45</v>
      </c>
      <c r="C107" s="82">
        <v>900</v>
      </c>
      <c r="D107" s="82">
        <v>150</v>
      </c>
      <c r="E107" s="82"/>
      <c r="F107" s="82"/>
      <c r="G107" s="82">
        <f t="shared" si="34"/>
        <v>0</v>
      </c>
      <c r="H107" s="82"/>
      <c r="I107" s="83">
        <f t="shared" si="35"/>
        <v>0</v>
      </c>
      <c r="J107" s="84">
        <f>I107*13.4</f>
        <v>0</v>
      </c>
      <c r="K107" s="92">
        <v>0</v>
      </c>
      <c r="L107" s="103">
        <f t="shared" si="36"/>
        <v>0</v>
      </c>
      <c r="M107" s="84">
        <f>SUM(G107*H107)*150</f>
        <v>0</v>
      </c>
      <c r="N107" s="85">
        <f t="shared" si="37"/>
        <v>0</v>
      </c>
      <c r="O107" s="94"/>
      <c r="P107" s="95"/>
      <c r="Q107">
        <f t="shared" si="42"/>
        <v>0</v>
      </c>
    </row>
    <row r="108" spans="1:17" ht="18.899999999999999" customHeight="1">
      <c r="A108" s="88"/>
      <c r="B108" s="89" t="s">
        <v>45</v>
      </c>
      <c r="C108" s="90">
        <v>600</v>
      </c>
      <c r="D108" s="90">
        <v>150</v>
      </c>
      <c r="E108" s="90"/>
      <c r="F108" s="90"/>
      <c r="G108" s="90">
        <f t="shared" si="34"/>
        <v>0</v>
      </c>
      <c r="H108" s="90"/>
      <c r="I108" s="91">
        <f t="shared" si="35"/>
        <v>0</v>
      </c>
      <c r="J108" s="92">
        <f t="shared" ref="J108:J109" si="55">I108*13.4</f>
        <v>0</v>
      </c>
      <c r="K108" s="92">
        <v>0</v>
      </c>
      <c r="L108" s="92">
        <f t="shared" si="36"/>
        <v>0</v>
      </c>
      <c r="M108" s="92">
        <f t="shared" ref="M108:M109" si="56">SUM(G108*H108)*150</f>
        <v>0</v>
      </c>
      <c r="N108" s="93">
        <f t="shared" si="37"/>
        <v>0</v>
      </c>
      <c r="O108" s="94"/>
      <c r="P108" s="95"/>
      <c r="Q108">
        <f t="shared" si="42"/>
        <v>0</v>
      </c>
    </row>
    <row r="109" spans="1:17" ht="18.899999999999999" customHeight="1">
      <c r="A109" s="96"/>
      <c r="B109" s="97" t="s">
        <v>45</v>
      </c>
      <c r="C109" s="98">
        <v>300</v>
      </c>
      <c r="D109" s="98">
        <v>150</v>
      </c>
      <c r="E109" s="98"/>
      <c r="F109" s="98"/>
      <c r="G109" s="98">
        <f t="shared" si="34"/>
        <v>0</v>
      </c>
      <c r="H109" s="98"/>
      <c r="I109" s="99">
        <f t="shared" si="35"/>
        <v>0</v>
      </c>
      <c r="J109" s="100">
        <f t="shared" si="55"/>
        <v>0</v>
      </c>
      <c r="K109" s="104">
        <v>0</v>
      </c>
      <c r="L109" s="104">
        <f t="shared" si="36"/>
        <v>0</v>
      </c>
      <c r="M109" s="100">
        <f t="shared" si="56"/>
        <v>0</v>
      </c>
      <c r="N109" s="102">
        <f t="shared" si="37"/>
        <v>0</v>
      </c>
      <c r="O109" s="94"/>
      <c r="P109" s="95"/>
      <c r="Q109">
        <f t="shared" si="42"/>
        <v>0</v>
      </c>
    </row>
    <row r="110" spans="1:17" ht="18.899999999999999" customHeight="1">
      <c r="A110" s="80" t="s">
        <v>79</v>
      </c>
      <c r="B110" s="81" t="s">
        <v>45</v>
      </c>
      <c r="C110" s="82">
        <v>900</v>
      </c>
      <c r="D110" s="82">
        <v>150</v>
      </c>
      <c r="E110" s="82"/>
      <c r="F110" s="82"/>
      <c r="G110" s="82">
        <f t="shared" si="34"/>
        <v>0</v>
      </c>
      <c r="H110" s="82"/>
      <c r="I110" s="83">
        <f t="shared" si="35"/>
        <v>0</v>
      </c>
      <c r="J110" s="84">
        <f>I110*13.4</f>
        <v>0</v>
      </c>
      <c r="K110" s="92">
        <v>0</v>
      </c>
      <c r="L110" s="103">
        <f t="shared" si="36"/>
        <v>0</v>
      </c>
      <c r="M110" s="84">
        <f>SUM(G110*H110)*150</f>
        <v>0</v>
      </c>
      <c r="N110" s="85">
        <f t="shared" si="37"/>
        <v>0</v>
      </c>
      <c r="O110" s="94"/>
      <c r="P110" s="95"/>
      <c r="Q110">
        <f t="shared" si="42"/>
        <v>0</v>
      </c>
    </row>
    <row r="111" spans="1:17" ht="18.899999999999999" customHeight="1">
      <c r="A111" s="88"/>
      <c r="B111" s="89" t="s">
        <v>45</v>
      </c>
      <c r="C111" s="90">
        <v>600</v>
      </c>
      <c r="D111" s="90">
        <v>150</v>
      </c>
      <c r="E111" s="90"/>
      <c r="F111" s="90"/>
      <c r="G111" s="90">
        <f t="shared" si="34"/>
        <v>0</v>
      </c>
      <c r="H111" s="90"/>
      <c r="I111" s="91">
        <f t="shared" si="35"/>
        <v>0</v>
      </c>
      <c r="J111" s="92">
        <f t="shared" ref="J111:J112" si="57">I111*13.4</f>
        <v>0</v>
      </c>
      <c r="K111" s="92">
        <v>0</v>
      </c>
      <c r="L111" s="92">
        <f t="shared" si="36"/>
        <v>0</v>
      </c>
      <c r="M111" s="92">
        <f t="shared" ref="M111:M112" si="58">SUM(G111*H111)*150</f>
        <v>0</v>
      </c>
      <c r="N111" s="93">
        <f t="shared" si="37"/>
        <v>0</v>
      </c>
      <c r="O111" s="94"/>
      <c r="P111" s="95"/>
      <c r="Q111">
        <f t="shared" si="42"/>
        <v>0</v>
      </c>
    </row>
    <row r="112" spans="1:17" ht="18.899999999999999" customHeight="1">
      <c r="A112" s="96"/>
      <c r="B112" s="97" t="s">
        <v>45</v>
      </c>
      <c r="C112" s="98">
        <v>300</v>
      </c>
      <c r="D112" s="98">
        <v>150</v>
      </c>
      <c r="E112" s="98"/>
      <c r="F112" s="98"/>
      <c r="G112" s="98">
        <f t="shared" si="34"/>
        <v>0</v>
      </c>
      <c r="H112" s="98"/>
      <c r="I112" s="99">
        <f t="shared" si="35"/>
        <v>0</v>
      </c>
      <c r="J112" s="100">
        <f t="shared" si="57"/>
        <v>0</v>
      </c>
      <c r="K112" s="104">
        <v>0</v>
      </c>
      <c r="L112" s="104">
        <f t="shared" si="36"/>
        <v>0</v>
      </c>
      <c r="M112" s="100">
        <f t="shared" si="58"/>
        <v>0</v>
      </c>
      <c r="N112" s="102">
        <f t="shared" si="37"/>
        <v>0</v>
      </c>
      <c r="O112" s="94"/>
      <c r="P112" s="95"/>
      <c r="Q112">
        <f t="shared" si="42"/>
        <v>0</v>
      </c>
    </row>
    <row r="113" spans="1:17" ht="18.899999999999999" customHeight="1">
      <c r="A113" s="105" t="s">
        <v>80</v>
      </c>
      <c r="B113" s="81" t="s">
        <v>45</v>
      </c>
      <c r="C113" s="82">
        <v>900</v>
      </c>
      <c r="D113" s="82">
        <v>150</v>
      </c>
      <c r="E113" s="82"/>
      <c r="F113" s="82"/>
      <c r="G113" s="82">
        <f t="shared" si="34"/>
        <v>0</v>
      </c>
      <c r="H113" s="82"/>
      <c r="I113" s="83">
        <f t="shared" si="35"/>
        <v>0</v>
      </c>
      <c r="J113" s="84">
        <f>I113*13.4</f>
        <v>0</v>
      </c>
      <c r="K113" s="92">
        <v>0</v>
      </c>
      <c r="L113" s="103">
        <f t="shared" si="36"/>
        <v>0</v>
      </c>
      <c r="M113" s="84">
        <f>SUM(G113*H113)*150</f>
        <v>0</v>
      </c>
      <c r="N113" s="85">
        <f t="shared" si="37"/>
        <v>0</v>
      </c>
      <c r="O113" s="94"/>
      <c r="P113" s="95"/>
      <c r="Q113">
        <f t="shared" si="42"/>
        <v>0</v>
      </c>
    </row>
    <row r="114" spans="1:17" ht="18.899999999999999" customHeight="1">
      <c r="A114" s="88"/>
      <c r="B114" s="89" t="s">
        <v>45</v>
      </c>
      <c r="C114" s="90">
        <v>600</v>
      </c>
      <c r="D114" s="90">
        <v>150</v>
      </c>
      <c r="E114" s="90"/>
      <c r="F114" s="90"/>
      <c r="G114" s="90">
        <f t="shared" si="34"/>
        <v>0</v>
      </c>
      <c r="H114" s="90"/>
      <c r="I114" s="91">
        <f t="shared" si="35"/>
        <v>0</v>
      </c>
      <c r="J114" s="92">
        <f t="shared" ref="J114:J115" si="59">I114*13.4</f>
        <v>0</v>
      </c>
      <c r="K114" s="92">
        <v>0</v>
      </c>
      <c r="L114" s="92">
        <f t="shared" si="36"/>
        <v>0</v>
      </c>
      <c r="M114" s="92">
        <f t="shared" ref="M114:M115" si="60">SUM(G114*H114)*150</f>
        <v>0</v>
      </c>
      <c r="N114" s="93">
        <f t="shared" si="37"/>
        <v>0</v>
      </c>
      <c r="O114" s="94"/>
      <c r="P114" s="95"/>
      <c r="Q114">
        <f t="shared" si="42"/>
        <v>0</v>
      </c>
    </row>
    <row r="115" spans="1:17" ht="18.899999999999999" customHeight="1">
      <c r="A115" s="96"/>
      <c r="B115" s="97" t="s">
        <v>45</v>
      </c>
      <c r="C115" s="98">
        <v>300</v>
      </c>
      <c r="D115" s="98">
        <v>150</v>
      </c>
      <c r="E115" s="98"/>
      <c r="F115" s="98"/>
      <c r="G115" s="98">
        <f t="shared" si="34"/>
        <v>0</v>
      </c>
      <c r="H115" s="98"/>
      <c r="I115" s="99">
        <f t="shared" si="35"/>
        <v>0</v>
      </c>
      <c r="J115" s="100">
        <f t="shared" si="59"/>
        <v>0</v>
      </c>
      <c r="K115" s="104">
        <v>0</v>
      </c>
      <c r="L115" s="104">
        <f t="shared" si="36"/>
        <v>0</v>
      </c>
      <c r="M115" s="100">
        <f t="shared" si="60"/>
        <v>0</v>
      </c>
      <c r="N115" s="102">
        <f t="shared" si="37"/>
        <v>0</v>
      </c>
      <c r="O115" s="94"/>
      <c r="P115" s="95"/>
      <c r="Q115">
        <f t="shared" si="42"/>
        <v>0</v>
      </c>
    </row>
    <row r="116" spans="1:17" ht="18.899999999999999" customHeight="1">
      <c r="A116" s="105" t="s">
        <v>81</v>
      </c>
      <c r="B116" s="81" t="s">
        <v>45</v>
      </c>
      <c r="C116" s="82">
        <v>900</v>
      </c>
      <c r="D116" s="82">
        <v>150</v>
      </c>
      <c r="E116" s="82"/>
      <c r="F116" s="82"/>
      <c r="G116" s="82">
        <f t="shared" si="34"/>
        <v>0</v>
      </c>
      <c r="H116" s="82"/>
      <c r="I116" s="83">
        <f t="shared" si="35"/>
        <v>0</v>
      </c>
      <c r="J116" s="84">
        <f>I116*13.4</f>
        <v>0</v>
      </c>
      <c r="K116" s="92">
        <v>0</v>
      </c>
      <c r="L116" s="103">
        <f t="shared" si="36"/>
        <v>0</v>
      </c>
      <c r="M116" s="84">
        <f>SUM(G116*H116)*150</f>
        <v>0</v>
      </c>
      <c r="N116" s="85">
        <f t="shared" si="37"/>
        <v>0</v>
      </c>
      <c r="O116" s="94"/>
      <c r="P116" s="95"/>
      <c r="Q116">
        <f t="shared" si="42"/>
        <v>0</v>
      </c>
    </row>
    <row r="117" spans="1:17" ht="18.899999999999999" customHeight="1">
      <c r="A117" s="88"/>
      <c r="B117" s="89" t="s">
        <v>45</v>
      </c>
      <c r="C117" s="90">
        <v>600</v>
      </c>
      <c r="D117" s="90">
        <v>150</v>
      </c>
      <c r="E117" s="90"/>
      <c r="F117" s="90"/>
      <c r="G117" s="90">
        <f t="shared" si="34"/>
        <v>0</v>
      </c>
      <c r="H117" s="90"/>
      <c r="I117" s="91">
        <f t="shared" si="35"/>
        <v>0</v>
      </c>
      <c r="J117" s="92">
        <f t="shared" ref="J117:J118" si="61">I117*13.4</f>
        <v>0</v>
      </c>
      <c r="K117" s="92">
        <v>0</v>
      </c>
      <c r="L117" s="92">
        <f t="shared" si="36"/>
        <v>0</v>
      </c>
      <c r="M117" s="92">
        <f t="shared" ref="M117:M118" si="62">SUM(G117*H117)*150</f>
        <v>0</v>
      </c>
      <c r="N117" s="93">
        <f t="shared" si="37"/>
        <v>0</v>
      </c>
      <c r="O117" s="94"/>
      <c r="P117" s="95"/>
      <c r="Q117">
        <f t="shared" si="42"/>
        <v>0</v>
      </c>
    </row>
    <row r="118" spans="1:17" ht="18.899999999999999" customHeight="1">
      <c r="A118" s="96"/>
      <c r="B118" s="97" t="s">
        <v>45</v>
      </c>
      <c r="C118" s="98">
        <v>300</v>
      </c>
      <c r="D118" s="98">
        <v>150</v>
      </c>
      <c r="E118" s="98"/>
      <c r="F118" s="98"/>
      <c r="G118" s="98">
        <f t="shared" si="34"/>
        <v>0</v>
      </c>
      <c r="H118" s="98"/>
      <c r="I118" s="99">
        <f t="shared" si="35"/>
        <v>0</v>
      </c>
      <c r="J118" s="100">
        <f t="shared" si="61"/>
        <v>0</v>
      </c>
      <c r="K118" s="104">
        <v>0</v>
      </c>
      <c r="L118" s="104">
        <f t="shared" si="36"/>
        <v>0</v>
      </c>
      <c r="M118" s="100">
        <f t="shared" si="62"/>
        <v>0</v>
      </c>
      <c r="N118" s="102">
        <f t="shared" si="37"/>
        <v>0</v>
      </c>
      <c r="O118" s="94"/>
      <c r="P118" s="95"/>
      <c r="Q118">
        <f t="shared" si="42"/>
        <v>0</v>
      </c>
    </row>
    <row r="119" spans="1:17" ht="18.75" customHeight="1">
      <c r="A119" s="80" t="s">
        <v>82</v>
      </c>
      <c r="B119" s="81" t="s">
        <v>45</v>
      </c>
      <c r="C119" s="82">
        <v>900</v>
      </c>
      <c r="D119" s="82">
        <v>150</v>
      </c>
      <c r="E119" s="82"/>
      <c r="F119" s="82"/>
      <c r="G119" s="82">
        <f t="shared" si="34"/>
        <v>0</v>
      </c>
      <c r="H119" s="82"/>
      <c r="I119" s="83">
        <f t="shared" si="35"/>
        <v>0</v>
      </c>
      <c r="J119" s="84">
        <f>I119*13.4</f>
        <v>0</v>
      </c>
      <c r="K119" s="103">
        <f>(2.5*2*G119/3)</f>
        <v>0</v>
      </c>
      <c r="L119" s="103">
        <f t="shared" si="36"/>
        <v>0</v>
      </c>
      <c r="M119" s="84">
        <f>SUM(G119*H119)*150</f>
        <v>0</v>
      </c>
      <c r="N119" s="85">
        <f t="shared" si="37"/>
        <v>0</v>
      </c>
      <c r="O119" s="94"/>
      <c r="P119" s="95"/>
      <c r="Q119">
        <f t="shared" si="42"/>
        <v>0</v>
      </c>
    </row>
    <row r="120" spans="1:17" ht="18.899999999999999" customHeight="1">
      <c r="A120" s="88"/>
      <c r="B120" s="89" t="s">
        <v>45</v>
      </c>
      <c r="C120" s="90">
        <v>600</v>
      </c>
      <c r="D120" s="90">
        <v>150</v>
      </c>
      <c r="E120" s="90"/>
      <c r="F120" s="90"/>
      <c r="G120" s="90">
        <f t="shared" si="34"/>
        <v>0</v>
      </c>
      <c r="H120" s="90"/>
      <c r="I120" s="91">
        <f t="shared" si="35"/>
        <v>0</v>
      </c>
      <c r="J120" s="92">
        <f t="shared" ref="J120:J121" si="63">I120*13.4</f>
        <v>0</v>
      </c>
      <c r="K120" s="92">
        <v>0</v>
      </c>
      <c r="L120" s="92">
        <f t="shared" si="36"/>
        <v>0</v>
      </c>
      <c r="M120" s="92">
        <f t="shared" ref="M120:M121" si="64">SUM(G120*H120)*150</f>
        <v>0</v>
      </c>
      <c r="N120" s="93">
        <f t="shared" si="37"/>
        <v>0</v>
      </c>
      <c r="O120" s="94"/>
      <c r="P120" s="95"/>
      <c r="Q120">
        <f t="shared" si="42"/>
        <v>0</v>
      </c>
    </row>
    <row r="121" spans="1:17" ht="18.899999999999999" customHeight="1">
      <c r="A121" s="96"/>
      <c r="B121" s="97" t="s">
        <v>45</v>
      </c>
      <c r="C121" s="98">
        <v>300</v>
      </c>
      <c r="D121" s="98">
        <v>150</v>
      </c>
      <c r="E121" s="98"/>
      <c r="F121" s="98"/>
      <c r="G121" s="98">
        <f t="shared" si="34"/>
        <v>0</v>
      </c>
      <c r="H121" s="98"/>
      <c r="I121" s="99">
        <f t="shared" si="35"/>
        <v>0</v>
      </c>
      <c r="J121" s="100">
        <f t="shared" si="63"/>
        <v>0</v>
      </c>
      <c r="K121" s="104">
        <v>0</v>
      </c>
      <c r="L121" s="104">
        <f t="shared" si="36"/>
        <v>0</v>
      </c>
      <c r="M121" s="100">
        <f t="shared" si="64"/>
        <v>0</v>
      </c>
      <c r="N121" s="102">
        <f t="shared" si="37"/>
        <v>0</v>
      </c>
      <c r="O121" s="94"/>
      <c r="P121" s="95"/>
      <c r="Q121">
        <f t="shared" si="42"/>
        <v>0</v>
      </c>
    </row>
    <row r="122" spans="1:17" ht="18.899999999999999" customHeight="1">
      <c r="A122" s="80" t="s">
        <v>83</v>
      </c>
      <c r="B122" s="81" t="s">
        <v>45</v>
      </c>
      <c r="C122" s="82">
        <v>900</v>
      </c>
      <c r="D122" s="82">
        <v>150</v>
      </c>
      <c r="E122" s="82"/>
      <c r="F122" s="82"/>
      <c r="G122" s="82">
        <f t="shared" si="34"/>
        <v>0</v>
      </c>
      <c r="H122" s="82"/>
      <c r="I122" s="83">
        <f t="shared" si="35"/>
        <v>0</v>
      </c>
      <c r="J122" s="84">
        <f>I122*13.4</f>
        <v>0</v>
      </c>
      <c r="K122" s="92">
        <v>0</v>
      </c>
      <c r="L122" s="103">
        <f t="shared" si="36"/>
        <v>0</v>
      </c>
      <c r="M122" s="84">
        <f>SUM(G122*H122)*150</f>
        <v>0</v>
      </c>
      <c r="N122" s="85">
        <f t="shared" si="37"/>
        <v>0</v>
      </c>
      <c r="O122" s="94"/>
      <c r="P122" s="95"/>
      <c r="Q122">
        <f t="shared" si="42"/>
        <v>0</v>
      </c>
    </row>
    <row r="123" spans="1:17" ht="18.899999999999999" customHeight="1">
      <c r="A123" s="88"/>
      <c r="B123" s="89" t="s">
        <v>45</v>
      </c>
      <c r="C123" s="90">
        <v>600</v>
      </c>
      <c r="D123" s="90">
        <v>150</v>
      </c>
      <c r="E123" s="90"/>
      <c r="F123" s="90"/>
      <c r="G123" s="90">
        <f t="shared" si="34"/>
        <v>0</v>
      </c>
      <c r="H123" s="90"/>
      <c r="I123" s="91">
        <f t="shared" si="35"/>
        <v>0</v>
      </c>
      <c r="J123" s="92">
        <f t="shared" ref="J123:J124" si="65">I123*13.4</f>
        <v>0</v>
      </c>
      <c r="K123" s="92">
        <v>0</v>
      </c>
      <c r="L123" s="92">
        <f t="shared" si="36"/>
        <v>0</v>
      </c>
      <c r="M123" s="92">
        <f t="shared" ref="M123:M124" si="66">SUM(G123*H123)*150</f>
        <v>0</v>
      </c>
      <c r="N123" s="93">
        <f t="shared" si="37"/>
        <v>0</v>
      </c>
      <c r="O123" s="94"/>
      <c r="P123" s="95"/>
      <c r="Q123">
        <f t="shared" si="42"/>
        <v>0</v>
      </c>
    </row>
    <row r="124" spans="1:17" ht="18.899999999999999" customHeight="1">
      <c r="A124" s="96"/>
      <c r="B124" s="97" t="s">
        <v>45</v>
      </c>
      <c r="C124" s="98">
        <v>300</v>
      </c>
      <c r="D124" s="98">
        <v>150</v>
      </c>
      <c r="E124" s="98"/>
      <c r="F124" s="98"/>
      <c r="G124" s="98">
        <f t="shared" si="34"/>
        <v>0</v>
      </c>
      <c r="H124" s="98"/>
      <c r="I124" s="99">
        <f t="shared" si="35"/>
        <v>0</v>
      </c>
      <c r="J124" s="100">
        <f t="shared" si="65"/>
        <v>0</v>
      </c>
      <c r="K124" s="104">
        <v>0</v>
      </c>
      <c r="L124" s="104">
        <f t="shared" si="36"/>
        <v>0</v>
      </c>
      <c r="M124" s="100">
        <f t="shared" si="66"/>
        <v>0</v>
      </c>
      <c r="N124" s="102">
        <f t="shared" si="37"/>
        <v>0</v>
      </c>
      <c r="O124" s="94"/>
      <c r="P124" s="95"/>
      <c r="Q124">
        <f t="shared" si="42"/>
        <v>0</v>
      </c>
    </row>
    <row r="125" spans="1:17" ht="18.899999999999999" customHeight="1">
      <c r="A125" s="80" t="s">
        <v>84</v>
      </c>
      <c r="B125" s="81" t="s">
        <v>45</v>
      </c>
      <c r="C125" s="82">
        <v>900</v>
      </c>
      <c r="D125" s="82">
        <v>150</v>
      </c>
      <c r="E125" s="82"/>
      <c r="F125" s="82"/>
      <c r="G125" s="82">
        <f t="shared" si="34"/>
        <v>0</v>
      </c>
      <c r="H125" s="82"/>
      <c r="I125" s="83">
        <f t="shared" si="35"/>
        <v>0</v>
      </c>
      <c r="J125" s="84">
        <f>I125*13.4</f>
        <v>0</v>
      </c>
      <c r="K125" s="103">
        <f>(2.5*2*G125/3)</f>
        <v>0</v>
      </c>
      <c r="L125" s="103">
        <f t="shared" si="36"/>
        <v>0</v>
      </c>
      <c r="M125" s="84">
        <f>SUM(G125*H125)*150</f>
        <v>0</v>
      </c>
      <c r="N125" s="85">
        <f t="shared" si="37"/>
        <v>0</v>
      </c>
      <c r="O125" s="94"/>
      <c r="P125" s="95"/>
      <c r="Q125">
        <f t="shared" si="42"/>
        <v>0</v>
      </c>
    </row>
    <row r="126" spans="1:17" ht="18.899999999999999" customHeight="1">
      <c r="A126" s="88"/>
      <c r="B126" s="89" t="s">
        <v>45</v>
      </c>
      <c r="C126" s="90">
        <v>600</v>
      </c>
      <c r="D126" s="90">
        <v>150</v>
      </c>
      <c r="E126" s="90"/>
      <c r="F126" s="90"/>
      <c r="G126" s="90">
        <f t="shared" si="34"/>
        <v>0</v>
      </c>
      <c r="H126" s="90"/>
      <c r="I126" s="91">
        <f t="shared" si="35"/>
        <v>0</v>
      </c>
      <c r="J126" s="92">
        <f t="shared" ref="J126:J127" si="67">I126*13.4</f>
        <v>0</v>
      </c>
      <c r="K126" s="92">
        <v>0</v>
      </c>
      <c r="L126" s="92">
        <f t="shared" si="36"/>
        <v>0</v>
      </c>
      <c r="M126" s="92">
        <f t="shared" ref="M126:M127" si="68">SUM(G126*H126)*150</f>
        <v>0</v>
      </c>
      <c r="N126" s="93">
        <f t="shared" si="37"/>
        <v>0</v>
      </c>
      <c r="O126" s="94"/>
      <c r="P126" s="95"/>
      <c r="Q126">
        <f t="shared" si="42"/>
        <v>0</v>
      </c>
    </row>
    <row r="127" spans="1:17" ht="18.899999999999999" customHeight="1">
      <c r="A127" s="96"/>
      <c r="B127" s="97" t="s">
        <v>45</v>
      </c>
      <c r="C127" s="98">
        <v>300</v>
      </c>
      <c r="D127" s="98">
        <v>150</v>
      </c>
      <c r="E127" s="98"/>
      <c r="F127" s="98"/>
      <c r="G127" s="98">
        <f t="shared" si="34"/>
        <v>0</v>
      </c>
      <c r="H127" s="98"/>
      <c r="I127" s="99">
        <f t="shared" si="35"/>
        <v>0</v>
      </c>
      <c r="J127" s="100">
        <f t="shared" si="67"/>
        <v>0</v>
      </c>
      <c r="K127" s="104">
        <v>0</v>
      </c>
      <c r="L127" s="104">
        <f t="shared" si="36"/>
        <v>0</v>
      </c>
      <c r="M127" s="100">
        <f t="shared" si="68"/>
        <v>0</v>
      </c>
      <c r="N127" s="102">
        <f t="shared" si="37"/>
        <v>0</v>
      </c>
      <c r="O127" s="94"/>
      <c r="P127" s="95"/>
      <c r="Q127">
        <f t="shared" si="42"/>
        <v>0</v>
      </c>
    </row>
    <row r="128" spans="1:17" ht="18.899999999999999" customHeight="1">
      <c r="A128" s="80" t="s">
        <v>85</v>
      </c>
      <c r="B128" s="81" t="s">
        <v>45</v>
      </c>
      <c r="C128" s="82">
        <v>900</v>
      </c>
      <c r="D128" s="82">
        <v>150</v>
      </c>
      <c r="E128" s="82"/>
      <c r="F128" s="82"/>
      <c r="G128" s="82">
        <f t="shared" si="34"/>
        <v>0</v>
      </c>
      <c r="H128" s="82"/>
      <c r="I128" s="83">
        <f t="shared" si="35"/>
        <v>0</v>
      </c>
      <c r="J128" s="84">
        <f>I128*13.4</f>
        <v>0</v>
      </c>
      <c r="K128" s="103">
        <f>(2.5*2*G128/3)</f>
        <v>0</v>
      </c>
      <c r="L128" s="103">
        <f t="shared" si="36"/>
        <v>0</v>
      </c>
      <c r="M128" s="84">
        <f>SUM(G128*H128)*150</f>
        <v>0</v>
      </c>
      <c r="N128" s="85">
        <f t="shared" si="37"/>
        <v>0</v>
      </c>
      <c r="O128" s="94"/>
      <c r="P128" s="95"/>
      <c r="Q128">
        <f t="shared" si="42"/>
        <v>0</v>
      </c>
    </row>
    <row r="129" spans="1:17" ht="18.899999999999999" customHeight="1">
      <c r="A129" s="88"/>
      <c r="B129" s="89" t="s">
        <v>45</v>
      </c>
      <c r="C129" s="90">
        <v>600</v>
      </c>
      <c r="D129" s="90">
        <v>150</v>
      </c>
      <c r="E129" s="90"/>
      <c r="F129" s="90"/>
      <c r="G129" s="90">
        <f t="shared" si="34"/>
        <v>0</v>
      </c>
      <c r="H129" s="90"/>
      <c r="I129" s="91">
        <f t="shared" si="35"/>
        <v>0</v>
      </c>
      <c r="J129" s="92">
        <f t="shared" ref="J129:J130" si="69">I129*13.4</f>
        <v>0</v>
      </c>
      <c r="K129" s="92">
        <v>0</v>
      </c>
      <c r="L129" s="92">
        <f t="shared" si="36"/>
        <v>0</v>
      </c>
      <c r="M129" s="92">
        <f t="shared" ref="M129:M130" si="70">SUM(G129*H129)*150</f>
        <v>0</v>
      </c>
      <c r="N129" s="93">
        <f t="shared" si="37"/>
        <v>0</v>
      </c>
      <c r="O129" s="94"/>
      <c r="P129" s="95"/>
      <c r="Q129">
        <f t="shared" si="42"/>
        <v>0</v>
      </c>
    </row>
    <row r="130" spans="1:17" ht="18.899999999999999" customHeight="1">
      <c r="A130" s="96"/>
      <c r="B130" s="97" t="s">
        <v>45</v>
      </c>
      <c r="C130" s="98">
        <v>300</v>
      </c>
      <c r="D130" s="98">
        <v>150</v>
      </c>
      <c r="E130" s="98"/>
      <c r="F130" s="98"/>
      <c r="G130" s="98">
        <f t="shared" si="34"/>
        <v>0</v>
      </c>
      <c r="H130" s="98"/>
      <c r="I130" s="99">
        <f t="shared" si="35"/>
        <v>0</v>
      </c>
      <c r="J130" s="100">
        <f t="shared" si="69"/>
        <v>0</v>
      </c>
      <c r="K130" s="104">
        <v>0</v>
      </c>
      <c r="L130" s="104">
        <f t="shared" si="36"/>
        <v>0</v>
      </c>
      <c r="M130" s="100">
        <f t="shared" si="70"/>
        <v>0</v>
      </c>
      <c r="N130" s="102">
        <f t="shared" si="37"/>
        <v>0</v>
      </c>
      <c r="O130" s="94"/>
      <c r="P130" s="95"/>
      <c r="Q130">
        <f t="shared" si="42"/>
        <v>0</v>
      </c>
    </row>
    <row r="131" spans="1:17" ht="18.899999999999999" customHeight="1">
      <c r="A131" s="80" t="s">
        <v>86</v>
      </c>
      <c r="B131" s="81" t="s">
        <v>45</v>
      </c>
      <c r="C131" s="82">
        <v>900</v>
      </c>
      <c r="D131" s="82">
        <v>150</v>
      </c>
      <c r="E131" s="82"/>
      <c r="F131" s="82"/>
      <c r="G131" s="82">
        <f t="shared" si="34"/>
        <v>0</v>
      </c>
      <c r="H131" s="82"/>
      <c r="I131" s="83">
        <f t="shared" si="35"/>
        <v>0</v>
      </c>
      <c r="J131" s="84">
        <f>I131*13.4</f>
        <v>0</v>
      </c>
      <c r="K131" s="92">
        <v>0</v>
      </c>
      <c r="L131" s="103">
        <f t="shared" si="36"/>
        <v>0</v>
      </c>
      <c r="M131" s="84">
        <f>SUM(G131*H131)*150</f>
        <v>0</v>
      </c>
      <c r="N131" s="85">
        <f t="shared" si="37"/>
        <v>0</v>
      </c>
      <c r="O131" s="94"/>
      <c r="P131" s="95"/>
      <c r="Q131">
        <f t="shared" si="42"/>
        <v>0</v>
      </c>
    </row>
    <row r="132" spans="1:17" ht="18.899999999999999" customHeight="1">
      <c r="A132" s="88"/>
      <c r="B132" s="89" t="s">
        <v>45</v>
      </c>
      <c r="C132" s="90">
        <v>600</v>
      </c>
      <c r="D132" s="90">
        <v>150</v>
      </c>
      <c r="E132" s="90"/>
      <c r="F132" s="90"/>
      <c r="G132" s="90">
        <f t="shared" si="34"/>
        <v>0</v>
      </c>
      <c r="H132" s="90"/>
      <c r="I132" s="91">
        <f t="shared" si="35"/>
        <v>0</v>
      </c>
      <c r="J132" s="92">
        <f t="shared" ref="J132:J133" si="71">I132*13.4</f>
        <v>0</v>
      </c>
      <c r="K132" s="92">
        <v>0</v>
      </c>
      <c r="L132" s="92">
        <f t="shared" si="36"/>
        <v>0</v>
      </c>
      <c r="M132" s="92">
        <f t="shared" ref="M132:M133" si="72">SUM(G132*H132)*150</f>
        <v>0</v>
      </c>
      <c r="N132" s="93">
        <f t="shared" si="37"/>
        <v>0</v>
      </c>
      <c r="O132" s="94"/>
      <c r="P132" s="95"/>
      <c r="Q132">
        <f t="shared" si="42"/>
        <v>0</v>
      </c>
    </row>
    <row r="133" spans="1:17" ht="18.899999999999999" customHeight="1">
      <c r="A133" s="96"/>
      <c r="B133" s="97" t="s">
        <v>45</v>
      </c>
      <c r="C133" s="98">
        <v>300</v>
      </c>
      <c r="D133" s="98">
        <v>150</v>
      </c>
      <c r="E133" s="98"/>
      <c r="F133" s="98"/>
      <c r="G133" s="98">
        <f t="shared" si="34"/>
        <v>0</v>
      </c>
      <c r="H133" s="98"/>
      <c r="I133" s="99">
        <f t="shared" si="35"/>
        <v>0</v>
      </c>
      <c r="J133" s="100">
        <f t="shared" si="71"/>
        <v>0</v>
      </c>
      <c r="K133" s="104">
        <v>0</v>
      </c>
      <c r="L133" s="104">
        <f t="shared" si="36"/>
        <v>0</v>
      </c>
      <c r="M133" s="100">
        <f t="shared" si="72"/>
        <v>0</v>
      </c>
      <c r="N133" s="102">
        <f t="shared" si="37"/>
        <v>0</v>
      </c>
      <c r="O133" s="94"/>
      <c r="P133" s="95"/>
      <c r="Q133">
        <f t="shared" si="42"/>
        <v>0</v>
      </c>
    </row>
    <row r="134" spans="1:17" ht="18.899999999999999" customHeight="1">
      <c r="A134" s="80" t="s">
        <v>87</v>
      </c>
      <c r="B134" s="81" t="s">
        <v>45</v>
      </c>
      <c r="C134" s="82">
        <v>900</v>
      </c>
      <c r="D134" s="82">
        <v>150</v>
      </c>
      <c r="E134" s="82"/>
      <c r="F134" s="82"/>
      <c r="G134" s="82">
        <f t="shared" si="34"/>
        <v>0</v>
      </c>
      <c r="H134" s="82"/>
      <c r="I134" s="83">
        <f t="shared" si="35"/>
        <v>0</v>
      </c>
      <c r="J134" s="84">
        <f>I134*13.4</f>
        <v>0</v>
      </c>
      <c r="K134" s="92">
        <v>0</v>
      </c>
      <c r="L134" s="103">
        <f t="shared" si="36"/>
        <v>0</v>
      </c>
      <c r="M134" s="84">
        <f>SUM(G134*H134)*150</f>
        <v>0</v>
      </c>
      <c r="N134" s="85">
        <f t="shared" si="37"/>
        <v>0</v>
      </c>
      <c r="O134" s="94"/>
      <c r="P134" s="95"/>
      <c r="Q134">
        <f t="shared" si="42"/>
        <v>0</v>
      </c>
    </row>
    <row r="135" spans="1:17" ht="18.899999999999999" customHeight="1">
      <c r="A135" s="88"/>
      <c r="B135" s="89" t="s">
        <v>45</v>
      </c>
      <c r="C135" s="90">
        <v>600</v>
      </c>
      <c r="D135" s="90">
        <v>150</v>
      </c>
      <c r="E135" s="90"/>
      <c r="F135" s="90"/>
      <c r="G135" s="90">
        <f t="shared" si="34"/>
        <v>0</v>
      </c>
      <c r="H135" s="90"/>
      <c r="I135" s="91">
        <f t="shared" si="35"/>
        <v>0</v>
      </c>
      <c r="J135" s="92">
        <f t="shared" ref="J135:J136" si="73">I135*13.4</f>
        <v>0</v>
      </c>
      <c r="K135" s="92">
        <v>0</v>
      </c>
      <c r="L135" s="92">
        <f t="shared" si="36"/>
        <v>0</v>
      </c>
      <c r="M135" s="92">
        <f t="shared" ref="M135:M136" si="74">SUM(G135*H135)*150</f>
        <v>0</v>
      </c>
      <c r="N135" s="93">
        <f t="shared" si="37"/>
        <v>0</v>
      </c>
      <c r="O135" s="94"/>
      <c r="P135" s="95"/>
      <c r="Q135">
        <f t="shared" si="42"/>
        <v>0</v>
      </c>
    </row>
    <row r="136" spans="1:17" ht="18.899999999999999" customHeight="1">
      <c r="A136" s="96"/>
      <c r="B136" s="97" t="s">
        <v>45</v>
      </c>
      <c r="C136" s="98">
        <v>300</v>
      </c>
      <c r="D136" s="98">
        <v>150</v>
      </c>
      <c r="E136" s="98"/>
      <c r="F136" s="98"/>
      <c r="G136" s="98">
        <f t="shared" ref="G136:G208" si="75">E136+F136</f>
        <v>0</v>
      </c>
      <c r="H136" s="98"/>
      <c r="I136" s="99">
        <f t="shared" si="35"/>
        <v>0</v>
      </c>
      <c r="J136" s="100">
        <f t="shared" si="73"/>
        <v>0</v>
      </c>
      <c r="K136" s="104">
        <v>0</v>
      </c>
      <c r="L136" s="104">
        <f t="shared" si="36"/>
        <v>0</v>
      </c>
      <c r="M136" s="100">
        <f t="shared" si="74"/>
        <v>0</v>
      </c>
      <c r="N136" s="102">
        <f t="shared" si="37"/>
        <v>0</v>
      </c>
      <c r="O136" s="94"/>
      <c r="P136" s="95"/>
      <c r="Q136">
        <f t="shared" si="42"/>
        <v>0</v>
      </c>
    </row>
    <row r="137" spans="1:17" ht="18.899999999999999" customHeight="1">
      <c r="A137" s="80" t="s">
        <v>88</v>
      </c>
      <c r="B137" s="81" t="s">
        <v>45</v>
      </c>
      <c r="C137" s="82">
        <v>900</v>
      </c>
      <c r="D137" s="82">
        <v>150</v>
      </c>
      <c r="E137" s="82"/>
      <c r="F137" s="82"/>
      <c r="G137" s="82">
        <f t="shared" si="75"/>
        <v>0</v>
      </c>
      <c r="H137" s="82"/>
      <c r="I137" s="83">
        <f t="shared" si="35"/>
        <v>0</v>
      </c>
      <c r="J137" s="84">
        <f>I137*13.4</f>
        <v>0</v>
      </c>
      <c r="K137" s="92">
        <v>0</v>
      </c>
      <c r="L137" s="103">
        <f t="shared" si="36"/>
        <v>0</v>
      </c>
      <c r="M137" s="84">
        <f>SUM(G137*H137)*150</f>
        <v>0</v>
      </c>
      <c r="N137" s="85">
        <f t="shared" si="37"/>
        <v>0</v>
      </c>
      <c r="O137" s="94"/>
      <c r="P137" s="95"/>
      <c r="Q137">
        <f t="shared" si="42"/>
        <v>0</v>
      </c>
    </row>
    <row r="138" spans="1:17" ht="18.899999999999999" customHeight="1">
      <c r="A138" s="88"/>
      <c r="B138" s="89" t="s">
        <v>45</v>
      </c>
      <c r="C138" s="90">
        <v>600</v>
      </c>
      <c r="D138" s="90">
        <v>150</v>
      </c>
      <c r="E138" s="90"/>
      <c r="F138" s="90"/>
      <c r="G138" s="90">
        <f t="shared" si="75"/>
        <v>0</v>
      </c>
      <c r="H138" s="90"/>
      <c r="I138" s="91">
        <f t="shared" si="35"/>
        <v>0</v>
      </c>
      <c r="J138" s="92">
        <f t="shared" ref="J138:J139" si="76">I138*13.4</f>
        <v>0</v>
      </c>
      <c r="K138" s="92">
        <v>0</v>
      </c>
      <c r="L138" s="92">
        <f t="shared" si="36"/>
        <v>0</v>
      </c>
      <c r="M138" s="92">
        <f t="shared" ref="M138:M139" si="77">SUM(G138*H138)*150</f>
        <v>0</v>
      </c>
      <c r="N138" s="93">
        <f t="shared" si="37"/>
        <v>0</v>
      </c>
      <c r="O138" s="94"/>
      <c r="P138" s="95"/>
      <c r="Q138">
        <f t="shared" si="42"/>
        <v>0</v>
      </c>
    </row>
    <row r="139" spans="1:17" ht="18.899999999999999" customHeight="1">
      <c r="A139" s="96"/>
      <c r="B139" s="97" t="s">
        <v>45</v>
      </c>
      <c r="C139" s="98">
        <v>300</v>
      </c>
      <c r="D139" s="98">
        <v>150</v>
      </c>
      <c r="E139" s="98"/>
      <c r="F139" s="98"/>
      <c r="G139" s="98">
        <f t="shared" si="75"/>
        <v>0</v>
      </c>
      <c r="H139" s="98"/>
      <c r="I139" s="99">
        <f t="shared" si="35"/>
        <v>0</v>
      </c>
      <c r="J139" s="100">
        <f t="shared" si="76"/>
        <v>0</v>
      </c>
      <c r="K139" s="104">
        <v>0</v>
      </c>
      <c r="L139" s="104">
        <f t="shared" si="36"/>
        <v>0</v>
      </c>
      <c r="M139" s="100">
        <f t="shared" si="77"/>
        <v>0</v>
      </c>
      <c r="N139" s="102">
        <f t="shared" si="37"/>
        <v>0</v>
      </c>
      <c r="O139" s="94"/>
      <c r="P139" s="95"/>
      <c r="Q139">
        <f t="shared" si="42"/>
        <v>0</v>
      </c>
    </row>
    <row r="140" spans="1:17" ht="18.899999999999999" customHeight="1">
      <c r="A140" s="80" t="s">
        <v>89</v>
      </c>
      <c r="B140" s="81" t="s">
        <v>45</v>
      </c>
      <c r="C140" s="82">
        <v>900</v>
      </c>
      <c r="D140" s="82">
        <v>150</v>
      </c>
      <c r="E140" s="82"/>
      <c r="F140" s="82"/>
      <c r="G140" s="82">
        <f t="shared" si="75"/>
        <v>0</v>
      </c>
      <c r="H140" s="82"/>
      <c r="I140" s="83">
        <f t="shared" si="35"/>
        <v>0</v>
      </c>
      <c r="J140" s="84">
        <f>I140*13.4</f>
        <v>0</v>
      </c>
      <c r="K140" s="92">
        <v>0</v>
      </c>
      <c r="L140" s="103">
        <f t="shared" si="36"/>
        <v>0</v>
      </c>
      <c r="M140" s="84">
        <f>SUM(G140*H140)*150</f>
        <v>0</v>
      </c>
      <c r="N140" s="85">
        <f t="shared" si="37"/>
        <v>0</v>
      </c>
      <c r="O140" s="94"/>
      <c r="P140" s="95"/>
      <c r="Q140">
        <f t="shared" si="42"/>
        <v>0</v>
      </c>
    </row>
    <row r="141" spans="1:17" ht="18.899999999999999" customHeight="1">
      <c r="A141" s="88"/>
      <c r="B141" s="89" t="s">
        <v>45</v>
      </c>
      <c r="C141" s="90">
        <v>600</v>
      </c>
      <c r="D141" s="90">
        <v>150</v>
      </c>
      <c r="E141" s="90"/>
      <c r="F141" s="90"/>
      <c r="G141" s="90">
        <f t="shared" si="75"/>
        <v>0</v>
      </c>
      <c r="H141" s="90"/>
      <c r="I141" s="91">
        <f t="shared" si="35"/>
        <v>0</v>
      </c>
      <c r="J141" s="92">
        <f t="shared" ref="J141:J142" si="78">I141*13.4</f>
        <v>0</v>
      </c>
      <c r="K141" s="92">
        <v>0</v>
      </c>
      <c r="L141" s="92">
        <f t="shared" si="36"/>
        <v>0</v>
      </c>
      <c r="M141" s="92">
        <f t="shared" ref="M141:M142" si="79">SUM(G141*H141)*150</f>
        <v>0</v>
      </c>
      <c r="N141" s="93">
        <f t="shared" si="37"/>
        <v>0</v>
      </c>
      <c r="O141" s="94"/>
      <c r="P141" s="95"/>
      <c r="Q141">
        <f t="shared" si="42"/>
        <v>0</v>
      </c>
    </row>
    <row r="142" spans="1:17" ht="18.899999999999999" customHeight="1">
      <c r="A142" s="96"/>
      <c r="B142" s="97" t="s">
        <v>45</v>
      </c>
      <c r="C142" s="98">
        <v>300</v>
      </c>
      <c r="D142" s="98">
        <v>150</v>
      </c>
      <c r="E142" s="98"/>
      <c r="F142" s="98"/>
      <c r="G142" s="98">
        <f t="shared" si="75"/>
        <v>0</v>
      </c>
      <c r="H142" s="98"/>
      <c r="I142" s="99">
        <f t="shared" si="35"/>
        <v>0</v>
      </c>
      <c r="J142" s="100">
        <f t="shared" si="78"/>
        <v>0</v>
      </c>
      <c r="K142" s="104">
        <v>0</v>
      </c>
      <c r="L142" s="104">
        <f t="shared" si="36"/>
        <v>0</v>
      </c>
      <c r="M142" s="100">
        <f t="shared" si="79"/>
        <v>0</v>
      </c>
      <c r="N142" s="102">
        <f t="shared" si="37"/>
        <v>0</v>
      </c>
      <c r="O142" s="94"/>
      <c r="P142" s="95"/>
      <c r="Q142">
        <f t="shared" si="42"/>
        <v>0</v>
      </c>
    </row>
    <row r="143" spans="1:17" ht="18.899999999999999" customHeight="1">
      <c r="A143" s="80" t="s">
        <v>90</v>
      </c>
      <c r="B143" s="81" t="s">
        <v>45</v>
      </c>
      <c r="C143" s="82">
        <v>900</v>
      </c>
      <c r="D143" s="82">
        <v>150</v>
      </c>
      <c r="E143" s="82"/>
      <c r="F143" s="82"/>
      <c r="G143" s="82">
        <f t="shared" si="75"/>
        <v>0</v>
      </c>
      <c r="H143" s="82"/>
      <c r="I143" s="83">
        <f t="shared" si="35"/>
        <v>0</v>
      </c>
      <c r="J143" s="84">
        <f>I143*13.4</f>
        <v>0</v>
      </c>
      <c r="K143" s="103">
        <f>(2.5*2*G143/3)</f>
        <v>0</v>
      </c>
      <c r="L143" s="103">
        <f t="shared" si="36"/>
        <v>0</v>
      </c>
      <c r="M143" s="84">
        <f>SUM(G143*H143)*150</f>
        <v>0</v>
      </c>
      <c r="N143" s="85">
        <f t="shared" si="37"/>
        <v>0</v>
      </c>
      <c r="O143" s="94"/>
      <c r="P143" s="95"/>
      <c r="Q143">
        <f t="shared" si="42"/>
        <v>0</v>
      </c>
    </row>
    <row r="144" spans="1:17" ht="18.899999999999999" customHeight="1">
      <c r="A144" s="88"/>
      <c r="B144" s="89" t="s">
        <v>45</v>
      </c>
      <c r="C144" s="90">
        <v>600</v>
      </c>
      <c r="D144" s="90">
        <v>150</v>
      </c>
      <c r="E144" s="90"/>
      <c r="F144" s="90"/>
      <c r="G144" s="90">
        <f t="shared" si="75"/>
        <v>0</v>
      </c>
      <c r="H144" s="90"/>
      <c r="I144" s="91">
        <f t="shared" si="35"/>
        <v>0</v>
      </c>
      <c r="J144" s="92">
        <f t="shared" ref="J144:J145" si="80">I144*13.4</f>
        <v>0</v>
      </c>
      <c r="K144" s="92">
        <v>0</v>
      </c>
      <c r="L144" s="92">
        <f t="shared" si="36"/>
        <v>0</v>
      </c>
      <c r="M144" s="92">
        <f t="shared" ref="M144:M145" si="81">SUM(G144*H144)*150</f>
        <v>0</v>
      </c>
      <c r="N144" s="93">
        <f t="shared" si="37"/>
        <v>0</v>
      </c>
      <c r="O144" s="94"/>
      <c r="P144" s="95"/>
      <c r="Q144">
        <f t="shared" si="42"/>
        <v>0</v>
      </c>
    </row>
    <row r="145" spans="1:17" ht="18.899999999999999" customHeight="1">
      <c r="A145" s="96"/>
      <c r="B145" s="97" t="s">
        <v>45</v>
      </c>
      <c r="C145" s="98">
        <v>300</v>
      </c>
      <c r="D145" s="98">
        <v>150</v>
      </c>
      <c r="E145" s="98"/>
      <c r="F145" s="98"/>
      <c r="G145" s="98">
        <f t="shared" si="75"/>
        <v>0</v>
      </c>
      <c r="H145" s="98"/>
      <c r="I145" s="99">
        <f t="shared" si="35"/>
        <v>0</v>
      </c>
      <c r="J145" s="100">
        <f t="shared" si="80"/>
        <v>0</v>
      </c>
      <c r="K145" s="104">
        <v>0</v>
      </c>
      <c r="L145" s="104">
        <f t="shared" si="36"/>
        <v>0</v>
      </c>
      <c r="M145" s="100">
        <f t="shared" si="81"/>
        <v>0</v>
      </c>
      <c r="N145" s="102">
        <f t="shared" si="37"/>
        <v>0</v>
      </c>
      <c r="O145" s="94"/>
      <c r="P145" s="95"/>
      <c r="Q145">
        <f t="shared" si="42"/>
        <v>0</v>
      </c>
    </row>
    <row r="146" spans="1:17" ht="18.899999999999999" customHeight="1">
      <c r="A146" s="105" t="s">
        <v>91</v>
      </c>
      <c r="B146" s="81" t="s">
        <v>45</v>
      </c>
      <c r="C146" s="82">
        <v>900</v>
      </c>
      <c r="D146" s="82">
        <v>150</v>
      </c>
      <c r="E146" s="82"/>
      <c r="F146" s="82"/>
      <c r="G146" s="82">
        <f t="shared" si="75"/>
        <v>0</v>
      </c>
      <c r="H146" s="82"/>
      <c r="I146" s="83">
        <f t="shared" si="35"/>
        <v>0</v>
      </c>
      <c r="J146" s="84">
        <f>I146*13.4</f>
        <v>0</v>
      </c>
      <c r="K146" s="103">
        <f>(2.5*1*G146/3)</f>
        <v>0</v>
      </c>
      <c r="L146" s="103">
        <f t="shared" si="36"/>
        <v>0</v>
      </c>
      <c r="M146" s="84">
        <f>SUM(G146*H146)*150</f>
        <v>0</v>
      </c>
      <c r="N146" s="85">
        <f t="shared" si="37"/>
        <v>0</v>
      </c>
      <c r="O146" s="94"/>
      <c r="P146" s="95"/>
      <c r="Q146">
        <f t="shared" si="42"/>
        <v>0</v>
      </c>
    </row>
    <row r="147" spans="1:17" ht="18.899999999999999" customHeight="1">
      <c r="A147" s="88"/>
      <c r="B147" s="89" t="s">
        <v>45</v>
      </c>
      <c r="C147" s="90">
        <v>600</v>
      </c>
      <c r="D147" s="90">
        <v>150</v>
      </c>
      <c r="E147" s="90"/>
      <c r="F147" s="90"/>
      <c r="G147" s="90">
        <f t="shared" si="75"/>
        <v>0</v>
      </c>
      <c r="H147" s="90"/>
      <c r="I147" s="91">
        <f t="shared" si="35"/>
        <v>0</v>
      </c>
      <c r="J147" s="92">
        <f t="shared" ref="J147:J148" si="82">I147*13.4</f>
        <v>0</v>
      </c>
      <c r="K147" s="92">
        <v>0</v>
      </c>
      <c r="L147" s="92">
        <f t="shared" si="36"/>
        <v>0</v>
      </c>
      <c r="M147" s="92">
        <f t="shared" ref="M147:M148" si="83">SUM(G147*H147)*150</f>
        <v>0</v>
      </c>
      <c r="N147" s="93">
        <f t="shared" si="37"/>
        <v>0</v>
      </c>
      <c r="O147" s="94"/>
      <c r="P147" s="95"/>
      <c r="Q147">
        <f t="shared" si="42"/>
        <v>0</v>
      </c>
    </row>
    <row r="148" spans="1:17" ht="18.899999999999999" customHeight="1">
      <c r="A148" s="96"/>
      <c r="B148" s="97" t="s">
        <v>45</v>
      </c>
      <c r="C148" s="98">
        <v>300</v>
      </c>
      <c r="D148" s="98">
        <v>150</v>
      </c>
      <c r="E148" s="98"/>
      <c r="F148" s="98"/>
      <c r="G148" s="98">
        <f t="shared" si="75"/>
        <v>0</v>
      </c>
      <c r="H148" s="98"/>
      <c r="I148" s="99">
        <f t="shared" si="35"/>
        <v>0</v>
      </c>
      <c r="J148" s="100">
        <f t="shared" si="82"/>
        <v>0</v>
      </c>
      <c r="K148" s="104">
        <v>0</v>
      </c>
      <c r="L148" s="104">
        <f t="shared" si="36"/>
        <v>0</v>
      </c>
      <c r="M148" s="100">
        <f t="shared" si="83"/>
        <v>0</v>
      </c>
      <c r="N148" s="102">
        <f t="shared" si="37"/>
        <v>0</v>
      </c>
      <c r="O148" s="94"/>
      <c r="P148" s="95"/>
      <c r="Q148">
        <f t="shared" si="42"/>
        <v>0</v>
      </c>
    </row>
    <row r="149" spans="1:17" ht="18.899999999999999" customHeight="1">
      <c r="A149" s="80" t="s">
        <v>92</v>
      </c>
      <c r="B149" s="81" t="s">
        <v>45</v>
      </c>
      <c r="C149" s="82">
        <v>900</v>
      </c>
      <c r="D149" s="82">
        <v>150</v>
      </c>
      <c r="E149" s="82"/>
      <c r="F149" s="82"/>
      <c r="G149" s="82">
        <f t="shared" si="75"/>
        <v>0</v>
      </c>
      <c r="H149" s="82"/>
      <c r="I149" s="83">
        <f t="shared" si="35"/>
        <v>0</v>
      </c>
      <c r="J149" s="84">
        <f>I149*13.4</f>
        <v>0</v>
      </c>
      <c r="K149" s="103">
        <f>(2.5*1*G149/3)</f>
        <v>0</v>
      </c>
      <c r="L149" s="103">
        <f t="shared" si="36"/>
        <v>0</v>
      </c>
      <c r="M149" s="84">
        <f>SUM(G149*H149)*150</f>
        <v>0</v>
      </c>
      <c r="N149" s="85">
        <f t="shared" si="37"/>
        <v>0</v>
      </c>
      <c r="O149" s="94"/>
      <c r="P149" s="95"/>
      <c r="Q149">
        <f t="shared" si="42"/>
        <v>0</v>
      </c>
    </row>
    <row r="150" spans="1:17" ht="18.899999999999999" customHeight="1">
      <c r="A150" s="88"/>
      <c r="B150" s="89" t="s">
        <v>45</v>
      </c>
      <c r="C150" s="90">
        <v>600</v>
      </c>
      <c r="D150" s="90">
        <v>150</v>
      </c>
      <c r="E150" s="90"/>
      <c r="F150" s="90"/>
      <c r="G150" s="90">
        <f t="shared" si="75"/>
        <v>0</v>
      </c>
      <c r="H150" s="90"/>
      <c r="I150" s="91">
        <f t="shared" si="35"/>
        <v>0</v>
      </c>
      <c r="J150" s="92">
        <f t="shared" ref="J150:J151" si="84">I150*13.4</f>
        <v>0</v>
      </c>
      <c r="K150" s="92">
        <v>0</v>
      </c>
      <c r="L150" s="92">
        <f t="shared" si="36"/>
        <v>0</v>
      </c>
      <c r="M150" s="92">
        <f t="shared" ref="M150:M151" si="85">SUM(G150*H150)*150</f>
        <v>0</v>
      </c>
      <c r="N150" s="93">
        <f t="shared" si="37"/>
        <v>0</v>
      </c>
      <c r="O150" s="94"/>
      <c r="P150" s="95"/>
      <c r="Q150">
        <f t="shared" si="42"/>
        <v>0</v>
      </c>
    </row>
    <row r="151" spans="1:17" ht="18.899999999999999" customHeight="1">
      <c r="A151" s="96"/>
      <c r="B151" s="97" t="s">
        <v>45</v>
      </c>
      <c r="C151" s="98">
        <v>300</v>
      </c>
      <c r="D151" s="98">
        <v>150</v>
      </c>
      <c r="E151" s="98"/>
      <c r="F151" s="98"/>
      <c r="G151" s="98">
        <f t="shared" si="75"/>
        <v>0</v>
      </c>
      <c r="H151" s="98"/>
      <c r="I151" s="99">
        <f t="shared" si="35"/>
        <v>0</v>
      </c>
      <c r="J151" s="100">
        <f t="shared" si="84"/>
        <v>0</v>
      </c>
      <c r="K151" s="104">
        <v>0</v>
      </c>
      <c r="L151" s="104">
        <f t="shared" si="36"/>
        <v>0</v>
      </c>
      <c r="M151" s="100">
        <f t="shared" si="85"/>
        <v>0</v>
      </c>
      <c r="N151" s="102">
        <f t="shared" si="37"/>
        <v>0</v>
      </c>
      <c r="O151" s="94"/>
      <c r="P151" s="95"/>
      <c r="Q151">
        <f t="shared" si="42"/>
        <v>0</v>
      </c>
    </row>
    <row r="152" spans="1:17" ht="18.899999999999999" customHeight="1">
      <c r="A152" s="80" t="s">
        <v>93</v>
      </c>
      <c r="B152" s="81" t="s">
        <v>45</v>
      </c>
      <c r="C152" s="82">
        <v>900</v>
      </c>
      <c r="D152" s="82">
        <v>150</v>
      </c>
      <c r="E152" s="82"/>
      <c r="F152" s="82"/>
      <c r="G152" s="82">
        <f t="shared" si="75"/>
        <v>0</v>
      </c>
      <c r="H152" s="82"/>
      <c r="I152" s="83">
        <f t="shared" si="35"/>
        <v>0</v>
      </c>
      <c r="J152" s="84">
        <f>I152*13.4</f>
        <v>0</v>
      </c>
      <c r="K152" s="103">
        <f>(2.5*1*G152/3)</f>
        <v>0</v>
      </c>
      <c r="L152" s="103">
        <f t="shared" si="36"/>
        <v>0</v>
      </c>
      <c r="M152" s="84">
        <f>SUM(G152*H152)*150</f>
        <v>0</v>
      </c>
      <c r="N152" s="85">
        <f t="shared" si="37"/>
        <v>0</v>
      </c>
      <c r="O152" s="94"/>
      <c r="P152" s="95"/>
      <c r="Q152">
        <f t="shared" si="42"/>
        <v>0</v>
      </c>
    </row>
    <row r="153" spans="1:17" ht="18.899999999999999" customHeight="1">
      <c r="A153" s="88"/>
      <c r="B153" s="89" t="s">
        <v>45</v>
      </c>
      <c r="C153" s="90">
        <v>600</v>
      </c>
      <c r="D153" s="90">
        <v>150</v>
      </c>
      <c r="E153" s="90"/>
      <c r="F153" s="90"/>
      <c r="G153" s="90">
        <f t="shared" si="75"/>
        <v>0</v>
      </c>
      <c r="H153" s="90"/>
      <c r="I153" s="91">
        <f t="shared" si="35"/>
        <v>0</v>
      </c>
      <c r="J153" s="92">
        <f t="shared" ref="J153:J154" si="86">I153*13.4</f>
        <v>0</v>
      </c>
      <c r="K153" s="92">
        <v>0</v>
      </c>
      <c r="L153" s="92">
        <f t="shared" si="36"/>
        <v>0</v>
      </c>
      <c r="M153" s="92">
        <f t="shared" ref="M153:M154" si="87">SUM(G153*H153)*150</f>
        <v>0</v>
      </c>
      <c r="N153" s="93">
        <f t="shared" si="37"/>
        <v>0</v>
      </c>
      <c r="O153" s="94"/>
      <c r="P153" s="95"/>
      <c r="Q153">
        <f t="shared" si="42"/>
        <v>0</v>
      </c>
    </row>
    <row r="154" spans="1:17" ht="18.899999999999999" customHeight="1">
      <c r="A154" s="96"/>
      <c r="B154" s="97" t="s">
        <v>45</v>
      </c>
      <c r="C154" s="98">
        <v>300</v>
      </c>
      <c r="D154" s="98">
        <v>150</v>
      </c>
      <c r="E154" s="98"/>
      <c r="F154" s="98"/>
      <c r="G154" s="98">
        <f t="shared" si="75"/>
        <v>0</v>
      </c>
      <c r="H154" s="98"/>
      <c r="I154" s="99">
        <f t="shared" si="35"/>
        <v>0</v>
      </c>
      <c r="J154" s="100">
        <f t="shared" si="86"/>
        <v>0</v>
      </c>
      <c r="K154" s="104">
        <v>0</v>
      </c>
      <c r="L154" s="104">
        <f t="shared" si="36"/>
        <v>0</v>
      </c>
      <c r="M154" s="100">
        <f t="shared" si="87"/>
        <v>0</v>
      </c>
      <c r="N154" s="102">
        <f t="shared" si="37"/>
        <v>0</v>
      </c>
      <c r="O154" s="94"/>
      <c r="P154" s="95"/>
      <c r="Q154">
        <f t="shared" si="42"/>
        <v>0</v>
      </c>
    </row>
    <row r="155" spans="1:17" ht="18.899999999999999" customHeight="1">
      <c r="A155" s="80" t="s">
        <v>94</v>
      </c>
      <c r="B155" s="81" t="s">
        <v>45</v>
      </c>
      <c r="C155" s="82">
        <v>900</v>
      </c>
      <c r="D155" s="82">
        <v>150</v>
      </c>
      <c r="E155" s="82"/>
      <c r="F155" s="82"/>
      <c r="G155" s="82">
        <f t="shared" si="75"/>
        <v>0</v>
      </c>
      <c r="H155" s="82"/>
      <c r="I155" s="83">
        <f t="shared" ref="I155:I208" si="88">1.5*H155*G155/3</f>
        <v>0</v>
      </c>
      <c r="J155" s="84">
        <f>I155*13.4</f>
        <v>0</v>
      </c>
      <c r="K155" s="103"/>
      <c r="L155" s="103">
        <f t="shared" ref="L155:L208" si="89">K155*31.5</f>
        <v>0</v>
      </c>
      <c r="M155" s="84">
        <f>SUM(G155*H155)*150</f>
        <v>0</v>
      </c>
      <c r="N155" s="85">
        <f t="shared" ref="N155:N208" si="90">J155+M155+L155</f>
        <v>0</v>
      </c>
      <c r="O155" s="94"/>
      <c r="P155" s="95"/>
      <c r="Q155">
        <f t="shared" si="42"/>
        <v>0</v>
      </c>
    </row>
    <row r="156" spans="1:17" ht="18.899999999999999" customHeight="1">
      <c r="A156" s="88"/>
      <c r="B156" s="89" t="s">
        <v>45</v>
      </c>
      <c r="C156" s="90">
        <v>600</v>
      </c>
      <c r="D156" s="90">
        <v>150</v>
      </c>
      <c r="E156" s="90"/>
      <c r="F156" s="90"/>
      <c r="G156" s="90">
        <f t="shared" si="75"/>
        <v>0</v>
      </c>
      <c r="H156" s="90"/>
      <c r="I156" s="91">
        <f t="shared" si="88"/>
        <v>0</v>
      </c>
      <c r="J156" s="92">
        <f t="shared" ref="J156:J157" si="91">I156*13.4</f>
        <v>0</v>
      </c>
      <c r="K156" s="92">
        <v>0</v>
      </c>
      <c r="L156" s="92">
        <f t="shared" si="89"/>
        <v>0</v>
      </c>
      <c r="M156" s="92">
        <f t="shared" ref="M156:M157" si="92">SUM(G156*H156)*150</f>
        <v>0</v>
      </c>
      <c r="N156" s="93">
        <f t="shared" si="90"/>
        <v>0</v>
      </c>
      <c r="O156" s="94"/>
      <c r="P156" s="95"/>
      <c r="Q156">
        <f t="shared" si="42"/>
        <v>0</v>
      </c>
    </row>
    <row r="157" spans="1:17" ht="18.899999999999999" customHeight="1">
      <c r="A157" s="96"/>
      <c r="B157" s="97" t="s">
        <v>45</v>
      </c>
      <c r="C157" s="98">
        <v>300</v>
      </c>
      <c r="D157" s="98">
        <v>150</v>
      </c>
      <c r="E157" s="98"/>
      <c r="F157" s="98"/>
      <c r="G157" s="98">
        <f t="shared" si="75"/>
        <v>0</v>
      </c>
      <c r="H157" s="98"/>
      <c r="I157" s="99">
        <f t="shared" si="88"/>
        <v>0</v>
      </c>
      <c r="J157" s="100">
        <f t="shared" si="91"/>
        <v>0</v>
      </c>
      <c r="K157" s="104">
        <v>0</v>
      </c>
      <c r="L157" s="104">
        <f t="shared" si="89"/>
        <v>0</v>
      </c>
      <c r="M157" s="100">
        <f t="shared" si="92"/>
        <v>0</v>
      </c>
      <c r="N157" s="102">
        <f t="shared" si="90"/>
        <v>0</v>
      </c>
      <c r="O157" s="94"/>
      <c r="P157" s="95"/>
      <c r="Q157">
        <f t="shared" si="42"/>
        <v>0</v>
      </c>
    </row>
    <row r="158" spans="1:17" ht="18.899999999999999" customHeight="1">
      <c r="A158" s="105" t="s">
        <v>95</v>
      </c>
      <c r="B158" s="81" t="s">
        <v>45</v>
      </c>
      <c r="C158" s="82">
        <v>900</v>
      </c>
      <c r="D158" s="82">
        <v>150</v>
      </c>
      <c r="E158" s="82"/>
      <c r="F158" s="82"/>
      <c r="G158" s="82">
        <f t="shared" si="75"/>
        <v>0</v>
      </c>
      <c r="H158" s="82"/>
      <c r="I158" s="83">
        <f t="shared" si="88"/>
        <v>0</v>
      </c>
      <c r="J158" s="84">
        <f>I158*13.4</f>
        <v>0</v>
      </c>
      <c r="K158" s="103">
        <f>(2.5*2*G158/3)</f>
        <v>0</v>
      </c>
      <c r="L158" s="103">
        <f t="shared" si="89"/>
        <v>0</v>
      </c>
      <c r="M158" s="84">
        <f>SUM(G158*H158)*150</f>
        <v>0</v>
      </c>
      <c r="N158" s="85">
        <f t="shared" si="90"/>
        <v>0</v>
      </c>
      <c r="O158" s="94"/>
      <c r="P158" s="95"/>
      <c r="Q158">
        <f t="shared" si="42"/>
        <v>0</v>
      </c>
    </row>
    <row r="159" spans="1:17" ht="18.899999999999999" customHeight="1">
      <c r="A159" s="88"/>
      <c r="B159" s="89" t="s">
        <v>45</v>
      </c>
      <c r="C159" s="90">
        <v>600</v>
      </c>
      <c r="D159" s="90">
        <v>150</v>
      </c>
      <c r="E159" s="90"/>
      <c r="F159" s="90"/>
      <c r="G159" s="90">
        <f t="shared" si="75"/>
        <v>0</v>
      </c>
      <c r="H159" s="90"/>
      <c r="I159" s="91">
        <f t="shared" si="88"/>
        <v>0</v>
      </c>
      <c r="J159" s="92">
        <f t="shared" ref="J159:J160" si="93">I159*13.4</f>
        <v>0</v>
      </c>
      <c r="K159" s="92">
        <v>0</v>
      </c>
      <c r="L159" s="92">
        <f t="shared" si="89"/>
        <v>0</v>
      </c>
      <c r="M159" s="92">
        <f t="shared" ref="M159:M160" si="94">SUM(G159*H159)*150</f>
        <v>0</v>
      </c>
      <c r="N159" s="93">
        <f t="shared" si="90"/>
        <v>0</v>
      </c>
      <c r="O159" s="94"/>
      <c r="P159" s="95"/>
      <c r="Q159">
        <f t="shared" si="42"/>
        <v>0</v>
      </c>
    </row>
    <row r="160" spans="1:17" ht="18.899999999999999" customHeight="1">
      <c r="A160" s="96"/>
      <c r="B160" s="97" t="s">
        <v>45</v>
      </c>
      <c r="C160" s="98">
        <v>300</v>
      </c>
      <c r="D160" s="98">
        <v>150</v>
      </c>
      <c r="E160" s="98"/>
      <c r="F160" s="98"/>
      <c r="G160" s="98">
        <f t="shared" si="75"/>
        <v>0</v>
      </c>
      <c r="H160" s="98"/>
      <c r="I160" s="99">
        <f t="shared" si="88"/>
        <v>0</v>
      </c>
      <c r="J160" s="100">
        <f t="shared" si="93"/>
        <v>0</v>
      </c>
      <c r="K160" s="104">
        <v>0</v>
      </c>
      <c r="L160" s="104">
        <f t="shared" si="89"/>
        <v>0</v>
      </c>
      <c r="M160" s="100">
        <f t="shared" si="94"/>
        <v>0</v>
      </c>
      <c r="N160" s="102">
        <f t="shared" si="90"/>
        <v>0</v>
      </c>
      <c r="O160" s="94"/>
      <c r="P160" s="95"/>
      <c r="Q160">
        <f t="shared" si="42"/>
        <v>0</v>
      </c>
    </row>
    <row r="161" spans="1:17" ht="18.899999999999999" hidden="1" customHeight="1">
      <c r="A161" s="106" t="s">
        <v>96</v>
      </c>
      <c r="B161" s="81" t="s">
        <v>45</v>
      </c>
      <c r="C161" s="82">
        <v>900</v>
      </c>
      <c r="D161" s="82">
        <v>150</v>
      </c>
      <c r="E161" s="82"/>
      <c r="F161" s="82"/>
      <c r="G161" s="82">
        <f t="shared" si="75"/>
        <v>0</v>
      </c>
      <c r="H161" s="82"/>
      <c r="I161" s="83">
        <f t="shared" si="88"/>
        <v>0</v>
      </c>
      <c r="J161" s="84">
        <f>I161*13.4</f>
        <v>0</v>
      </c>
      <c r="K161" s="92">
        <v>0</v>
      </c>
      <c r="L161" s="103">
        <f t="shared" si="89"/>
        <v>0</v>
      </c>
      <c r="M161" s="84">
        <f>SUM(G161*H161)*150</f>
        <v>0</v>
      </c>
      <c r="N161" s="85">
        <f t="shared" si="90"/>
        <v>0</v>
      </c>
      <c r="O161" s="94"/>
      <c r="P161" s="95"/>
      <c r="Q161">
        <f t="shared" si="42"/>
        <v>0</v>
      </c>
    </row>
    <row r="162" spans="1:17" ht="18.899999999999999" hidden="1" customHeight="1">
      <c r="A162" s="88"/>
      <c r="B162" s="89" t="s">
        <v>45</v>
      </c>
      <c r="C162" s="90">
        <v>600</v>
      </c>
      <c r="D162" s="90">
        <v>150</v>
      </c>
      <c r="E162" s="90"/>
      <c r="F162" s="90"/>
      <c r="G162" s="90">
        <f t="shared" si="75"/>
        <v>0</v>
      </c>
      <c r="H162" s="90"/>
      <c r="I162" s="91">
        <f t="shared" si="88"/>
        <v>0</v>
      </c>
      <c r="J162" s="92">
        <f t="shared" ref="J162:J163" si="95">I162*13.4</f>
        <v>0</v>
      </c>
      <c r="K162" s="92">
        <v>0</v>
      </c>
      <c r="L162" s="92">
        <f t="shared" si="89"/>
        <v>0</v>
      </c>
      <c r="M162" s="92">
        <f t="shared" ref="M162:M163" si="96">SUM(G162*H162)*150</f>
        <v>0</v>
      </c>
      <c r="N162" s="93">
        <f t="shared" si="90"/>
        <v>0</v>
      </c>
      <c r="O162" s="94"/>
      <c r="P162" s="95"/>
      <c r="Q162">
        <f t="shared" si="42"/>
        <v>0</v>
      </c>
    </row>
    <row r="163" spans="1:17" ht="18.899999999999999" hidden="1" customHeight="1">
      <c r="A163" s="96"/>
      <c r="B163" s="97" t="s">
        <v>45</v>
      </c>
      <c r="C163" s="98">
        <v>300</v>
      </c>
      <c r="D163" s="98">
        <v>150</v>
      </c>
      <c r="E163" s="98"/>
      <c r="F163" s="98"/>
      <c r="G163" s="98">
        <f t="shared" si="75"/>
        <v>0</v>
      </c>
      <c r="H163" s="98"/>
      <c r="I163" s="99">
        <f t="shared" si="88"/>
        <v>0</v>
      </c>
      <c r="J163" s="100">
        <f t="shared" si="95"/>
        <v>0</v>
      </c>
      <c r="K163" s="104">
        <v>0</v>
      </c>
      <c r="L163" s="104">
        <f t="shared" si="89"/>
        <v>0</v>
      </c>
      <c r="M163" s="100">
        <f t="shared" si="96"/>
        <v>0</v>
      </c>
      <c r="N163" s="102">
        <f t="shared" si="90"/>
        <v>0</v>
      </c>
      <c r="O163" s="94"/>
      <c r="P163" s="95"/>
      <c r="Q163">
        <f t="shared" si="42"/>
        <v>0</v>
      </c>
    </row>
    <row r="164" spans="1:17" ht="18.899999999999999" customHeight="1">
      <c r="A164" s="80" t="s">
        <v>97</v>
      </c>
      <c r="B164" s="81" t="s">
        <v>45</v>
      </c>
      <c r="C164" s="82">
        <v>900</v>
      </c>
      <c r="D164" s="82">
        <v>150</v>
      </c>
      <c r="E164" s="82"/>
      <c r="F164" s="82"/>
      <c r="G164" s="82">
        <f t="shared" si="75"/>
        <v>0</v>
      </c>
      <c r="H164" s="82"/>
      <c r="I164" s="83">
        <f t="shared" si="88"/>
        <v>0</v>
      </c>
      <c r="J164" s="84">
        <f>I164*13.4</f>
        <v>0</v>
      </c>
      <c r="K164" s="103">
        <f>(2.5*1*G164/3)</f>
        <v>0</v>
      </c>
      <c r="L164" s="103">
        <f t="shared" si="89"/>
        <v>0</v>
      </c>
      <c r="M164" s="84">
        <f>SUM(G164*H164)*150</f>
        <v>0</v>
      </c>
      <c r="N164" s="85">
        <f t="shared" si="90"/>
        <v>0</v>
      </c>
      <c r="O164" s="94"/>
      <c r="P164" s="95"/>
      <c r="Q164">
        <f t="shared" si="42"/>
        <v>0</v>
      </c>
    </row>
    <row r="165" spans="1:17" ht="18.899999999999999" customHeight="1">
      <c r="A165" s="88"/>
      <c r="B165" s="89" t="s">
        <v>45</v>
      </c>
      <c r="C165" s="90">
        <v>600</v>
      </c>
      <c r="D165" s="90">
        <v>150</v>
      </c>
      <c r="E165" s="90"/>
      <c r="F165" s="90"/>
      <c r="G165" s="90">
        <f t="shared" si="75"/>
        <v>0</v>
      </c>
      <c r="H165" s="90"/>
      <c r="I165" s="91">
        <f t="shared" si="88"/>
        <v>0</v>
      </c>
      <c r="J165" s="92">
        <f t="shared" ref="J165:J166" si="97">I165*13.4</f>
        <v>0</v>
      </c>
      <c r="K165" s="92">
        <v>0</v>
      </c>
      <c r="L165" s="92">
        <f t="shared" si="89"/>
        <v>0</v>
      </c>
      <c r="M165" s="92">
        <f t="shared" ref="M165:M166" si="98">SUM(G165*H165)*150</f>
        <v>0</v>
      </c>
      <c r="N165" s="93">
        <f t="shared" si="90"/>
        <v>0</v>
      </c>
      <c r="O165" s="94"/>
      <c r="P165" s="95"/>
      <c r="Q165">
        <f t="shared" si="42"/>
        <v>0</v>
      </c>
    </row>
    <row r="166" spans="1:17" ht="18.899999999999999" customHeight="1">
      <c r="A166" s="96"/>
      <c r="B166" s="97" t="s">
        <v>45</v>
      </c>
      <c r="C166" s="98">
        <v>300</v>
      </c>
      <c r="D166" s="98">
        <v>150</v>
      </c>
      <c r="E166" s="98"/>
      <c r="F166" s="98"/>
      <c r="G166" s="98">
        <f t="shared" si="75"/>
        <v>0</v>
      </c>
      <c r="H166" s="98"/>
      <c r="I166" s="99">
        <f t="shared" si="88"/>
        <v>0</v>
      </c>
      <c r="J166" s="100">
        <f t="shared" si="97"/>
        <v>0</v>
      </c>
      <c r="K166" s="104">
        <v>0</v>
      </c>
      <c r="L166" s="104">
        <f t="shared" si="89"/>
        <v>0</v>
      </c>
      <c r="M166" s="100">
        <f t="shared" si="98"/>
        <v>0</v>
      </c>
      <c r="N166" s="102">
        <f t="shared" si="90"/>
        <v>0</v>
      </c>
      <c r="O166" s="94"/>
      <c r="P166" s="95"/>
      <c r="Q166">
        <f t="shared" si="42"/>
        <v>0</v>
      </c>
    </row>
    <row r="167" spans="1:17" ht="18.899999999999999" customHeight="1">
      <c r="A167" s="80" t="s">
        <v>98</v>
      </c>
      <c r="B167" s="81" t="s">
        <v>45</v>
      </c>
      <c r="C167" s="82">
        <v>900</v>
      </c>
      <c r="D167" s="82">
        <v>150</v>
      </c>
      <c r="E167" s="82"/>
      <c r="F167" s="82"/>
      <c r="G167" s="82">
        <f t="shared" si="75"/>
        <v>0</v>
      </c>
      <c r="H167" s="82"/>
      <c r="I167" s="83">
        <f t="shared" si="88"/>
        <v>0</v>
      </c>
      <c r="J167" s="84">
        <f>I167*13.4</f>
        <v>0</v>
      </c>
      <c r="K167" s="92">
        <v>0</v>
      </c>
      <c r="L167" s="103">
        <f t="shared" si="89"/>
        <v>0</v>
      </c>
      <c r="M167" s="84">
        <f>SUM(G167*H167)*150</f>
        <v>0</v>
      </c>
      <c r="N167" s="85">
        <f t="shared" si="90"/>
        <v>0</v>
      </c>
      <c r="O167" s="94"/>
      <c r="P167" s="95"/>
      <c r="Q167">
        <f t="shared" si="42"/>
        <v>0</v>
      </c>
    </row>
    <row r="168" spans="1:17" ht="18.899999999999999" customHeight="1">
      <c r="A168" s="88"/>
      <c r="B168" s="89" t="s">
        <v>45</v>
      </c>
      <c r="C168" s="90">
        <v>600</v>
      </c>
      <c r="D168" s="90">
        <v>150</v>
      </c>
      <c r="E168" s="90"/>
      <c r="F168" s="90"/>
      <c r="G168" s="90">
        <f t="shared" si="75"/>
        <v>0</v>
      </c>
      <c r="H168" s="90"/>
      <c r="I168" s="91">
        <f t="shared" si="88"/>
        <v>0</v>
      </c>
      <c r="J168" s="92">
        <f t="shared" ref="J168:J169" si="99">I168*13.4</f>
        <v>0</v>
      </c>
      <c r="K168" s="92">
        <v>0</v>
      </c>
      <c r="L168" s="92">
        <f t="shared" si="89"/>
        <v>0</v>
      </c>
      <c r="M168" s="92">
        <f t="shared" ref="M168:M169" si="100">SUM(G168*H168)*150</f>
        <v>0</v>
      </c>
      <c r="N168" s="93">
        <f t="shared" si="90"/>
        <v>0</v>
      </c>
      <c r="O168" s="94"/>
      <c r="P168" s="95"/>
      <c r="Q168">
        <f t="shared" si="42"/>
        <v>0</v>
      </c>
    </row>
    <row r="169" spans="1:17" ht="18.899999999999999" customHeight="1">
      <c r="A169" s="96"/>
      <c r="B169" s="97" t="s">
        <v>45</v>
      </c>
      <c r="C169" s="98">
        <v>300</v>
      </c>
      <c r="D169" s="98">
        <v>150</v>
      </c>
      <c r="E169" s="98"/>
      <c r="F169" s="98"/>
      <c r="G169" s="98">
        <f t="shared" si="75"/>
        <v>0</v>
      </c>
      <c r="H169" s="98"/>
      <c r="I169" s="99">
        <f t="shared" si="88"/>
        <v>0</v>
      </c>
      <c r="J169" s="100">
        <f t="shared" si="99"/>
        <v>0</v>
      </c>
      <c r="K169" s="104">
        <v>0</v>
      </c>
      <c r="L169" s="104">
        <f t="shared" si="89"/>
        <v>0</v>
      </c>
      <c r="M169" s="100">
        <f t="shared" si="100"/>
        <v>0</v>
      </c>
      <c r="N169" s="102">
        <f t="shared" si="90"/>
        <v>0</v>
      </c>
      <c r="O169" s="94"/>
      <c r="P169" s="95"/>
      <c r="Q169">
        <f t="shared" si="42"/>
        <v>0</v>
      </c>
    </row>
    <row r="170" spans="1:17" ht="18.899999999999999" customHeight="1">
      <c r="A170" s="80" t="s">
        <v>99</v>
      </c>
      <c r="B170" s="81" t="s">
        <v>45</v>
      </c>
      <c r="C170" s="82">
        <v>900</v>
      </c>
      <c r="D170" s="82">
        <v>150</v>
      </c>
      <c r="E170" s="82"/>
      <c r="F170" s="82"/>
      <c r="G170" s="82">
        <f t="shared" si="75"/>
        <v>0</v>
      </c>
      <c r="H170" s="82"/>
      <c r="I170" s="83">
        <f t="shared" si="88"/>
        <v>0</v>
      </c>
      <c r="J170" s="84">
        <f>I170*13.4</f>
        <v>0</v>
      </c>
      <c r="K170" s="92">
        <v>0</v>
      </c>
      <c r="L170" s="103">
        <f t="shared" si="89"/>
        <v>0</v>
      </c>
      <c r="M170" s="84">
        <f>SUM(G170*H170)*150</f>
        <v>0</v>
      </c>
      <c r="N170" s="85">
        <f t="shared" si="90"/>
        <v>0</v>
      </c>
      <c r="O170" s="94"/>
      <c r="P170" s="95"/>
      <c r="Q170">
        <f t="shared" si="42"/>
        <v>0</v>
      </c>
    </row>
    <row r="171" spans="1:17" ht="18.899999999999999" customHeight="1">
      <c r="A171" s="88"/>
      <c r="B171" s="89" t="s">
        <v>45</v>
      </c>
      <c r="C171" s="90">
        <v>600</v>
      </c>
      <c r="D171" s="90">
        <v>150</v>
      </c>
      <c r="E171" s="90"/>
      <c r="F171" s="90"/>
      <c r="G171" s="90">
        <f t="shared" si="75"/>
        <v>0</v>
      </c>
      <c r="H171" s="90"/>
      <c r="I171" s="91">
        <f t="shared" si="88"/>
        <v>0</v>
      </c>
      <c r="J171" s="92">
        <f t="shared" ref="J171:J172" si="101">I171*13.4</f>
        <v>0</v>
      </c>
      <c r="K171" s="92">
        <v>0</v>
      </c>
      <c r="L171" s="92">
        <f t="shared" si="89"/>
        <v>0</v>
      </c>
      <c r="M171" s="92">
        <f t="shared" ref="M171:M172" si="102">SUM(G171*H171)*150</f>
        <v>0</v>
      </c>
      <c r="N171" s="93">
        <f t="shared" si="90"/>
        <v>0</v>
      </c>
      <c r="O171" s="94"/>
      <c r="P171" s="95"/>
      <c r="Q171">
        <f t="shared" si="42"/>
        <v>0</v>
      </c>
    </row>
    <row r="172" spans="1:17" ht="18.899999999999999" customHeight="1">
      <c r="A172" s="96"/>
      <c r="B172" s="97" t="s">
        <v>45</v>
      </c>
      <c r="C172" s="98">
        <v>300</v>
      </c>
      <c r="D172" s="98">
        <v>150</v>
      </c>
      <c r="E172" s="98"/>
      <c r="F172" s="98"/>
      <c r="G172" s="98">
        <f t="shared" si="75"/>
        <v>0</v>
      </c>
      <c r="H172" s="98"/>
      <c r="I172" s="99">
        <f t="shared" si="88"/>
        <v>0</v>
      </c>
      <c r="J172" s="100">
        <f t="shared" si="101"/>
        <v>0</v>
      </c>
      <c r="K172" s="104">
        <v>0</v>
      </c>
      <c r="L172" s="104">
        <f t="shared" si="89"/>
        <v>0</v>
      </c>
      <c r="M172" s="100">
        <f t="shared" si="102"/>
        <v>0</v>
      </c>
      <c r="N172" s="102">
        <f t="shared" si="90"/>
        <v>0</v>
      </c>
      <c r="O172" s="94"/>
      <c r="P172" s="95"/>
      <c r="Q172">
        <f t="shared" si="42"/>
        <v>0</v>
      </c>
    </row>
    <row r="173" spans="1:17" ht="18.899999999999999" customHeight="1">
      <c r="A173" s="80" t="s">
        <v>100</v>
      </c>
      <c r="B173" s="81" t="s">
        <v>45</v>
      </c>
      <c r="C173" s="82">
        <v>900</v>
      </c>
      <c r="D173" s="82">
        <v>150</v>
      </c>
      <c r="E173" s="82"/>
      <c r="F173" s="82"/>
      <c r="G173" s="82">
        <f t="shared" si="75"/>
        <v>0</v>
      </c>
      <c r="H173" s="82"/>
      <c r="I173" s="83">
        <f t="shared" si="88"/>
        <v>0</v>
      </c>
      <c r="J173" s="84">
        <f>I173*13.4</f>
        <v>0</v>
      </c>
      <c r="K173" s="103">
        <f>(2.5*1*G173/3)</f>
        <v>0</v>
      </c>
      <c r="L173" s="103">
        <f t="shared" si="89"/>
        <v>0</v>
      </c>
      <c r="M173" s="84">
        <f>SUM(G173*H173)*150</f>
        <v>0</v>
      </c>
      <c r="N173" s="85">
        <f t="shared" si="90"/>
        <v>0</v>
      </c>
      <c r="O173" s="94"/>
      <c r="P173" s="95"/>
      <c r="Q173">
        <f t="shared" si="42"/>
        <v>0</v>
      </c>
    </row>
    <row r="174" spans="1:17" ht="18.899999999999999" customHeight="1">
      <c r="A174" s="88"/>
      <c r="B174" s="89" t="s">
        <v>45</v>
      </c>
      <c r="C174" s="90">
        <v>600</v>
      </c>
      <c r="D174" s="90">
        <v>150</v>
      </c>
      <c r="E174" s="90"/>
      <c r="F174" s="90"/>
      <c r="G174" s="90">
        <f t="shared" si="75"/>
        <v>0</v>
      </c>
      <c r="H174" s="90"/>
      <c r="I174" s="91">
        <f t="shared" si="88"/>
        <v>0</v>
      </c>
      <c r="J174" s="92">
        <f t="shared" ref="J174:J175" si="103">I174*13.4</f>
        <v>0</v>
      </c>
      <c r="K174" s="92">
        <v>0</v>
      </c>
      <c r="L174" s="92">
        <f t="shared" si="89"/>
        <v>0</v>
      </c>
      <c r="M174" s="92">
        <f t="shared" ref="M174:M175" si="104">SUM(G174*H174)*150</f>
        <v>0</v>
      </c>
      <c r="N174" s="93">
        <f t="shared" si="90"/>
        <v>0</v>
      </c>
      <c r="O174" s="94"/>
      <c r="P174" s="95"/>
      <c r="Q174">
        <f t="shared" si="42"/>
        <v>0</v>
      </c>
    </row>
    <row r="175" spans="1:17" ht="18.899999999999999" customHeight="1">
      <c r="A175" s="96"/>
      <c r="B175" s="97" t="s">
        <v>45</v>
      </c>
      <c r="C175" s="98">
        <v>300</v>
      </c>
      <c r="D175" s="98">
        <v>150</v>
      </c>
      <c r="E175" s="98"/>
      <c r="F175" s="98"/>
      <c r="G175" s="98">
        <f t="shared" si="75"/>
        <v>0</v>
      </c>
      <c r="H175" s="98"/>
      <c r="I175" s="99">
        <f t="shared" si="88"/>
        <v>0</v>
      </c>
      <c r="J175" s="100">
        <f t="shared" si="103"/>
        <v>0</v>
      </c>
      <c r="K175" s="104">
        <v>0</v>
      </c>
      <c r="L175" s="104">
        <f t="shared" si="89"/>
        <v>0</v>
      </c>
      <c r="M175" s="100">
        <f t="shared" si="104"/>
        <v>0</v>
      </c>
      <c r="N175" s="102">
        <f t="shared" si="90"/>
        <v>0</v>
      </c>
      <c r="O175" s="94"/>
      <c r="P175" s="95"/>
      <c r="Q175">
        <f t="shared" si="42"/>
        <v>0</v>
      </c>
    </row>
    <row r="176" spans="1:17" ht="18.899999999999999" customHeight="1">
      <c r="A176" s="80" t="s">
        <v>101</v>
      </c>
      <c r="B176" s="81" t="s">
        <v>45</v>
      </c>
      <c r="C176" s="82">
        <v>900</v>
      </c>
      <c r="D176" s="82">
        <v>150</v>
      </c>
      <c r="E176" s="82"/>
      <c r="F176" s="82"/>
      <c r="G176" s="82">
        <f t="shared" si="75"/>
        <v>0</v>
      </c>
      <c r="H176" s="82"/>
      <c r="I176" s="83">
        <f t="shared" si="88"/>
        <v>0</v>
      </c>
      <c r="J176" s="84">
        <f>I176*13.4</f>
        <v>0</v>
      </c>
      <c r="K176" s="92">
        <v>0</v>
      </c>
      <c r="L176" s="103">
        <f t="shared" si="89"/>
        <v>0</v>
      </c>
      <c r="M176" s="84">
        <f>SUM(G176*H176)*150</f>
        <v>0</v>
      </c>
      <c r="N176" s="85">
        <f t="shared" si="90"/>
        <v>0</v>
      </c>
      <c r="O176" s="94"/>
      <c r="P176" s="95"/>
      <c r="Q176">
        <f t="shared" si="42"/>
        <v>0</v>
      </c>
    </row>
    <row r="177" spans="1:17" ht="18.899999999999999" customHeight="1">
      <c r="A177" s="88"/>
      <c r="B177" s="89" t="s">
        <v>45</v>
      </c>
      <c r="C177" s="90">
        <v>600</v>
      </c>
      <c r="D177" s="90">
        <v>150</v>
      </c>
      <c r="E177" s="90"/>
      <c r="F177" s="90"/>
      <c r="G177" s="90">
        <f t="shared" si="75"/>
        <v>0</v>
      </c>
      <c r="H177" s="90"/>
      <c r="I177" s="91">
        <f t="shared" si="88"/>
        <v>0</v>
      </c>
      <c r="J177" s="92">
        <f t="shared" ref="J177:J178" si="105">I177*13.4</f>
        <v>0</v>
      </c>
      <c r="K177" s="92">
        <v>0</v>
      </c>
      <c r="L177" s="92">
        <f t="shared" si="89"/>
        <v>0</v>
      </c>
      <c r="M177" s="92">
        <f t="shared" ref="M177:M178" si="106">SUM(G177*H177)*150</f>
        <v>0</v>
      </c>
      <c r="N177" s="93">
        <f t="shared" si="90"/>
        <v>0</v>
      </c>
      <c r="O177" s="94"/>
      <c r="P177" s="95"/>
      <c r="Q177">
        <f t="shared" si="42"/>
        <v>0</v>
      </c>
    </row>
    <row r="178" spans="1:17" ht="18.899999999999999" customHeight="1">
      <c r="A178" s="96"/>
      <c r="B178" s="97" t="s">
        <v>45</v>
      </c>
      <c r="C178" s="98">
        <v>300</v>
      </c>
      <c r="D178" s="98">
        <v>150</v>
      </c>
      <c r="E178" s="98"/>
      <c r="F178" s="98"/>
      <c r="G178" s="98">
        <f t="shared" si="75"/>
        <v>0</v>
      </c>
      <c r="H178" s="98"/>
      <c r="I178" s="99">
        <f t="shared" si="88"/>
        <v>0</v>
      </c>
      <c r="J178" s="100">
        <f t="shared" si="105"/>
        <v>0</v>
      </c>
      <c r="K178" s="104">
        <v>0</v>
      </c>
      <c r="L178" s="104">
        <f t="shared" si="89"/>
        <v>0</v>
      </c>
      <c r="M178" s="100">
        <f t="shared" si="106"/>
        <v>0</v>
      </c>
      <c r="N178" s="102">
        <f t="shared" si="90"/>
        <v>0</v>
      </c>
      <c r="O178" s="94"/>
      <c r="P178" s="95"/>
      <c r="Q178">
        <f t="shared" si="42"/>
        <v>0</v>
      </c>
    </row>
    <row r="179" spans="1:17" ht="18.899999999999999" customHeight="1">
      <c r="A179" s="80" t="s">
        <v>102</v>
      </c>
      <c r="B179" s="81" t="s">
        <v>45</v>
      </c>
      <c r="C179" s="82">
        <v>900</v>
      </c>
      <c r="D179" s="82">
        <v>150</v>
      </c>
      <c r="E179" s="82"/>
      <c r="F179" s="82"/>
      <c r="G179" s="82">
        <f t="shared" si="75"/>
        <v>0</v>
      </c>
      <c r="H179" s="82"/>
      <c r="I179" s="83">
        <f t="shared" si="88"/>
        <v>0</v>
      </c>
      <c r="J179" s="84">
        <f>I179*13.4</f>
        <v>0</v>
      </c>
      <c r="K179" s="92">
        <v>0</v>
      </c>
      <c r="L179" s="103">
        <f t="shared" si="89"/>
        <v>0</v>
      </c>
      <c r="M179" s="84">
        <f>SUM(G179*H179)*150</f>
        <v>0</v>
      </c>
      <c r="N179" s="85">
        <f t="shared" si="90"/>
        <v>0</v>
      </c>
      <c r="O179" s="94"/>
      <c r="P179" s="95"/>
      <c r="Q179">
        <f t="shared" ref="Q179:Q208" si="107">G179*H179</f>
        <v>0</v>
      </c>
    </row>
    <row r="180" spans="1:17" ht="18.899999999999999" customHeight="1">
      <c r="A180" s="88"/>
      <c r="B180" s="89" t="s">
        <v>45</v>
      </c>
      <c r="C180" s="90">
        <v>600</v>
      </c>
      <c r="D180" s="90">
        <v>150</v>
      </c>
      <c r="E180" s="90"/>
      <c r="F180" s="90"/>
      <c r="G180" s="90">
        <f t="shared" si="75"/>
        <v>0</v>
      </c>
      <c r="H180" s="90"/>
      <c r="I180" s="91">
        <f t="shared" si="88"/>
        <v>0</v>
      </c>
      <c r="J180" s="92">
        <f t="shared" ref="J180:J181" si="108">I180*13.4</f>
        <v>0</v>
      </c>
      <c r="K180" s="92">
        <v>0</v>
      </c>
      <c r="L180" s="92">
        <f t="shared" si="89"/>
        <v>0</v>
      </c>
      <c r="M180" s="92">
        <f t="shared" ref="M180:M181" si="109">SUM(G180*H180)*150</f>
        <v>0</v>
      </c>
      <c r="N180" s="93">
        <f t="shared" si="90"/>
        <v>0</v>
      </c>
      <c r="O180" s="94"/>
      <c r="P180" s="95"/>
      <c r="Q180">
        <f t="shared" si="107"/>
        <v>0</v>
      </c>
    </row>
    <row r="181" spans="1:17" ht="18.899999999999999" customHeight="1">
      <c r="A181" s="96"/>
      <c r="B181" s="97" t="s">
        <v>45</v>
      </c>
      <c r="C181" s="98">
        <v>300</v>
      </c>
      <c r="D181" s="98">
        <v>150</v>
      </c>
      <c r="E181" s="98"/>
      <c r="F181" s="98"/>
      <c r="G181" s="98">
        <f t="shared" si="75"/>
        <v>0</v>
      </c>
      <c r="H181" s="98"/>
      <c r="I181" s="99">
        <f t="shared" si="88"/>
        <v>0</v>
      </c>
      <c r="J181" s="100">
        <f t="shared" si="108"/>
        <v>0</v>
      </c>
      <c r="K181" s="104">
        <v>0</v>
      </c>
      <c r="L181" s="104">
        <f t="shared" si="89"/>
        <v>0</v>
      </c>
      <c r="M181" s="100">
        <f t="shared" si="109"/>
        <v>0</v>
      </c>
      <c r="N181" s="102">
        <f t="shared" si="90"/>
        <v>0</v>
      </c>
      <c r="O181" s="94"/>
      <c r="P181" s="95"/>
      <c r="Q181">
        <f t="shared" si="107"/>
        <v>0</v>
      </c>
    </row>
    <row r="182" spans="1:17" ht="18.899999999999999" customHeight="1">
      <c r="A182" s="80" t="s">
        <v>103</v>
      </c>
      <c r="B182" s="81" t="s">
        <v>45</v>
      </c>
      <c r="C182" s="82">
        <v>900</v>
      </c>
      <c r="D182" s="82">
        <v>150</v>
      </c>
      <c r="E182" s="82"/>
      <c r="F182" s="82"/>
      <c r="G182" s="82">
        <f t="shared" si="75"/>
        <v>0</v>
      </c>
      <c r="H182" s="82"/>
      <c r="I182" s="83">
        <f t="shared" si="88"/>
        <v>0</v>
      </c>
      <c r="J182" s="84">
        <f>I182*13.4</f>
        <v>0</v>
      </c>
      <c r="K182" s="92">
        <v>0</v>
      </c>
      <c r="L182" s="103">
        <f t="shared" si="89"/>
        <v>0</v>
      </c>
      <c r="M182" s="84">
        <f>SUM(G182*H182)*150</f>
        <v>0</v>
      </c>
      <c r="N182" s="85">
        <f t="shared" si="90"/>
        <v>0</v>
      </c>
      <c r="O182" s="94"/>
      <c r="P182" s="95"/>
      <c r="Q182">
        <f t="shared" si="107"/>
        <v>0</v>
      </c>
    </row>
    <row r="183" spans="1:17" ht="18.899999999999999" customHeight="1">
      <c r="A183" s="88"/>
      <c r="B183" s="89" t="s">
        <v>45</v>
      </c>
      <c r="C183" s="90">
        <v>600</v>
      </c>
      <c r="D183" s="90">
        <v>150</v>
      </c>
      <c r="E183" s="90"/>
      <c r="F183" s="90"/>
      <c r="G183" s="90">
        <f t="shared" si="75"/>
        <v>0</v>
      </c>
      <c r="H183" s="90"/>
      <c r="I183" s="91">
        <f t="shared" si="88"/>
        <v>0</v>
      </c>
      <c r="J183" s="92">
        <f t="shared" ref="J183:J184" si="110">I183*13.4</f>
        <v>0</v>
      </c>
      <c r="K183" s="92">
        <v>0</v>
      </c>
      <c r="L183" s="92">
        <f t="shared" si="89"/>
        <v>0</v>
      </c>
      <c r="M183" s="92">
        <f t="shared" ref="M183:M184" si="111">SUM(G183*H183)*150</f>
        <v>0</v>
      </c>
      <c r="N183" s="93">
        <f t="shared" si="90"/>
        <v>0</v>
      </c>
      <c r="O183" s="94"/>
      <c r="P183" s="95"/>
      <c r="Q183">
        <f t="shared" si="107"/>
        <v>0</v>
      </c>
    </row>
    <row r="184" spans="1:17" ht="18.899999999999999" customHeight="1">
      <c r="A184" s="96"/>
      <c r="B184" s="97" t="s">
        <v>45</v>
      </c>
      <c r="C184" s="98">
        <v>300</v>
      </c>
      <c r="D184" s="98">
        <v>150</v>
      </c>
      <c r="E184" s="98"/>
      <c r="F184" s="98"/>
      <c r="G184" s="98">
        <f t="shared" si="75"/>
        <v>0</v>
      </c>
      <c r="H184" s="98"/>
      <c r="I184" s="99">
        <f t="shared" si="88"/>
        <v>0</v>
      </c>
      <c r="J184" s="100">
        <f t="shared" si="110"/>
        <v>0</v>
      </c>
      <c r="K184" s="104">
        <v>0</v>
      </c>
      <c r="L184" s="104">
        <f t="shared" si="89"/>
        <v>0</v>
      </c>
      <c r="M184" s="100">
        <f t="shared" si="111"/>
        <v>0</v>
      </c>
      <c r="N184" s="102">
        <f t="shared" si="90"/>
        <v>0</v>
      </c>
      <c r="O184" s="94"/>
      <c r="P184" s="95"/>
      <c r="Q184">
        <f t="shared" si="107"/>
        <v>0</v>
      </c>
    </row>
    <row r="185" spans="1:17" ht="18.899999999999999" customHeight="1">
      <c r="A185" s="80" t="s">
        <v>104</v>
      </c>
      <c r="B185" s="81" t="s">
        <v>45</v>
      </c>
      <c r="C185" s="82">
        <v>900</v>
      </c>
      <c r="D185" s="82">
        <v>150</v>
      </c>
      <c r="E185" s="82"/>
      <c r="F185" s="82"/>
      <c r="G185" s="82">
        <f t="shared" si="75"/>
        <v>0</v>
      </c>
      <c r="H185" s="82"/>
      <c r="I185" s="83">
        <f t="shared" si="88"/>
        <v>0</v>
      </c>
      <c r="J185" s="84">
        <f>I185*13.4</f>
        <v>0</v>
      </c>
      <c r="K185" s="103"/>
      <c r="L185" s="103">
        <f t="shared" si="89"/>
        <v>0</v>
      </c>
      <c r="M185" s="84">
        <f>SUM(G185*H185)*150</f>
        <v>0</v>
      </c>
      <c r="N185" s="85">
        <f t="shared" si="90"/>
        <v>0</v>
      </c>
      <c r="O185" s="94"/>
      <c r="P185" s="95"/>
      <c r="Q185">
        <f t="shared" si="107"/>
        <v>0</v>
      </c>
    </row>
    <row r="186" spans="1:17" ht="18.899999999999999" customHeight="1">
      <c r="A186" s="88"/>
      <c r="B186" s="89" t="s">
        <v>45</v>
      </c>
      <c r="C186" s="90">
        <v>600</v>
      </c>
      <c r="D186" s="90">
        <v>150</v>
      </c>
      <c r="E186" s="90"/>
      <c r="F186" s="90"/>
      <c r="G186" s="90">
        <f t="shared" si="75"/>
        <v>0</v>
      </c>
      <c r="H186" s="90"/>
      <c r="I186" s="91">
        <f t="shared" si="88"/>
        <v>0</v>
      </c>
      <c r="J186" s="92">
        <f t="shared" ref="J186:J187" si="112">I186*13.4</f>
        <v>0</v>
      </c>
      <c r="K186" s="92">
        <v>0</v>
      </c>
      <c r="L186" s="92">
        <f t="shared" si="89"/>
        <v>0</v>
      </c>
      <c r="M186" s="92">
        <f t="shared" ref="M186:M187" si="113">SUM(G186*H186)*150</f>
        <v>0</v>
      </c>
      <c r="N186" s="93">
        <f t="shared" si="90"/>
        <v>0</v>
      </c>
      <c r="O186" s="94"/>
      <c r="P186" s="95"/>
      <c r="Q186">
        <f t="shared" si="107"/>
        <v>0</v>
      </c>
    </row>
    <row r="187" spans="1:17" ht="18.899999999999999" customHeight="1">
      <c r="A187" s="96"/>
      <c r="B187" s="97" t="s">
        <v>45</v>
      </c>
      <c r="C187" s="98">
        <v>300</v>
      </c>
      <c r="D187" s="98">
        <v>150</v>
      </c>
      <c r="E187" s="98"/>
      <c r="F187" s="98"/>
      <c r="G187" s="98">
        <f t="shared" si="75"/>
        <v>0</v>
      </c>
      <c r="H187" s="98"/>
      <c r="I187" s="99">
        <f t="shared" si="88"/>
        <v>0</v>
      </c>
      <c r="J187" s="100">
        <f t="shared" si="112"/>
        <v>0</v>
      </c>
      <c r="K187" s="104">
        <v>0</v>
      </c>
      <c r="L187" s="104">
        <f t="shared" si="89"/>
        <v>0</v>
      </c>
      <c r="M187" s="100">
        <f t="shared" si="113"/>
        <v>0</v>
      </c>
      <c r="N187" s="102">
        <f t="shared" si="90"/>
        <v>0</v>
      </c>
      <c r="O187" s="94"/>
      <c r="P187" s="95"/>
      <c r="Q187">
        <f t="shared" si="107"/>
        <v>0</v>
      </c>
    </row>
    <row r="188" spans="1:17" ht="18.899999999999999" customHeight="1">
      <c r="A188" s="80" t="s">
        <v>105</v>
      </c>
      <c r="B188" s="81" t="s">
        <v>45</v>
      </c>
      <c r="C188" s="82">
        <v>900</v>
      </c>
      <c r="D188" s="82">
        <v>150</v>
      </c>
      <c r="E188" s="82"/>
      <c r="F188" s="82"/>
      <c r="G188" s="82">
        <f t="shared" si="75"/>
        <v>0</v>
      </c>
      <c r="H188" s="82"/>
      <c r="I188" s="83">
        <f t="shared" si="88"/>
        <v>0</v>
      </c>
      <c r="J188" s="84">
        <f>I188*13.4</f>
        <v>0</v>
      </c>
      <c r="K188" s="103"/>
      <c r="L188" s="103">
        <f t="shared" si="89"/>
        <v>0</v>
      </c>
      <c r="M188" s="84">
        <f>SUM(G188*H188)*150</f>
        <v>0</v>
      </c>
      <c r="N188" s="85">
        <f t="shared" si="90"/>
        <v>0</v>
      </c>
      <c r="O188" s="94"/>
      <c r="P188" s="95"/>
      <c r="Q188">
        <f t="shared" si="107"/>
        <v>0</v>
      </c>
    </row>
    <row r="189" spans="1:17" ht="18.899999999999999" customHeight="1">
      <c r="A189" s="88"/>
      <c r="B189" s="89" t="s">
        <v>45</v>
      </c>
      <c r="C189" s="90">
        <v>600</v>
      </c>
      <c r="D189" s="90">
        <v>150</v>
      </c>
      <c r="E189" s="90"/>
      <c r="F189" s="90"/>
      <c r="G189" s="90">
        <f t="shared" si="75"/>
        <v>0</v>
      </c>
      <c r="H189" s="90"/>
      <c r="I189" s="91">
        <f t="shared" si="88"/>
        <v>0</v>
      </c>
      <c r="J189" s="92">
        <f t="shared" ref="J189:J190" si="114">I189*13.4</f>
        <v>0</v>
      </c>
      <c r="K189" s="92">
        <v>0</v>
      </c>
      <c r="L189" s="92">
        <f t="shared" si="89"/>
        <v>0</v>
      </c>
      <c r="M189" s="92">
        <f t="shared" ref="M189:M190" si="115">SUM(G189*H189)*150</f>
        <v>0</v>
      </c>
      <c r="N189" s="93">
        <f t="shared" si="90"/>
        <v>0</v>
      </c>
      <c r="O189" s="94"/>
      <c r="P189" s="95"/>
      <c r="Q189">
        <f t="shared" si="107"/>
        <v>0</v>
      </c>
    </row>
    <row r="190" spans="1:17" ht="18.899999999999999" customHeight="1">
      <c r="A190" s="96"/>
      <c r="B190" s="97" t="s">
        <v>45</v>
      </c>
      <c r="C190" s="98">
        <v>300</v>
      </c>
      <c r="D190" s="98">
        <v>150</v>
      </c>
      <c r="E190" s="98"/>
      <c r="F190" s="98"/>
      <c r="G190" s="98">
        <f t="shared" si="75"/>
        <v>0</v>
      </c>
      <c r="H190" s="98"/>
      <c r="I190" s="99">
        <f t="shared" si="88"/>
        <v>0</v>
      </c>
      <c r="J190" s="100">
        <f t="shared" si="114"/>
        <v>0</v>
      </c>
      <c r="K190" s="104">
        <v>0</v>
      </c>
      <c r="L190" s="104">
        <f t="shared" si="89"/>
        <v>0</v>
      </c>
      <c r="M190" s="100">
        <f t="shared" si="115"/>
        <v>0</v>
      </c>
      <c r="N190" s="102">
        <f t="shared" si="90"/>
        <v>0</v>
      </c>
      <c r="O190" s="94"/>
      <c r="P190" s="95"/>
      <c r="Q190">
        <f t="shared" si="107"/>
        <v>0</v>
      </c>
    </row>
    <row r="191" spans="1:17" ht="18.899999999999999" customHeight="1">
      <c r="A191" s="80" t="s">
        <v>106</v>
      </c>
      <c r="B191" s="81" t="s">
        <v>45</v>
      </c>
      <c r="C191" s="82">
        <v>900</v>
      </c>
      <c r="D191" s="82">
        <v>150</v>
      </c>
      <c r="E191" s="82"/>
      <c r="F191" s="82"/>
      <c r="G191" s="82">
        <f t="shared" si="75"/>
        <v>0</v>
      </c>
      <c r="H191" s="82"/>
      <c r="I191" s="83">
        <f t="shared" si="88"/>
        <v>0</v>
      </c>
      <c r="J191" s="84">
        <f>I191*13.4</f>
        <v>0</v>
      </c>
      <c r="K191" s="92">
        <v>0</v>
      </c>
      <c r="L191" s="103">
        <f t="shared" si="89"/>
        <v>0</v>
      </c>
      <c r="M191" s="84">
        <f>SUM(G191*H191)*150</f>
        <v>0</v>
      </c>
      <c r="N191" s="85">
        <f t="shared" si="90"/>
        <v>0</v>
      </c>
      <c r="O191" s="94"/>
      <c r="P191" s="95"/>
      <c r="Q191">
        <f t="shared" si="107"/>
        <v>0</v>
      </c>
    </row>
    <row r="192" spans="1:17" ht="18.899999999999999" customHeight="1">
      <c r="A192" s="88"/>
      <c r="B192" s="89" t="s">
        <v>45</v>
      </c>
      <c r="C192" s="90">
        <v>600</v>
      </c>
      <c r="D192" s="90">
        <v>150</v>
      </c>
      <c r="E192" s="90"/>
      <c r="F192" s="90"/>
      <c r="G192" s="90">
        <f t="shared" si="75"/>
        <v>0</v>
      </c>
      <c r="H192" s="90"/>
      <c r="I192" s="91">
        <f t="shared" si="88"/>
        <v>0</v>
      </c>
      <c r="J192" s="92">
        <f t="shared" ref="J192:J193" si="116">I192*13.4</f>
        <v>0</v>
      </c>
      <c r="K192" s="92">
        <v>0</v>
      </c>
      <c r="L192" s="92">
        <f t="shared" si="89"/>
        <v>0</v>
      </c>
      <c r="M192" s="92">
        <f t="shared" ref="M192:M193" si="117">SUM(G192*H192)*150</f>
        <v>0</v>
      </c>
      <c r="N192" s="93">
        <f t="shared" si="90"/>
        <v>0</v>
      </c>
      <c r="O192" s="94"/>
      <c r="P192" s="95"/>
      <c r="Q192">
        <f t="shared" si="107"/>
        <v>0</v>
      </c>
    </row>
    <row r="193" spans="1:17" ht="18.899999999999999" customHeight="1">
      <c r="A193" s="96"/>
      <c r="B193" s="97" t="s">
        <v>45</v>
      </c>
      <c r="C193" s="98">
        <v>300</v>
      </c>
      <c r="D193" s="98">
        <v>150</v>
      </c>
      <c r="E193" s="98"/>
      <c r="F193" s="98"/>
      <c r="G193" s="98">
        <f t="shared" si="75"/>
        <v>0</v>
      </c>
      <c r="H193" s="98"/>
      <c r="I193" s="99">
        <f t="shared" si="88"/>
        <v>0</v>
      </c>
      <c r="J193" s="100">
        <f t="shared" si="116"/>
        <v>0</v>
      </c>
      <c r="K193" s="104">
        <v>0</v>
      </c>
      <c r="L193" s="104">
        <f t="shared" si="89"/>
        <v>0</v>
      </c>
      <c r="M193" s="100">
        <f t="shared" si="117"/>
        <v>0</v>
      </c>
      <c r="N193" s="102">
        <f t="shared" si="90"/>
        <v>0</v>
      </c>
      <c r="O193" s="94"/>
      <c r="P193" s="95"/>
      <c r="Q193">
        <f t="shared" si="107"/>
        <v>0</v>
      </c>
    </row>
    <row r="194" spans="1:17" ht="18.899999999999999" customHeight="1">
      <c r="A194" s="80" t="s">
        <v>107</v>
      </c>
      <c r="B194" s="81" t="s">
        <v>45</v>
      </c>
      <c r="C194" s="82">
        <v>900</v>
      </c>
      <c r="D194" s="82">
        <v>150</v>
      </c>
      <c r="E194" s="82"/>
      <c r="F194" s="82"/>
      <c r="G194" s="82">
        <f t="shared" si="75"/>
        <v>0</v>
      </c>
      <c r="H194" s="82"/>
      <c r="I194" s="83">
        <f>1.5*H194*G194/3</f>
        <v>0</v>
      </c>
      <c r="J194" s="84">
        <f>I194*13.4</f>
        <v>0</v>
      </c>
      <c r="K194" s="92">
        <v>0</v>
      </c>
      <c r="L194" s="103">
        <f t="shared" si="89"/>
        <v>0</v>
      </c>
      <c r="M194" s="84">
        <f>SUM(G194*H194)*150</f>
        <v>0</v>
      </c>
      <c r="N194" s="85">
        <f t="shared" si="90"/>
        <v>0</v>
      </c>
      <c r="O194" s="94"/>
      <c r="P194" s="95"/>
      <c r="Q194">
        <f t="shared" si="107"/>
        <v>0</v>
      </c>
    </row>
    <row r="195" spans="1:17" ht="18.899999999999999" customHeight="1">
      <c r="A195" s="88"/>
      <c r="B195" s="89" t="s">
        <v>45</v>
      </c>
      <c r="C195" s="90">
        <v>600</v>
      </c>
      <c r="D195" s="90">
        <v>150</v>
      </c>
      <c r="E195" s="90"/>
      <c r="F195" s="90"/>
      <c r="G195" s="90">
        <f t="shared" si="75"/>
        <v>0</v>
      </c>
      <c r="H195" s="90"/>
      <c r="I195" s="91">
        <f t="shared" si="88"/>
        <v>0</v>
      </c>
      <c r="J195" s="92">
        <f t="shared" ref="J195:J196" si="118">I195*13.4</f>
        <v>0</v>
      </c>
      <c r="K195" s="92">
        <v>0</v>
      </c>
      <c r="L195" s="92">
        <f t="shared" si="89"/>
        <v>0</v>
      </c>
      <c r="M195" s="92">
        <f t="shared" ref="M195:M196" si="119">SUM(G195*H195)*150</f>
        <v>0</v>
      </c>
      <c r="N195" s="93">
        <f t="shared" si="90"/>
        <v>0</v>
      </c>
      <c r="O195" s="94"/>
      <c r="P195" s="95"/>
      <c r="Q195">
        <f t="shared" si="107"/>
        <v>0</v>
      </c>
    </row>
    <row r="196" spans="1:17" ht="18.899999999999999" customHeight="1">
      <c r="A196" s="96"/>
      <c r="B196" s="97" t="s">
        <v>45</v>
      </c>
      <c r="C196" s="98">
        <v>300</v>
      </c>
      <c r="D196" s="98">
        <v>150</v>
      </c>
      <c r="E196" s="98"/>
      <c r="F196" s="98"/>
      <c r="G196" s="98">
        <f t="shared" si="75"/>
        <v>0</v>
      </c>
      <c r="H196" s="98"/>
      <c r="I196" s="99">
        <f t="shared" si="88"/>
        <v>0</v>
      </c>
      <c r="J196" s="100">
        <f t="shared" si="118"/>
        <v>0</v>
      </c>
      <c r="K196" s="104">
        <v>0</v>
      </c>
      <c r="L196" s="104">
        <f t="shared" si="89"/>
        <v>0</v>
      </c>
      <c r="M196" s="100">
        <f t="shared" si="119"/>
        <v>0</v>
      </c>
      <c r="N196" s="102">
        <f t="shared" si="90"/>
        <v>0</v>
      </c>
      <c r="O196" s="94"/>
      <c r="P196" s="95"/>
      <c r="Q196">
        <f t="shared" si="107"/>
        <v>0</v>
      </c>
    </row>
    <row r="197" spans="1:17" ht="18.899999999999999" customHeight="1">
      <c r="A197" s="80" t="s">
        <v>108</v>
      </c>
      <c r="B197" s="81" t="s">
        <v>45</v>
      </c>
      <c r="C197" s="82">
        <v>900</v>
      </c>
      <c r="D197" s="82">
        <v>150</v>
      </c>
      <c r="E197" s="82"/>
      <c r="F197" s="82"/>
      <c r="G197" s="82">
        <f t="shared" si="75"/>
        <v>0</v>
      </c>
      <c r="H197" s="82"/>
      <c r="I197" s="83">
        <f t="shared" si="88"/>
        <v>0</v>
      </c>
      <c r="J197" s="84">
        <f>I197*13.4</f>
        <v>0</v>
      </c>
      <c r="K197" s="92">
        <v>0</v>
      </c>
      <c r="L197" s="103">
        <f t="shared" si="89"/>
        <v>0</v>
      </c>
      <c r="M197" s="84">
        <f>SUM(G197*H197)*150</f>
        <v>0</v>
      </c>
      <c r="N197" s="85">
        <f t="shared" si="90"/>
        <v>0</v>
      </c>
      <c r="O197" s="94"/>
      <c r="P197" s="95"/>
      <c r="Q197">
        <f t="shared" si="107"/>
        <v>0</v>
      </c>
    </row>
    <row r="198" spans="1:17" ht="18.899999999999999" customHeight="1">
      <c r="A198" s="88"/>
      <c r="B198" s="89" t="s">
        <v>45</v>
      </c>
      <c r="C198" s="90">
        <v>600</v>
      </c>
      <c r="D198" s="90">
        <v>150</v>
      </c>
      <c r="E198" s="90"/>
      <c r="F198" s="90"/>
      <c r="G198" s="90">
        <f t="shared" si="75"/>
        <v>0</v>
      </c>
      <c r="H198" s="90"/>
      <c r="I198" s="91">
        <f t="shared" si="88"/>
        <v>0</v>
      </c>
      <c r="J198" s="92">
        <f t="shared" ref="J198:J199" si="120">I198*13.4</f>
        <v>0</v>
      </c>
      <c r="K198" s="92">
        <v>0</v>
      </c>
      <c r="L198" s="92">
        <f t="shared" si="89"/>
        <v>0</v>
      </c>
      <c r="M198" s="92">
        <f t="shared" ref="M198:M199" si="121">SUM(G198*H198)*150</f>
        <v>0</v>
      </c>
      <c r="N198" s="93">
        <f>J198+M198+L198</f>
        <v>0</v>
      </c>
      <c r="O198" s="94"/>
      <c r="P198" s="95"/>
      <c r="Q198">
        <f t="shared" si="107"/>
        <v>0</v>
      </c>
    </row>
    <row r="199" spans="1:17" ht="18.899999999999999" customHeight="1">
      <c r="A199" s="96"/>
      <c r="B199" s="97" t="s">
        <v>45</v>
      </c>
      <c r="C199" s="98">
        <v>300</v>
      </c>
      <c r="D199" s="98">
        <v>150</v>
      </c>
      <c r="E199" s="98"/>
      <c r="F199" s="98"/>
      <c r="G199" s="98">
        <f t="shared" si="75"/>
        <v>0</v>
      </c>
      <c r="H199" s="98"/>
      <c r="I199" s="99">
        <f t="shared" si="88"/>
        <v>0</v>
      </c>
      <c r="J199" s="100">
        <f t="shared" si="120"/>
        <v>0</v>
      </c>
      <c r="K199" s="104">
        <v>0</v>
      </c>
      <c r="L199" s="104">
        <f t="shared" si="89"/>
        <v>0</v>
      </c>
      <c r="M199" s="100">
        <f t="shared" si="121"/>
        <v>0</v>
      </c>
      <c r="N199" s="102">
        <f t="shared" si="90"/>
        <v>0</v>
      </c>
      <c r="O199" s="94"/>
      <c r="P199" s="95"/>
      <c r="Q199">
        <f t="shared" si="107"/>
        <v>0</v>
      </c>
    </row>
    <row r="200" spans="1:17" ht="18.899999999999999" customHeight="1">
      <c r="A200" s="80" t="s">
        <v>109</v>
      </c>
      <c r="B200" s="81" t="s">
        <v>45</v>
      </c>
      <c r="C200" s="82">
        <v>900</v>
      </c>
      <c r="D200" s="82">
        <v>150</v>
      </c>
      <c r="E200" s="82"/>
      <c r="F200" s="82"/>
      <c r="G200" s="82">
        <f t="shared" si="75"/>
        <v>0</v>
      </c>
      <c r="H200" s="82"/>
      <c r="I200" s="83">
        <f t="shared" si="88"/>
        <v>0</v>
      </c>
      <c r="J200" s="84">
        <f>I200*13.4</f>
        <v>0</v>
      </c>
      <c r="K200" s="92">
        <v>0</v>
      </c>
      <c r="L200" s="103">
        <f t="shared" si="89"/>
        <v>0</v>
      </c>
      <c r="M200" s="84">
        <f>SUM(G200*H200)*150</f>
        <v>0</v>
      </c>
      <c r="N200" s="85">
        <f t="shared" si="90"/>
        <v>0</v>
      </c>
      <c r="O200" s="94"/>
      <c r="P200" s="95"/>
      <c r="Q200">
        <f t="shared" si="107"/>
        <v>0</v>
      </c>
    </row>
    <row r="201" spans="1:17" ht="18.899999999999999" customHeight="1">
      <c r="A201" s="88"/>
      <c r="B201" s="89" t="s">
        <v>45</v>
      </c>
      <c r="C201" s="90">
        <v>600</v>
      </c>
      <c r="D201" s="90">
        <v>150</v>
      </c>
      <c r="E201" s="90"/>
      <c r="F201" s="90"/>
      <c r="G201" s="90">
        <f t="shared" si="75"/>
        <v>0</v>
      </c>
      <c r="H201" s="90"/>
      <c r="I201" s="91">
        <f t="shared" si="88"/>
        <v>0</v>
      </c>
      <c r="J201" s="92">
        <f t="shared" ref="J201" si="122">I201*13.4</f>
        <v>0</v>
      </c>
      <c r="K201" s="92">
        <v>0</v>
      </c>
      <c r="L201" s="92">
        <f t="shared" si="89"/>
        <v>0</v>
      </c>
      <c r="M201" s="92">
        <f t="shared" ref="M201:M202" si="123">SUM(G201*H201)*150</f>
        <v>0</v>
      </c>
      <c r="N201" s="93">
        <f t="shared" si="90"/>
        <v>0</v>
      </c>
      <c r="O201" s="94"/>
      <c r="P201" s="95"/>
      <c r="Q201">
        <f t="shared" si="107"/>
        <v>0</v>
      </c>
    </row>
    <row r="202" spans="1:17" ht="18.899999999999999" customHeight="1">
      <c r="A202" s="96"/>
      <c r="B202" s="97" t="s">
        <v>45</v>
      </c>
      <c r="C202" s="98">
        <v>300</v>
      </c>
      <c r="D202" s="98">
        <v>150</v>
      </c>
      <c r="E202" s="98"/>
      <c r="F202" s="98"/>
      <c r="G202" s="98">
        <f t="shared" si="75"/>
        <v>0</v>
      </c>
      <c r="H202" s="98"/>
      <c r="I202" s="99">
        <f t="shared" si="88"/>
        <v>0</v>
      </c>
      <c r="J202" s="100">
        <f>I202*13.4</f>
        <v>0</v>
      </c>
      <c r="K202" s="104">
        <v>0</v>
      </c>
      <c r="L202" s="104">
        <f t="shared" si="89"/>
        <v>0</v>
      </c>
      <c r="M202" s="100">
        <f t="shared" si="123"/>
        <v>0</v>
      </c>
      <c r="N202" s="102">
        <f t="shared" si="90"/>
        <v>0</v>
      </c>
      <c r="O202" s="94"/>
      <c r="P202" s="95"/>
      <c r="Q202">
        <f t="shared" si="107"/>
        <v>0</v>
      </c>
    </row>
    <row r="203" spans="1:17" ht="18.899999999999999" customHeight="1">
      <c r="A203" s="80" t="s">
        <v>110</v>
      </c>
      <c r="B203" s="81" t="s">
        <v>45</v>
      </c>
      <c r="C203" s="82">
        <v>900</v>
      </c>
      <c r="D203" s="82">
        <v>150</v>
      </c>
      <c r="E203" s="82"/>
      <c r="F203" s="82"/>
      <c r="G203" s="82">
        <f t="shared" si="75"/>
        <v>0</v>
      </c>
      <c r="H203" s="82"/>
      <c r="I203" s="83">
        <f t="shared" si="88"/>
        <v>0</v>
      </c>
      <c r="J203" s="84">
        <f>I203*13.4</f>
        <v>0</v>
      </c>
      <c r="K203" s="92">
        <v>0</v>
      </c>
      <c r="L203" s="103">
        <f t="shared" si="89"/>
        <v>0</v>
      </c>
      <c r="M203" s="84">
        <f>SUM(G203*H203)*150</f>
        <v>0</v>
      </c>
      <c r="N203" s="85">
        <f t="shared" si="90"/>
        <v>0</v>
      </c>
      <c r="O203" s="94"/>
      <c r="P203" s="95"/>
      <c r="Q203">
        <f t="shared" si="107"/>
        <v>0</v>
      </c>
    </row>
    <row r="204" spans="1:17" ht="18.899999999999999" customHeight="1">
      <c r="A204" s="88"/>
      <c r="B204" s="89" t="s">
        <v>45</v>
      </c>
      <c r="C204" s="90">
        <v>600</v>
      </c>
      <c r="D204" s="90">
        <v>150</v>
      </c>
      <c r="E204" s="90"/>
      <c r="F204" s="90"/>
      <c r="G204" s="90">
        <f t="shared" si="75"/>
        <v>0</v>
      </c>
      <c r="H204" s="90"/>
      <c r="I204" s="91">
        <f t="shared" si="88"/>
        <v>0</v>
      </c>
      <c r="J204" s="92">
        <f t="shared" ref="J204:J205" si="124">I204*13.4</f>
        <v>0</v>
      </c>
      <c r="K204" s="92">
        <v>0</v>
      </c>
      <c r="L204" s="92">
        <f t="shared" si="89"/>
        <v>0</v>
      </c>
      <c r="M204" s="92">
        <f t="shared" ref="M204:M205" si="125">SUM(G204*H204)*150</f>
        <v>0</v>
      </c>
      <c r="N204" s="93">
        <f t="shared" si="90"/>
        <v>0</v>
      </c>
      <c r="O204" s="94"/>
      <c r="P204" s="95"/>
      <c r="Q204">
        <f t="shared" si="107"/>
        <v>0</v>
      </c>
    </row>
    <row r="205" spans="1:17" ht="18.899999999999999" customHeight="1">
      <c r="A205" s="96"/>
      <c r="B205" s="97" t="s">
        <v>45</v>
      </c>
      <c r="C205" s="98">
        <v>300</v>
      </c>
      <c r="D205" s="98">
        <v>150</v>
      </c>
      <c r="E205" s="98"/>
      <c r="F205" s="98"/>
      <c r="G205" s="98">
        <f t="shared" si="75"/>
        <v>0</v>
      </c>
      <c r="H205" s="98"/>
      <c r="I205" s="99">
        <f t="shared" si="88"/>
        <v>0</v>
      </c>
      <c r="J205" s="100">
        <f t="shared" si="124"/>
        <v>0</v>
      </c>
      <c r="K205" s="104">
        <v>0</v>
      </c>
      <c r="L205" s="104">
        <f t="shared" si="89"/>
        <v>0</v>
      </c>
      <c r="M205" s="100">
        <f t="shared" si="125"/>
        <v>0</v>
      </c>
      <c r="N205" s="102">
        <f>J205+M205+L205</f>
        <v>0</v>
      </c>
      <c r="O205" s="94"/>
      <c r="P205" s="95"/>
      <c r="Q205">
        <f t="shared" si="107"/>
        <v>0</v>
      </c>
    </row>
    <row r="206" spans="1:17" ht="18.899999999999999" customHeight="1">
      <c r="A206" s="80" t="s">
        <v>111</v>
      </c>
      <c r="B206" s="81" t="s">
        <v>45</v>
      </c>
      <c r="C206" s="82">
        <v>900</v>
      </c>
      <c r="D206" s="82">
        <v>150</v>
      </c>
      <c r="E206" s="82"/>
      <c r="F206" s="82"/>
      <c r="G206" s="82">
        <f t="shared" si="75"/>
        <v>0</v>
      </c>
      <c r="H206" s="82"/>
      <c r="I206" s="83">
        <f t="shared" si="88"/>
        <v>0</v>
      </c>
      <c r="J206" s="84">
        <f>I206*13.4</f>
        <v>0</v>
      </c>
      <c r="K206" s="92">
        <v>0</v>
      </c>
      <c r="L206" s="103">
        <f t="shared" si="89"/>
        <v>0</v>
      </c>
      <c r="M206" s="84">
        <f>SUM(G206*H206)*150</f>
        <v>0</v>
      </c>
      <c r="N206" s="85">
        <f t="shared" si="90"/>
        <v>0</v>
      </c>
      <c r="O206" s="94"/>
      <c r="P206" s="95"/>
      <c r="Q206">
        <f t="shared" si="107"/>
        <v>0</v>
      </c>
    </row>
    <row r="207" spans="1:17" ht="18.899999999999999" customHeight="1">
      <c r="A207" s="88"/>
      <c r="B207" s="89" t="s">
        <v>45</v>
      </c>
      <c r="C207" s="90">
        <v>600</v>
      </c>
      <c r="D207" s="90">
        <v>150</v>
      </c>
      <c r="E207" s="90"/>
      <c r="F207" s="90"/>
      <c r="G207" s="90">
        <f t="shared" si="75"/>
        <v>0</v>
      </c>
      <c r="H207" s="90"/>
      <c r="I207" s="91">
        <f t="shared" si="88"/>
        <v>0</v>
      </c>
      <c r="J207" s="92">
        <f t="shared" ref="J207:J208" si="126">I207*13.4</f>
        <v>0</v>
      </c>
      <c r="K207" s="92">
        <v>0</v>
      </c>
      <c r="L207" s="92">
        <f t="shared" si="89"/>
        <v>0</v>
      </c>
      <c r="M207" s="92">
        <f t="shared" ref="M207:M208" si="127">SUM(G207*H207)*150</f>
        <v>0</v>
      </c>
      <c r="N207" s="93">
        <f t="shared" si="90"/>
        <v>0</v>
      </c>
      <c r="O207" s="94"/>
      <c r="P207" s="95"/>
      <c r="Q207">
        <f t="shared" si="107"/>
        <v>0</v>
      </c>
    </row>
    <row r="208" spans="1:17" ht="18.899999999999999" customHeight="1">
      <c r="A208" s="96"/>
      <c r="B208" s="97" t="s">
        <v>45</v>
      </c>
      <c r="C208" s="98">
        <v>300</v>
      </c>
      <c r="D208" s="98">
        <v>150</v>
      </c>
      <c r="E208" s="98"/>
      <c r="F208" s="98"/>
      <c r="G208" s="98">
        <f t="shared" si="75"/>
        <v>0</v>
      </c>
      <c r="H208" s="98"/>
      <c r="I208" s="99">
        <f t="shared" si="88"/>
        <v>0</v>
      </c>
      <c r="J208" s="104">
        <f t="shared" si="126"/>
        <v>0</v>
      </c>
      <c r="K208" s="104">
        <v>0</v>
      </c>
      <c r="L208" s="104">
        <f t="shared" si="89"/>
        <v>0</v>
      </c>
      <c r="M208" s="104">
        <f t="shared" si="127"/>
        <v>0</v>
      </c>
      <c r="N208" s="102">
        <f t="shared" si="90"/>
        <v>0</v>
      </c>
      <c r="O208" s="94"/>
      <c r="P208" s="95"/>
      <c r="Q208">
        <f t="shared" si="107"/>
        <v>0</v>
      </c>
    </row>
    <row r="209" spans="1:17" ht="18.899999999999999" customHeight="1">
      <c r="A209" s="96"/>
      <c r="B209" s="98"/>
      <c r="C209" s="98"/>
      <c r="D209" s="98"/>
      <c r="E209" s="98"/>
      <c r="F209" s="98"/>
      <c r="G209" s="98"/>
      <c r="H209" s="98"/>
      <c r="I209" s="107"/>
      <c r="J209" s="101"/>
      <c r="K209" s="101"/>
      <c r="L209" s="101"/>
      <c r="M209" s="101"/>
      <c r="N209" s="108"/>
      <c r="O209" s="109"/>
      <c r="P209" s="110"/>
    </row>
    <row r="210" spans="1:17" ht="18.899999999999999" customHeight="1">
      <c r="A210" s="80" t="s">
        <v>112</v>
      </c>
      <c r="B210" s="81" t="s">
        <v>45</v>
      </c>
      <c r="C210" s="82">
        <v>900</v>
      </c>
      <c r="D210" s="82">
        <v>150</v>
      </c>
      <c r="E210" s="82"/>
      <c r="F210" s="82"/>
      <c r="G210" s="82">
        <f>20*50</f>
        <v>1000</v>
      </c>
      <c r="H210" s="82">
        <v>3</v>
      </c>
      <c r="I210" s="83">
        <f t="shared" ref="I210:I212" si="128">1.5*H210*G210/3</f>
        <v>1500</v>
      </c>
      <c r="J210" s="84">
        <f>I210*13.4</f>
        <v>20100</v>
      </c>
      <c r="K210" s="103">
        <f>(2.5*1*G210/2)</f>
        <v>1250</v>
      </c>
      <c r="L210" s="103">
        <f t="shared" ref="L210:L212" si="129">K210*31.5</f>
        <v>39375</v>
      </c>
      <c r="M210" s="84">
        <f>SUM(G210*H210)*150</f>
        <v>450000</v>
      </c>
      <c r="N210" s="85">
        <f t="shared" ref="N210:N212" si="130">J210+M210+L210</f>
        <v>509475</v>
      </c>
      <c r="O210" s="109"/>
      <c r="P210" s="110"/>
      <c r="Q210">
        <f t="shared" ref="Q210:Q212" si="131">G210*H210</f>
        <v>3000</v>
      </c>
    </row>
    <row r="211" spans="1:17" ht="18.899999999999999" customHeight="1">
      <c r="A211" s="88"/>
      <c r="B211" s="89"/>
      <c r="C211" s="90"/>
      <c r="D211" s="90"/>
      <c r="E211" s="90"/>
      <c r="F211" s="90"/>
      <c r="G211" s="90">
        <f t="shared" ref="G211:G212" si="132">E211+F211</f>
        <v>0</v>
      </c>
      <c r="H211" s="90"/>
      <c r="I211" s="91">
        <f t="shared" si="128"/>
        <v>0</v>
      </c>
      <c r="J211" s="92">
        <f t="shared" ref="J211:J212" si="133">I211*13.4</f>
        <v>0</v>
      </c>
      <c r="K211" s="92">
        <v>0</v>
      </c>
      <c r="L211" s="92">
        <f t="shared" si="129"/>
        <v>0</v>
      </c>
      <c r="M211" s="92">
        <f t="shared" ref="M211:M212" si="134">SUM(G211*H211)*150</f>
        <v>0</v>
      </c>
      <c r="N211" s="93">
        <f t="shared" si="130"/>
        <v>0</v>
      </c>
      <c r="O211" s="109"/>
      <c r="P211" s="110"/>
      <c r="Q211">
        <f t="shared" si="131"/>
        <v>0</v>
      </c>
    </row>
    <row r="212" spans="1:17" ht="18.899999999999999" customHeight="1">
      <c r="A212" s="96"/>
      <c r="B212" s="97"/>
      <c r="C212" s="98"/>
      <c r="D212" s="98"/>
      <c r="E212" s="98"/>
      <c r="F212" s="98"/>
      <c r="G212" s="98">
        <f t="shared" si="132"/>
        <v>0</v>
      </c>
      <c r="H212" s="98"/>
      <c r="I212" s="99">
        <f t="shared" si="128"/>
        <v>0</v>
      </c>
      <c r="J212" s="104">
        <f t="shared" si="133"/>
        <v>0</v>
      </c>
      <c r="K212" s="104">
        <v>0</v>
      </c>
      <c r="L212" s="104">
        <f t="shared" si="129"/>
        <v>0</v>
      </c>
      <c r="M212" s="104">
        <f t="shared" si="134"/>
        <v>0</v>
      </c>
      <c r="N212" s="102">
        <f t="shared" si="130"/>
        <v>0</v>
      </c>
      <c r="O212" s="109"/>
      <c r="P212" s="110"/>
      <c r="Q212">
        <f t="shared" si="131"/>
        <v>0</v>
      </c>
    </row>
    <row r="213" spans="1:17" ht="18.899999999999999" customHeight="1">
      <c r="A213" s="111"/>
      <c r="B213" s="111"/>
      <c r="C213" s="111"/>
      <c r="D213" s="111"/>
      <c r="E213" s="111"/>
      <c r="F213" s="111"/>
      <c r="G213" s="111"/>
      <c r="H213" s="111"/>
      <c r="I213" s="112"/>
      <c r="J213" s="113"/>
      <c r="K213" s="113"/>
      <c r="L213" s="113"/>
      <c r="M213" s="113"/>
      <c r="N213" s="113"/>
      <c r="O213" s="109"/>
      <c r="P213" s="110"/>
    </row>
    <row r="214" spans="1:17" s="122" customFormat="1" ht="18.899999999999999" customHeight="1">
      <c r="A214" s="114"/>
      <c r="B214" s="115"/>
      <c r="C214" s="111"/>
      <c r="D214" s="116"/>
      <c r="E214" s="111"/>
      <c r="F214" s="111"/>
      <c r="G214" s="111"/>
      <c r="H214" s="116"/>
      <c r="I214" s="112"/>
      <c r="J214" s="117"/>
      <c r="K214" s="117"/>
      <c r="L214" s="117"/>
      <c r="M214" s="118"/>
      <c r="N214" s="119"/>
      <c r="O214" s="120"/>
      <c r="P214" s="121"/>
      <c r="Q214"/>
    </row>
    <row r="215" spans="1:17" s="122" customFormat="1" ht="18.899999999999999" customHeight="1">
      <c r="A215" s="114"/>
      <c r="B215" s="115"/>
      <c r="C215" s="111"/>
      <c r="D215" s="116"/>
      <c r="E215" s="111"/>
      <c r="F215" s="111"/>
      <c r="G215" s="111"/>
      <c r="H215" s="116"/>
      <c r="I215" s="112"/>
      <c r="J215" s="117"/>
      <c r="K215" s="117"/>
      <c r="L215" s="117"/>
      <c r="M215" s="118"/>
      <c r="N215" s="118"/>
      <c r="O215" s="120"/>
      <c r="P215" s="123"/>
      <c r="Q215"/>
    </row>
    <row r="216" spans="1:17" ht="18.899999999999999" customHeight="1">
      <c r="A216" s="124"/>
      <c r="B216" s="125"/>
      <c r="C216" s="126" t="s">
        <v>113</v>
      </c>
      <c r="D216" s="127"/>
      <c r="E216" s="128" t="s">
        <v>114</v>
      </c>
      <c r="F216" s="128" t="s">
        <v>115</v>
      </c>
      <c r="G216" s="117"/>
      <c r="H216" s="129"/>
      <c r="I216" s="130"/>
      <c r="J216" s="129"/>
      <c r="K216" s="129"/>
      <c r="L216" s="129"/>
      <c r="M216" s="129"/>
      <c r="N216" s="129"/>
      <c r="O216" s="131"/>
      <c r="P216" s="132"/>
    </row>
    <row r="217" spans="1:17" ht="18.899999999999999" customHeight="1">
      <c r="A217" s="124"/>
      <c r="B217" s="125"/>
      <c r="C217" s="133" t="s">
        <v>116</v>
      </c>
      <c r="D217" s="134"/>
      <c r="E217" s="111"/>
      <c r="F217" s="135"/>
      <c r="G217" s="117"/>
      <c r="H217" s="129"/>
      <c r="I217" s="130"/>
      <c r="J217" s="129"/>
      <c r="K217" s="129"/>
      <c r="L217" s="129"/>
      <c r="M217" s="129"/>
      <c r="N217" s="129"/>
      <c r="O217" s="131"/>
      <c r="P217" s="132"/>
    </row>
    <row r="218" spans="1:17" ht="18.899999999999999" customHeight="1">
      <c r="A218" s="124"/>
      <c r="B218" s="125"/>
      <c r="C218" s="133" t="s">
        <v>117</v>
      </c>
      <c r="D218" s="134"/>
      <c r="E218" s="111"/>
      <c r="F218" s="135"/>
      <c r="G218" s="117"/>
      <c r="H218" s="129"/>
      <c r="I218" s="130"/>
      <c r="J218" s="129"/>
      <c r="K218" s="129"/>
      <c r="L218" s="129"/>
      <c r="M218" s="129"/>
      <c r="N218" s="129"/>
      <c r="O218" s="131"/>
      <c r="P218" s="132"/>
    </row>
    <row r="219" spans="1:17" ht="18.899999999999999" customHeight="1">
      <c r="A219" s="124"/>
      <c r="B219" s="125"/>
      <c r="C219" s="133" t="s">
        <v>118</v>
      </c>
      <c r="D219" s="134"/>
      <c r="E219" s="136">
        <v>900</v>
      </c>
      <c r="F219" s="135">
        <f>SUMIF($C$8:$C$212,E219,$N$8:$N$212)</f>
        <v>509475</v>
      </c>
      <c r="G219" s="135">
        <f>SUMIF($C$14:$C$208,E219,$G$14:$G$208)</f>
        <v>0</v>
      </c>
      <c r="H219" s="129"/>
      <c r="I219" s="130"/>
      <c r="J219" s="129"/>
      <c r="K219" s="129"/>
      <c r="L219" s="129"/>
      <c r="M219" s="129"/>
      <c r="N219" s="129"/>
      <c r="O219" s="131"/>
      <c r="P219" s="132"/>
      <c r="Q219">
        <f>SUMIF($C$14:$C$208,E219,$Q$14:$Q$208)</f>
        <v>0</v>
      </c>
    </row>
    <row r="220" spans="1:17" ht="18.899999999999999" customHeight="1">
      <c r="A220" s="124"/>
      <c r="B220" s="125"/>
      <c r="C220" s="133" t="s">
        <v>119</v>
      </c>
      <c r="D220" s="134"/>
      <c r="E220" s="136">
        <v>600</v>
      </c>
      <c r="F220" s="135">
        <f>SUMIF($C$14:$C$210,E220,$N$14:$N$210)</f>
        <v>0</v>
      </c>
      <c r="G220" s="135">
        <f>SUMIF($C$14:$C$208,E220,$G$14:$G$208)</f>
        <v>0</v>
      </c>
      <c r="H220" s="129"/>
      <c r="I220" s="130"/>
      <c r="J220" s="129"/>
      <c r="K220" s="129"/>
      <c r="L220" s="129"/>
      <c r="M220" s="129"/>
      <c r="N220" s="129"/>
      <c r="O220" s="131"/>
      <c r="P220" s="132"/>
    </row>
    <row r="221" spans="1:17" ht="18.899999999999999" customHeight="1">
      <c r="A221" s="137"/>
      <c r="B221" s="138"/>
      <c r="C221" s="133" t="s">
        <v>120</v>
      </c>
      <c r="D221" s="134"/>
      <c r="E221" s="136">
        <v>300</v>
      </c>
      <c r="F221" s="135">
        <f>SUMIF($C$14:$C$210,E221,$N$14:$N$210)</f>
        <v>0</v>
      </c>
      <c r="G221" s="135">
        <f>SUMIF($C$14:$C$208,E221,$G$14:$G$208)</f>
        <v>0</v>
      </c>
      <c r="H221" s="129"/>
      <c r="I221" s="130"/>
      <c r="J221" s="129"/>
      <c r="K221" s="129"/>
      <c r="L221" s="129"/>
      <c r="M221" s="129"/>
      <c r="N221" s="129"/>
      <c r="O221" s="131"/>
      <c r="P221" s="132"/>
      <c r="Q221">
        <f>SUMIF($C$14:$C$208,E221,$Q$14:$Q$208)</f>
        <v>0</v>
      </c>
    </row>
    <row r="222" spans="1:17" ht="18.899999999999999" customHeight="1">
      <c r="A222" s="137"/>
      <c r="B222" s="138"/>
      <c r="C222" s="139"/>
      <c r="D222" s="140"/>
      <c r="E222" s="111"/>
      <c r="F222" s="135"/>
      <c r="G222" s="111"/>
      <c r="H222" s="129"/>
      <c r="I222" s="130"/>
      <c r="J222" s="129"/>
      <c r="K222" s="129"/>
      <c r="L222" s="129"/>
      <c r="M222" s="129"/>
      <c r="N222" s="129"/>
      <c r="O222" s="131"/>
      <c r="P222" s="132"/>
    </row>
    <row r="223" spans="1:17" ht="18.899999999999999" customHeight="1" thickBot="1">
      <c r="A223" s="137"/>
      <c r="B223" s="138"/>
      <c r="C223" s="139"/>
      <c r="D223" s="140"/>
      <c r="E223" s="111"/>
      <c r="F223" s="135"/>
      <c r="G223" s="111"/>
      <c r="H223" s="129"/>
      <c r="I223" s="130"/>
      <c r="J223" s="129"/>
      <c r="K223" s="129"/>
      <c r="L223" s="129"/>
      <c r="M223" s="129"/>
      <c r="N223" s="129"/>
      <c r="O223" s="131"/>
      <c r="P223" s="141"/>
    </row>
    <row r="226" spans="6:14">
      <c r="F226" s="142">
        <f>SUM(F219:F223)</f>
        <v>509475</v>
      </c>
      <c r="G226" s="142"/>
    </row>
    <row r="227" spans="6:14">
      <c r="M227" s="142">
        <f>SUM(M214:M215)</f>
        <v>0</v>
      </c>
      <c r="N227" s="142"/>
    </row>
  </sheetData>
  <mergeCells count="14">
    <mergeCell ref="O5:O6"/>
    <mergeCell ref="A7:O7"/>
    <mergeCell ref="O8:O208"/>
    <mergeCell ref="P8:P208"/>
    <mergeCell ref="A1:O1"/>
    <mergeCell ref="A4:A6"/>
    <mergeCell ref="B4:B6"/>
    <mergeCell ref="C4:O4"/>
    <mergeCell ref="P4:P6"/>
    <mergeCell ref="C5:F5"/>
    <mergeCell ref="G5:G6"/>
    <mergeCell ref="H5:H6"/>
    <mergeCell ref="M5:M6"/>
    <mergeCell ref="N5:N6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E066-884B-48C5-9E8C-55D5C3AAED23}">
  <sheetPr codeName="Sheet15"/>
  <dimension ref="A1:N130"/>
  <sheetViews>
    <sheetView showGridLines="0" showZeros="0" view="pageBreakPreview" zoomScale="85" zoomScaleSheetLayoutView="85" workbookViewId="0">
      <pane ySplit="5" topLeftCell="A69" activePane="bottomLeft" state="frozen"/>
      <selection activeCell="A3" sqref="A3:K23"/>
      <selection pane="bottomLeft" activeCell="A3" sqref="A3:K23"/>
    </sheetView>
  </sheetViews>
  <sheetFormatPr defaultColWidth="8.8984375" defaultRowHeight="13.8"/>
  <cols>
    <col min="1" max="1" width="13.796875" style="5" customWidth="1"/>
    <col min="2" max="2" width="18.8984375" style="2" customWidth="1"/>
    <col min="3" max="3" width="11.69921875" style="5" customWidth="1"/>
    <col min="4" max="6" width="6.796875" style="5" customWidth="1"/>
    <col min="7" max="7" width="9.8984375" style="9" customWidth="1"/>
    <col min="8" max="9" width="8.796875" style="9" customWidth="1"/>
    <col min="10" max="10" width="25.09765625" style="5" customWidth="1"/>
    <col min="11" max="11" width="15.8984375" style="5" customWidth="1"/>
    <col min="12" max="12" width="10.09765625" style="2" bestFit="1" customWidth="1"/>
    <col min="13" max="13" width="8.8984375" style="5"/>
    <col min="14" max="14" width="10.09765625" style="5" bestFit="1" customWidth="1"/>
    <col min="15" max="16384" width="8.8984375" style="5"/>
  </cols>
  <sheetData>
    <row r="1" spans="1:12" ht="17.399999999999999">
      <c r="A1" s="1"/>
      <c r="C1" s="1"/>
      <c r="D1" s="1"/>
      <c r="E1" s="1" t="s">
        <v>0</v>
      </c>
      <c r="F1" s="1"/>
      <c r="G1" s="4"/>
      <c r="H1" s="4"/>
      <c r="I1" s="4"/>
      <c r="J1" s="1"/>
      <c r="K1" s="1"/>
    </row>
    <row r="3" spans="1:12" ht="18" thickBot="1">
      <c r="A3" s="6" t="s">
        <v>121</v>
      </c>
      <c r="B3" s="7"/>
      <c r="C3" s="6"/>
      <c r="J3" s="10"/>
      <c r="K3" s="10"/>
    </row>
    <row r="4" spans="1:12" ht="20.100000000000001" customHeight="1">
      <c r="A4" s="11" t="s">
        <v>2</v>
      </c>
      <c r="B4" s="12" t="s">
        <v>3</v>
      </c>
      <c r="C4" s="13" t="s">
        <v>4</v>
      </c>
      <c r="D4" s="14" t="s">
        <v>122</v>
      </c>
      <c r="E4" s="14"/>
      <c r="F4" s="14"/>
      <c r="G4" s="145" t="s">
        <v>6</v>
      </c>
      <c r="H4" s="16" t="s">
        <v>7</v>
      </c>
      <c r="I4" s="16" t="s">
        <v>8</v>
      </c>
      <c r="J4" s="12" t="s">
        <v>9</v>
      </c>
      <c r="K4" s="17" t="s">
        <v>10</v>
      </c>
    </row>
    <row r="5" spans="1:12" ht="27" thickBot="1">
      <c r="A5" s="18"/>
      <c r="B5" s="19"/>
      <c r="C5" s="20"/>
      <c r="D5" s="21" t="s">
        <v>11</v>
      </c>
      <c r="E5" s="21" t="s">
        <v>12</v>
      </c>
      <c r="F5" s="21" t="s">
        <v>13</v>
      </c>
      <c r="G5" s="146"/>
      <c r="H5" s="23"/>
      <c r="I5" s="23"/>
      <c r="J5" s="19"/>
      <c r="K5" s="24"/>
    </row>
    <row r="6" spans="1:12" s="33" customFormat="1" ht="20.100000000000001" customHeight="1" thickBot="1">
      <c r="A6" s="147" t="s">
        <v>14</v>
      </c>
      <c r="B6" s="148"/>
      <c r="C6" s="149"/>
      <c r="D6" s="150"/>
      <c r="E6" s="150"/>
      <c r="F6" s="150"/>
      <c r="G6" s="150"/>
      <c r="H6" s="150"/>
      <c r="I6" s="150"/>
      <c r="J6" s="150"/>
      <c r="K6" s="151"/>
      <c r="L6" s="152"/>
    </row>
    <row r="7" spans="1:12" ht="20.100000000000001" customHeight="1">
      <c r="A7" s="153" t="s">
        <v>123</v>
      </c>
      <c r="B7" s="154" t="s">
        <v>124</v>
      </c>
      <c r="C7" s="37" t="s">
        <v>125</v>
      </c>
      <c r="D7" s="39">
        <v>2600</v>
      </c>
      <c r="E7" s="39">
        <v>1200</v>
      </c>
      <c r="F7" s="39">
        <v>38</v>
      </c>
      <c r="G7" s="39">
        <f t="shared" ref="G7:G68" si="0">(D7/0.3)*(F7/1000)/0.3</f>
        <v>1097.7777777777781</v>
      </c>
      <c r="H7" s="39">
        <f>ROUNDUP(D7/600,0)*F7</f>
        <v>190</v>
      </c>
      <c r="I7" s="40">
        <f>(ROUNDUP((F7/15)*2,0))+L7*2+M7</f>
        <v>6</v>
      </c>
      <c r="J7" s="37" t="s">
        <v>126</v>
      </c>
      <c r="K7" s="155" t="s">
        <v>127</v>
      </c>
    </row>
    <row r="8" spans="1:12" ht="20.100000000000001" customHeight="1">
      <c r="A8" s="153" t="s">
        <v>128</v>
      </c>
      <c r="B8" s="154" t="s">
        <v>124</v>
      </c>
      <c r="C8" s="37" t="s">
        <v>125</v>
      </c>
      <c r="D8" s="39">
        <v>1900</v>
      </c>
      <c r="E8" s="39">
        <v>1200</v>
      </c>
      <c r="F8" s="39">
        <v>34</v>
      </c>
      <c r="G8" s="39">
        <f t="shared" si="0"/>
        <v>717.77777777777794</v>
      </c>
      <c r="H8" s="39">
        <f t="shared" ref="H8:H10" si="1">ROUNDUP(D8/600,0)*F8</f>
        <v>136</v>
      </c>
      <c r="I8" s="40">
        <f>(ROUNDUP((F8/15)*2,0))+L8*2+M8</f>
        <v>5</v>
      </c>
      <c r="J8" s="37" t="s">
        <v>126</v>
      </c>
      <c r="K8" s="155" t="s">
        <v>127</v>
      </c>
    </row>
    <row r="9" spans="1:12" ht="20.100000000000001" customHeight="1">
      <c r="A9" s="153" t="s">
        <v>129</v>
      </c>
      <c r="B9" s="154" t="s">
        <v>124</v>
      </c>
      <c r="C9" s="37" t="s">
        <v>125</v>
      </c>
      <c r="D9" s="39">
        <v>1500</v>
      </c>
      <c r="E9" s="39">
        <v>1200</v>
      </c>
      <c r="F9" s="39">
        <v>20</v>
      </c>
      <c r="G9" s="39">
        <f t="shared" si="0"/>
        <v>333.33333333333337</v>
      </c>
      <c r="H9" s="39">
        <f t="shared" si="1"/>
        <v>60</v>
      </c>
      <c r="I9" s="40">
        <f>(ROUNDUP((F9/15)*2,0))+L9*2+M9</f>
        <v>3</v>
      </c>
      <c r="J9" s="37" t="s">
        <v>126</v>
      </c>
      <c r="K9" s="155" t="s">
        <v>127</v>
      </c>
    </row>
    <row r="10" spans="1:12" ht="20.100000000000001" customHeight="1">
      <c r="A10" s="153" t="s">
        <v>130</v>
      </c>
      <c r="B10" s="154" t="s">
        <v>124</v>
      </c>
      <c r="C10" s="37" t="s">
        <v>125</v>
      </c>
      <c r="D10" s="39">
        <v>700</v>
      </c>
      <c r="E10" s="39">
        <v>1000</v>
      </c>
      <c r="F10" s="39">
        <v>88</v>
      </c>
      <c r="G10" s="39">
        <f t="shared" si="0"/>
        <v>684.44444444444446</v>
      </c>
      <c r="H10" s="39">
        <f t="shared" si="1"/>
        <v>176</v>
      </c>
      <c r="I10" s="40">
        <f>(ROUNDUP((F10/15)*2,0))+L10*2+M10</f>
        <v>12</v>
      </c>
      <c r="J10" s="37" t="s">
        <v>126</v>
      </c>
      <c r="K10" s="155" t="s">
        <v>127</v>
      </c>
    </row>
    <row r="11" spans="1:12" ht="20.100000000000001" customHeight="1">
      <c r="A11" s="153"/>
      <c r="B11" s="154"/>
      <c r="C11" s="37"/>
      <c r="D11" s="39"/>
      <c r="E11" s="39"/>
      <c r="F11" s="39"/>
      <c r="G11" s="39"/>
      <c r="H11" s="39"/>
      <c r="I11" s="40"/>
      <c r="J11" s="37"/>
      <c r="K11" s="155"/>
    </row>
    <row r="12" spans="1:12" ht="20.100000000000001" customHeight="1">
      <c r="A12" s="153" t="s">
        <v>131</v>
      </c>
      <c r="B12" s="154" t="s">
        <v>132</v>
      </c>
      <c r="C12" s="37" t="s">
        <v>125</v>
      </c>
      <c r="D12" s="39">
        <v>2600</v>
      </c>
      <c r="E12" s="39">
        <v>1200</v>
      </c>
      <c r="F12" s="39">
        <v>12</v>
      </c>
      <c r="G12" s="39">
        <f t="shared" ref="G12:G17" si="2">(D12/0.3)*(F12/1000)/0.3</f>
        <v>346.66666666666674</v>
      </c>
      <c r="H12" s="39">
        <f t="shared" ref="H12:H65" si="3">ROUNDUP(D12/600,0)*F12</f>
        <v>60</v>
      </c>
      <c r="I12" s="40">
        <f t="shared" ref="I12:I43" si="4">(ROUNDUP((F12/15)*2,0))+L12*2+M12</f>
        <v>2</v>
      </c>
      <c r="J12" s="37" t="s">
        <v>133</v>
      </c>
      <c r="K12" s="155" t="s">
        <v>127</v>
      </c>
    </row>
    <row r="13" spans="1:12" ht="20.100000000000001" customHeight="1">
      <c r="A13" s="153" t="s">
        <v>134</v>
      </c>
      <c r="B13" s="154" t="s">
        <v>132</v>
      </c>
      <c r="C13" s="37" t="s">
        <v>125</v>
      </c>
      <c r="D13" s="39">
        <v>700</v>
      </c>
      <c r="E13" s="39">
        <v>1000</v>
      </c>
      <c r="F13" s="39">
        <v>12</v>
      </c>
      <c r="G13" s="39">
        <f t="shared" si="2"/>
        <v>93.333333333333343</v>
      </c>
      <c r="H13" s="39">
        <f t="shared" si="3"/>
        <v>24</v>
      </c>
      <c r="I13" s="40">
        <f t="shared" si="4"/>
        <v>2</v>
      </c>
      <c r="J13" s="37" t="s">
        <v>133</v>
      </c>
      <c r="K13" s="155" t="s">
        <v>127</v>
      </c>
    </row>
    <row r="14" spans="1:12" ht="20.100000000000001" customHeight="1">
      <c r="A14" s="153" t="s">
        <v>135</v>
      </c>
      <c r="B14" s="154" t="s">
        <v>132</v>
      </c>
      <c r="C14" s="37" t="s">
        <v>125</v>
      </c>
      <c r="D14" s="39">
        <v>4200</v>
      </c>
      <c r="E14" s="39">
        <v>1200</v>
      </c>
      <c r="F14" s="39">
        <v>21</v>
      </c>
      <c r="G14" s="39">
        <f t="shared" si="2"/>
        <v>980</v>
      </c>
      <c r="H14" s="39">
        <f t="shared" si="3"/>
        <v>147</v>
      </c>
      <c r="I14" s="40">
        <f t="shared" si="4"/>
        <v>3</v>
      </c>
      <c r="J14" s="37" t="s">
        <v>133</v>
      </c>
      <c r="K14" s="155" t="s">
        <v>127</v>
      </c>
    </row>
    <row r="15" spans="1:12" ht="20.100000000000001" customHeight="1">
      <c r="A15" s="153" t="s">
        <v>136</v>
      </c>
      <c r="B15" s="154" t="s">
        <v>132</v>
      </c>
      <c r="C15" s="37" t="s">
        <v>125</v>
      </c>
      <c r="D15" s="39">
        <v>700</v>
      </c>
      <c r="E15" s="39">
        <v>1000</v>
      </c>
      <c r="F15" s="39">
        <v>21</v>
      </c>
      <c r="G15" s="39">
        <f t="shared" si="2"/>
        <v>163.33333333333337</v>
      </c>
      <c r="H15" s="39">
        <f t="shared" si="3"/>
        <v>42</v>
      </c>
      <c r="I15" s="40">
        <f t="shared" si="4"/>
        <v>3</v>
      </c>
      <c r="J15" s="37" t="s">
        <v>133</v>
      </c>
      <c r="K15" s="155" t="s">
        <v>127</v>
      </c>
    </row>
    <row r="16" spans="1:12" ht="20.100000000000001" customHeight="1">
      <c r="A16" s="153" t="s">
        <v>137</v>
      </c>
      <c r="B16" s="154" t="s">
        <v>138</v>
      </c>
      <c r="C16" s="37" t="s">
        <v>125</v>
      </c>
      <c r="D16" s="39">
        <v>700</v>
      </c>
      <c r="E16" s="39">
        <v>1000</v>
      </c>
      <c r="F16" s="39">
        <v>21</v>
      </c>
      <c r="G16" s="39">
        <f t="shared" si="2"/>
        <v>163.33333333333337</v>
      </c>
      <c r="H16" s="39">
        <f t="shared" si="3"/>
        <v>42</v>
      </c>
      <c r="I16" s="40">
        <f t="shared" si="4"/>
        <v>3</v>
      </c>
      <c r="J16" s="37" t="s">
        <v>133</v>
      </c>
      <c r="K16" s="155" t="s">
        <v>127</v>
      </c>
    </row>
    <row r="17" spans="1:11" ht="20.100000000000001" customHeight="1">
      <c r="A17" s="153" t="s">
        <v>139</v>
      </c>
      <c r="B17" s="154" t="s">
        <v>138</v>
      </c>
      <c r="C17" s="37" t="s">
        <v>125</v>
      </c>
      <c r="D17" s="39">
        <v>4200</v>
      </c>
      <c r="E17" s="39">
        <v>1200</v>
      </c>
      <c r="F17" s="39">
        <v>21</v>
      </c>
      <c r="G17" s="39">
        <f t="shared" si="2"/>
        <v>980</v>
      </c>
      <c r="H17" s="39">
        <f t="shared" si="3"/>
        <v>147</v>
      </c>
      <c r="I17" s="40">
        <f t="shared" si="4"/>
        <v>3</v>
      </c>
      <c r="J17" s="37" t="s">
        <v>133</v>
      </c>
      <c r="K17" s="155" t="s">
        <v>127</v>
      </c>
    </row>
    <row r="18" spans="1:11" ht="20.100000000000001" customHeight="1">
      <c r="A18" s="153" t="s">
        <v>140</v>
      </c>
      <c r="B18" s="154" t="s">
        <v>138</v>
      </c>
      <c r="C18" s="37" t="s">
        <v>125</v>
      </c>
      <c r="D18" s="39">
        <v>4200</v>
      </c>
      <c r="E18" s="39">
        <v>1200</v>
      </c>
      <c r="F18" s="39">
        <v>11</v>
      </c>
      <c r="G18" s="39">
        <f t="shared" si="0"/>
        <v>513.33333333333337</v>
      </c>
      <c r="H18" s="39">
        <f t="shared" si="3"/>
        <v>77</v>
      </c>
      <c r="I18" s="40">
        <f t="shared" si="4"/>
        <v>2</v>
      </c>
      <c r="J18" s="37" t="s">
        <v>133</v>
      </c>
      <c r="K18" s="155" t="s">
        <v>127</v>
      </c>
    </row>
    <row r="19" spans="1:11" ht="20.100000000000001" customHeight="1">
      <c r="A19" s="153" t="s">
        <v>141</v>
      </c>
      <c r="B19" s="154" t="s">
        <v>138</v>
      </c>
      <c r="C19" s="37" t="s">
        <v>125</v>
      </c>
      <c r="D19" s="39">
        <v>700</v>
      </c>
      <c r="E19" s="39">
        <v>1000</v>
      </c>
      <c r="F19" s="39">
        <v>11</v>
      </c>
      <c r="G19" s="39">
        <f t="shared" si="0"/>
        <v>85.555555555555557</v>
      </c>
      <c r="H19" s="39">
        <f t="shared" si="3"/>
        <v>22</v>
      </c>
      <c r="I19" s="40">
        <f t="shared" si="4"/>
        <v>2</v>
      </c>
      <c r="J19" s="37" t="s">
        <v>133</v>
      </c>
      <c r="K19" s="155" t="s">
        <v>127</v>
      </c>
    </row>
    <row r="20" spans="1:11" ht="20.100000000000001" customHeight="1">
      <c r="A20" s="153" t="s">
        <v>142</v>
      </c>
      <c r="B20" s="154" t="s">
        <v>138</v>
      </c>
      <c r="C20" s="37" t="s">
        <v>125</v>
      </c>
      <c r="D20" s="39">
        <v>700</v>
      </c>
      <c r="E20" s="39">
        <v>1000</v>
      </c>
      <c r="F20" s="39">
        <v>11</v>
      </c>
      <c r="G20" s="39">
        <f t="shared" si="0"/>
        <v>85.555555555555557</v>
      </c>
      <c r="H20" s="39">
        <f t="shared" si="3"/>
        <v>22</v>
      </c>
      <c r="I20" s="40">
        <f t="shared" si="4"/>
        <v>2</v>
      </c>
      <c r="J20" s="37" t="s">
        <v>133</v>
      </c>
      <c r="K20" s="155" t="s">
        <v>127</v>
      </c>
    </row>
    <row r="21" spans="1:11" ht="20.100000000000001" customHeight="1">
      <c r="A21" s="153" t="s">
        <v>143</v>
      </c>
      <c r="B21" s="154" t="s">
        <v>138</v>
      </c>
      <c r="C21" s="37" t="s">
        <v>125</v>
      </c>
      <c r="D21" s="39">
        <v>4200</v>
      </c>
      <c r="E21" s="39">
        <v>1200</v>
      </c>
      <c r="F21" s="39">
        <v>11</v>
      </c>
      <c r="G21" s="39">
        <f t="shared" si="0"/>
        <v>513.33333333333337</v>
      </c>
      <c r="H21" s="39">
        <f t="shared" si="3"/>
        <v>77</v>
      </c>
      <c r="I21" s="40">
        <f t="shared" si="4"/>
        <v>2</v>
      </c>
      <c r="J21" s="37" t="s">
        <v>133</v>
      </c>
      <c r="K21" s="155" t="s">
        <v>127</v>
      </c>
    </row>
    <row r="22" spans="1:11" ht="20.100000000000001" customHeight="1">
      <c r="A22" s="153" t="s">
        <v>144</v>
      </c>
      <c r="B22" s="154" t="s">
        <v>138</v>
      </c>
      <c r="C22" s="37" t="s">
        <v>125</v>
      </c>
      <c r="D22" s="39">
        <v>1000</v>
      </c>
      <c r="E22" s="39">
        <v>1200</v>
      </c>
      <c r="F22" s="39">
        <v>10</v>
      </c>
      <c r="G22" s="39">
        <f t="shared" si="0"/>
        <v>111.11111111111113</v>
      </c>
      <c r="H22" s="39">
        <f t="shared" si="3"/>
        <v>20</v>
      </c>
      <c r="I22" s="40">
        <f t="shared" si="4"/>
        <v>2</v>
      </c>
      <c r="J22" s="37" t="s">
        <v>133</v>
      </c>
      <c r="K22" s="155" t="s">
        <v>127</v>
      </c>
    </row>
    <row r="23" spans="1:11" ht="20.100000000000001" customHeight="1">
      <c r="A23" s="153" t="s">
        <v>145</v>
      </c>
      <c r="B23" s="154" t="s">
        <v>138</v>
      </c>
      <c r="C23" s="37" t="s">
        <v>125</v>
      </c>
      <c r="D23" s="39">
        <v>1500</v>
      </c>
      <c r="E23" s="39">
        <v>1700</v>
      </c>
      <c r="F23" s="39">
        <v>18</v>
      </c>
      <c r="G23" s="39">
        <f t="shared" si="0"/>
        <v>300</v>
      </c>
      <c r="H23" s="39">
        <f t="shared" si="3"/>
        <v>54</v>
      </c>
      <c r="I23" s="40">
        <f t="shared" si="4"/>
        <v>3</v>
      </c>
      <c r="J23" s="37" t="s">
        <v>133</v>
      </c>
      <c r="K23" s="155" t="s">
        <v>127</v>
      </c>
    </row>
    <row r="24" spans="1:11" ht="20.100000000000001" customHeight="1">
      <c r="A24" s="153" t="s">
        <v>146</v>
      </c>
      <c r="B24" s="154" t="s">
        <v>138</v>
      </c>
      <c r="C24" s="37" t="s">
        <v>125</v>
      </c>
      <c r="D24" s="39">
        <v>1000</v>
      </c>
      <c r="E24" s="39">
        <v>1200</v>
      </c>
      <c r="F24" s="39">
        <v>10</v>
      </c>
      <c r="G24" s="39">
        <f t="shared" si="0"/>
        <v>111.11111111111113</v>
      </c>
      <c r="H24" s="39">
        <f t="shared" si="3"/>
        <v>20</v>
      </c>
      <c r="I24" s="40">
        <f t="shared" si="4"/>
        <v>2</v>
      </c>
      <c r="J24" s="37" t="s">
        <v>133</v>
      </c>
      <c r="K24" s="155" t="s">
        <v>127</v>
      </c>
    </row>
    <row r="25" spans="1:11" ht="20.100000000000001" customHeight="1">
      <c r="A25" s="153" t="s">
        <v>147</v>
      </c>
      <c r="B25" s="154" t="s">
        <v>138</v>
      </c>
      <c r="C25" s="37" t="s">
        <v>125</v>
      </c>
      <c r="D25" s="39">
        <v>1500</v>
      </c>
      <c r="E25" s="39">
        <v>1700</v>
      </c>
      <c r="F25" s="39">
        <v>18</v>
      </c>
      <c r="G25" s="39">
        <f t="shared" si="0"/>
        <v>300</v>
      </c>
      <c r="H25" s="39">
        <f t="shared" si="3"/>
        <v>54</v>
      </c>
      <c r="I25" s="40">
        <f t="shared" si="4"/>
        <v>3</v>
      </c>
      <c r="J25" s="37" t="s">
        <v>133</v>
      </c>
      <c r="K25" s="155" t="s">
        <v>127</v>
      </c>
    </row>
    <row r="26" spans="1:11" ht="20.100000000000001" customHeight="1">
      <c r="A26" s="153" t="s">
        <v>148</v>
      </c>
      <c r="B26" s="154" t="s">
        <v>138</v>
      </c>
      <c r="C26" s="37" t="s">
        <v>125</v>
      </c>
      <c r="D26" s="39">
        <v>2500</v>
      </c>
      <c r="E26" s="39">
        <v>1700</v>
      </c>
      <c r="F26" s="39">
        <f>13+20</f>
        <v>33</v>
      </c>
      <c r="G26" s="39">
        <f t="shared" si="0"/>
        <v>916.66666666666686</v>
      </c>
      <c r="H26" s="39">
        <f t="shared" si="3"/>
        <v>165</v>
      </c>
      <c r="I26" s="40">
        <f t="shared" si="4"/>
        <v>5</v>
      </c>
      <c r="J26" s="37" t="s">
        <v>133</v>
      </c>
      <c r="K26" s="155" t="s">
        <v>127</v>
      </c>
    </row>
    <row r="27" spans="1:11" ht="20.100000000000001" customHeight="1">
      <c r="A27" s="153" t="s">
        <v>149</v>
      </c>
      <c r="B27" s="154" t="s">
        <v>138</v>
      </c>
      <c r="C27" s="37" t="s">
        <v>125</v>
      </c>
      <c r="D27" s="39">
        <v>700</v>
      </c>
      <c r="E27" s="39">
        <v>1000</v>
      </c>
      <c r="F27" s="39">
        <f>13+20</f>
        <v>33</v>
      </c>
      <c r="G27" s="39">
        <f t="shared" si="0"/>
        <v>256.66666666666674</v>
      </c>
      <c r="H27" s="39">
        <f t="shared" si="3"/>
        <v>66</v>
      </c>
      <c r="I27" s="40">
        <f t="shared" si="4"/>
        <v>5</v>
      </c>
      <c r="J27" s="37" t="s">
        <v>133</v>
      </c>
      <c r="K27" s="155" t="s">
        <v>127</v>
      </c>
    </row>
    <row r="28" spans="1:11" ht="20.100000000000001" customHeight="1">
      <c r="A28" s="153" t="s">
        <v>150</v>
      </c>
      <c r="B28" s="154" t="s">
        <v>138</v>
      </c>
      <c r="C28" s="37" t="s">
        <v>125</v>
      </c>
      <c r="D28" s="39">
        <v>2000</v>
      </c>
      <c r="E28" s="39">
        <v>1700</v>
      </c>
      <c r="F28" s="39">
        <v>16</v>
      </c>
      <c r="G28" s="39">
        <f t="shared" si="0"/>
        <v>355.5555555555556</v>
      </c>
      <c r="H28" s="39">
        <f t="shared" si="3"/>
        <v>64</v>
      </c>
      <c r="I28" s="40">
        <f t="shared" si="4"/>
        <v>3</v>
      </c>
      <c r="J28" s="37" t="s">
        <v>133</v>
      </c>
      <c r="K28" s="155" t="s">
        <v>127</v>
      </c>
    </row>
    <row r="29" spans="1:11" ht="20.100000000000001" customHeight="1">
      <c r="A29" s="153" t="s">
        <v>151</v>
      </c>
      <c r="B29" s="154" t="s">
        <v>138</v>
      </c>
      <c r="C29" s="37" t="s">
        <v>125</v>
      </c>
      <c r="D29" s="39">
        <v>700</v>
      </c>
      <c r="E29" s="39">
        <v>1000</v>
      </c>
      <c r="F29" s="39">
        <v>16</v>
      </c>
      <c r="G29" s="39">
        <f t="shared" si="0"/>
        <v>124.44444444444446</v>
      </c>
      <c r="H29" s="39">
        <f t="shared" si="3"/>
        <v>32</v>
      </c>
      <c r="I29" s="40">
        <f t="shared" si="4"/>
        <v>3</v>
      </c>
      <c r="J29" s="37" t="s">
        <v>133</v>
      </c>
      <c r="K29" s="155" t="s">
        <v>127</v>
      </c>
    </row>
    <row r="30" spans="1:11" ht="20.100000000000001" customHeight="1">
      <c r="A30" s="153" t="s">
        <v>152</v>
      </c>
      <c r="B30" s="154" t="s">
        <v>138</v>
      </c>
      <c r="C30" s="37" t="s">
        <v>125</v>
      </c>
      <c r="D30" s="39">
        <v>700</v>
      </c>
      <c r="E30" s="39">
        <v>1000</v>
      </c>
      <c r="F30" s="39">
        <v>8</v>
      </c>
      <c r="G30" s="39">
        <f t="shared" si="0"/>
        <v>62.222222222222229</v>
      </c>
      <c r="H30" s="39">
        <f t="shared" si="3"/>
        <v>16</v>
      </c>
      <c r="I30" s="40">
        <f t="shared" si="4"/>
        <v>2</v>
      </c>
      <c r="J30" s="37" t="s">
        <v>133</v>
      </c>
      <c r="K30" s="155" t="s">
        <v>127</v>
      </c>
    </row>
    <row r="31" spans="1:11" ht="20.100000000000001" customHeight="1">
      <c r="A31" s="153" t="s">
        <v>153</v>
      </c>
      <c r="B31" s="154" t="s">
        <v>138</v>
      </c>
      <c r="C31" s="37" t="s">
        <v>125</v>
      </c>
      <c r="D31" s="39">
        <v>500</v>
      </c>
      <c r="E31" s="39">
        <v>1700</v>
      </c>
      <c r="F31" s="39">
        <v>13</v>
      </c>
      <c r="G31" s="39">
        <f t="shared" si="0"/>
        <v>72.222222222222229</v>
      </c>
      <c r="H31" s="39">
        <f t="shared" si="3"/>
        <v>13</v>
      </c>
      <c r="I31" s="40">
        <f t="shared" si="4"/>
        <v>2</v>
      </c>
      <c r="J31" s="37" t="s">
        <v>133</v>
      </c>
      <c r="K31" s="155" t="s">
        <v>127</v>
      </c>
    </row>
    <row r="32" spans="1:11" ht="20.100000000000001" customHeight="1">
      <c r="A32" s="153" t="s">
        <v>154</v>
      </c>
      <c r="B32" s="154" t="s">
        <v>138</v>
      </c>
      <c r="C32" s="37" t="s">
        <v>125</v>
      </c>
      <c r="D32" s="39">
        <v>700</v>
      </c>
      <c r="E32" s="39">
        <v>1000</v>
      </c>
      <c r="F32" s="39">
        <f>9+85</f>
        <v>94</v>
      </c>
      <c r="G32" s="39">
        <f t="shared" si="0"/>
        <v>731.1111111111112</v>
      </c>
      <c r="H32" s="39">
        <f t="shared" si="3"/>
        <v>188</v>
      </c>
      <c r="I32" s="40">
        <f t="shared" si="4"/>
        <v>13</v>
      </c>
      <c r="J32" s="37" t="s">
        <v>133</v>
      </c>
      <c r="K32" s="155" t="s">
        <v>127</v>
      </c>
    </row>
    <row r="33" spans="1:11" ht="20.100000000000001" customHeight="1">
      <c r="A33" s="153" t="s">
        <v>155</v>
      </c>
      <c r="B33" s="154" t="s">
        <v>138</v>
      </c>
      <c r="C33" s="37" t="s">
        <v>125</v>
      </c>
      <c r="D33" s="39">
        <v>500</v>
      </c>
      <c r="E33" s="39">
        <v>1000</v>
      </c>
      <c r="F33" s="39">
        <v>4</v>
      </c>
      <c r="G33" s="39">
        <f t="shared" si="0"/>
        <v>22.222222222222225</v>
      </c>
      <c r="H33" s="39">
        <f t="shared" si="3"/>
        <v>4</v>
      </c>
      <c r="I33" s="40">
        <f t="shared" si="4"/>
        <v>1</v>
      </c>
      <c r="J33" s="37" t="s">
        <v>133</v>
      </c>
      <c r="K33" s="155" t="s">
        <v>127</v>
      </c>
    </row>
    <row r="34" spans="1:11" ht="20.100000000000001" customHeight="1">
      <c r="A34" s="153" t="s">
        <v>156</v>
      </c>
      <c r="B34" s="154" t="s">
        <v>138</v>
      </c>
      <c r="C34" s="37" t="s">
        <v>125</v>
      </c>
      <c r="D34" s="39">
        <v>500</v>
      </c>
      <c r="E34" s="39">
        <v>1000</v>
      </c>
      <c r="F34" s="39">
        <v>15</v>
      </c>
      <c r="G34" s="39">
        <f t="shared" si="0"/>
        <v>83.333333333333343</v>
      </c>
      <c r="H34" s="39">
        <f t="shared" si="3"/>
        <v>15</v>
      </c>
      <c r="I34" s="40">
        <f t="shared" si="4"/>
        <v>2</v>
      </c>
      <c r="J34" s="37" t="s">
        <v>133</v>
      </c>
      <c r="K34" s="155" t="s">
        <v>127</v>
      </c>
    </row>
    <row r="35" spans="1:11" ht="20.100000000000001" customHeight="1">
      <c r="A35" s="153" t="s">
        <v>157</v>
      </c>
      <c r="B35" s="154" t="s">
        <v>138</v>
      </c>
      <c r="C35" s="37" t="s">
        <v>125</v>
      </c>
      <c r="D35" s="39">
        <v>500</v>
      </c>
      <c r="E35" s="39">
        <v>1000</v>
      </c>
      <c r="F35" s="39">
        <v>15</v>
      </c>
      <c r="G35" s="39">
        <f t="shared" si="0"/>
        <v>83.333333333333343</v>
      </c>
      <c r="H35" s="39">
        <f t="shared" si="3"/>
        <v>15</v>
      </c>
      <c r="I35" s="40">
        <f t="shared" si="4"/>
        <v>2</v>
      </c>
      <c r="J35" s="37" t="s">
        <v>133</v>
      </c>
      <c r="K35" s="155" t="s">
        <v>127</v>
      </c>
    </row>
    <row r="36" spans="1:11" ht="20.100000000000001" customHeight="1">
      <c r="A36" s="153" t="s">
        <v>158</v>
      </c>
      <c r="B36" s="154" t="s">
        <v>138</v>
      </c>
      <c r="C36" s="37" t="s">
        <v>125</v>
      </c>
      <c r="D36" s="39">
        <v>700</v>
      </c>
      <c r="E36" s="39">
        <v>1000</v>
      </c>
      <c r="F36" s="39">
        <v>4</v>
      </c>
      <c r="G36" s="39">
        <f t="shared" si="0"/>
        <v>31.111111111111114</v>
      </c>
      <c r="H36" s="39">
        <f t="shared" si="3"/>
        <v>8</v>
      </c>
      <c r="I36" s="40">
        <f t="shared" si="4"/>
        <v>1</v>
      </c>
      <c r="J36" s="37" t="s">
        <v>133</v>
      </c>
      <c r="K36" s="155" t="s">
        <v>127</v>
      </c>
    </row>
    <row r="37" spans="1:11" ht="20.100000000000001" customHeight="1">
      <c r="A37" s="153" t="s">
        <v>159</v>
      </c>
      <c r="B37" s="154" t="s">
        <v>138</v>
      </c>
      <c r="C37" s="37" t="s">
        <v>125</v>
      </c>
      <c r="D37" s="39">
        <v>700</v>
      </c>
      <c r="E37" s="39">
        <v>1000</v>
      </c>
      <c r="F37" s="39">
        <v>4</v>
      </c>
      <c r="G37" s="39">
        <f t="shared" si="0"/>
        <v>31.111111111111114</v>
      </c>
      <c r="H37" s="39">
        <f t="shared" si="3"/>
        <v>8</v>
      </c>
      <c r="I37" s="40">
        <f t="shared" si="4"/>
        <v>1</v>
      </c>
      <c r="J37" s="37" t="s">
        <v>133</v>
      </c>
      <c r="K37" s="155" t="s">
        <v>127</v>
      </c>
    </row>
    <row r="38" spans="1:11" ht="20.100000000000001" customHeight="1">
      <c r="A38" s="153" t="s">
        <v>160</v>
      </c>
      <c r="B38" s="154" t="s">
        <v>138</v>
      </c>
      <c r="C38" s="37" t="s">
        <v>125</v>
      </c>
      <c r="D38" s="39">
        <v>700</v>
      </c>
      <c r="E38" s="39">
        <v>1000</v>
      </c>
      <c r="F38" s="39">
        <v>4</v>
      </c>
      <c r="G38" s="39">
        <f t="shared" si="0"/>
        <v>31.111111111111114</v>
      </c>
      <c r="H38" s="39">
        <f t="shared" si="3"/>
        <v>8</v>
      </c>
      <c r="I38" s="40">
        <f t="shared" si="4"/>
        <v>1</v>
      </c>
      <c r="J38" s="37" t="s">
        <v>133</v>
      </c>
      <c r="K38" s="155" t="s">
        <v>127</v>
      </c>
    </row>
    <row r="39" spans="1:11" ht="20.100000000000001" customHeight="1">
      <c r="A39" s="153" t="s">
        <v>161</v>
      </c>
      <c r="B39" s="154" t="s">
        <v>138</v>
      </c>
      <c r="C39" s="37" t="s">
        <v>125</v>
      </c>
      <c r="D39" s="39">
        <v>2200</v>
      </c>
      <c r="E39" s="39">
        <v>1700</v>
      </c>
      <c r="F39" s="39">
        <v>8</v>
      </c>
      <c r="G39" s="39">
        <f t="shared" si="0"/>
        <v>195.55555555555557</v>
      </c>
      <c r="H39" s="39">
        <f t="shared" si="3"/>
        <v>32</v>
      </c>
      <c r="I39" s="40">
        <f t="shared" si="4"/>
        <v>2</v>
      </c>
      <c r="J39" s="37" t="s">
        <v>133</v>
      </c>
      <c r="K39" s="155" t="s">
        <v>127</v>
      </c>
    </row>
    <row r="40" spans="1:11" ht="20.100000000000001" customHeight="1">
      <c r="A40" s="153" t="s">
        <v>162</v>
      </c>
      <c r="B40" s="154" t="s">
        <v>138</v>
      </c>
      <c r="C40" s="37" t="s">
        <v>125</v>
      </c>
      <c r="D40" s="39">
        <v>700</v>
      </c>
      <c r="E40" s="39">
        <v>1000</v>
      </c>
      <c r="F40" s="39">
        <v>8</v>
      </c>
      <c r="G40" s="39">
        <f t="shared" si="0"/>
        <v>62.222222222222229</v>
      </c>
      <c r="H40" s="39">
        <f t="shared" si="3"/>
        <v>16</v>
      </c>
      <c r="I40" s="40">
        <f t="shared" si="4"/>
        <v>2</v>
      </c>
      <c r="J40" s="37" t="s">
        <v>133</v>
      </c>
      <c r="K40" s="155" t="s">
        <v>127</v>
      </c>
    </row>
    <row r="41" spans="1:11" ht="20.100000000000001" customHeight="1">
      <c r="A41" s="153" t="s">
        <v>163</v>
      </c>
      <c r="B41" s="154" t="s">
        <v>138</v>
      </c>
      <c r="C41" s="37" t="s">
        <v>125</v>
      </c>
      <c r="D41" s="39">
        <v>2900</v>
      </c>
      <c r="E41" s="39">
        <v>1700</v>
      </c>
      <c r="F41" s="39">
        <v>8</v>
      </c>
      <c r="G41" s="39">
        <f t="shared" si="0"/>
        <v>257.77777777777783</v>
      </c>
      <c r="H41" s="39">
        <f t="shared" si="3"/>
        <v>40</v>
      </c>
      <c r="I41" s="40">
        <f t="shared" si="4"/>
        <v>2</v>
      </c>
      <c r="J41" s="37" t="s">
        <v>133</v>
      </c>
      <c r="K41" s="155" t="s">
        <v>127</v>
      </c>
    </row>
    <row r="42" spans="1:11" ht="20.100000000000001" customHeight="1">
      <c r="A42" s="153" t="s">
        <v>164</v>
      </c>
      <c r="B42" s="154" t="s">
        <v>138</v>
      </c>
      <c r="C42" s="37" t="s">
        <v>125</v>
      </c>
      <c r="D42" s="39">
        <v>700</v>
      </c>
      <c r="E42" s="39">
        <v>1000</v>
      </c>
      <c r="F42" s="39">
        <v>8</v>
      </c>
      <c r="G42" s="39">
        <f t="shared" si="0"/>
        <v>62.222222222222229</v>
      </c>
      <c r="H42" s="39">
        <f t="shared" si="3"/>
        <v>16</v>
      </c>
      <c r="I42" s="40">
        <f t="shared" si="4"/>
        <v>2</v>
      </c>
      <c r="J42" s="37" t="s">
        <v>133</v>
      </c>
      <c r="K42" s="155" t="s">
        <v>127</v>
      </c>
    </row>
    <row r="43" spans="1:11" ht="20.100000000000001" customHeight="1">
      <c r="A43" s="153" t="s">
        <v>165</v>
      </c>
      <c r="B43" s="154" t="s">
        <v>138</v>
      </c>
      <c r="C43" s="37" t="s">
        <v>125</v>
      </c>
      <c r="D43" s="39">
        <v>700</v>
      </c>
      <c r="E43" s="39">
        <v>1700</v>
      </c>
      <c r="F43" s="39">
        <v>4</v>
      </c>
      <c r="G43" s="39">
        <f t="shared" si="0"/>
        <v>31.111111111111114</v>
      </c>
      <c r="H43" s="39">
        <f t="shared" si="3"/>
        <v>8</v>
      </c>
      <c r="I43" s="40">
        <f t="shared" si="4"/>
        <v>1</v>
      </c>
      <c r="J43" s="37" t="s">
        <v>133</v>
      </c>
      <c r="K43" s="155" t="s">
        <v>127</v>
      </c>
    </row>
    <row r="44" spans="1:11" ht="20.100000000000001" customHeight="1">
      <c r="A44" s="153"/>
      <c r="B44" s="154"/>
      <c r="C44" s="37"/>
      <c r="D44" s="39"/>
      <c r="E44" s="39"/>
      <c r="F44" s="39"/>
      <c r="G44" s="39"/>
      <c r="H44" s="39"/>
      <c r="I44" s="40"/>
      <c r="J44" s="37"/>
      <c r="K44" s="155"/>
    </row>
    <row r="45" spans="1:11" ht="20.100000000000001" customHeight="1">
      <c r="A45" s="153" t="s">
        <v>166</v>
      </c>
      <c r="B45" s="154" t="s">
        <v>167</v>
      </c>
      <c r="C45" s="37" t="s">
        <v>125</v>
      </c>
      <c r="D45" s="39">
        <v>4100</v>
      </c>
      <c r="E45" s="39">
        <v>1200</v>
      </c>
      <c r="F45" s="39">
        <v>135</v>
      </c>
      <c r="G45" s="39">
        <f>(D45/0.3)*(F45/1000)/0.3</f>
        <v>6150.0000000000009</v>
      </c>
      <c r="H45" s="39">
        <f>ROUNDUP(D45/600,0)*F45</f>
        <v>945</v>
      </c>
      <c r="I45" s="40">
        <f t="shared" ref="I45:I65" si="5">(ROUNDUP((F45/15)*2,0))+L45*2+M45</f>
        <v>18</v>
      </c>
      <c r="J45" s="37" t="s">
        <v>168</v>
      </c>
      <c r="K45" s="155" t="s">
        <v>127</v>
      </c>
    </row>
    <row r="46" spans="1:11" ht="20.100000000000001" customHeight="1">
      <c r="A46" s="153" t="s">
        <v>169</v>
      </c>
      <c r="B46" s="154" t="s">
        <v>167</v>
      </c>
      <c r="C46" s="37" t="s">
        <v>125</v>
      </c>
      <c r="D46" s="39">
        <v>700</v>
      </c>
      <c r="E46" s="39">
        <v>1000</v>
      </c>
      <c r="F46" s="39">
        <v>135</v>
      </c>
      <c r="G46" s="39">
        <f>(D46/0.3)*(F46/1000)/0.3</f>
        <v>1050.0000000000002</v>
      </c>
      <c r="H46" s="39">
        <f>ROUNDUP(D46/600,0)*F46</f>
        <v>270</v>
      </c>
      <c r="I46" s="40">
        <f t="shared" si="5"/>
        <v>18</v>
      </c>
      <c r="J46" s="37" t="s">
        <v>168</v>
      </c>
      <c r="K46" s="155" t="s">
        <v>127</v>
      </c>
    </row>
    <row r="47" spans="1:11" ht="20.100000000000001" customHeight="1">
      <c r="A47" s="153"/>
      <c r="B47" s="154"/>
      <c r="C47" s="37"/>
      <c r="D47" s="39"/>
      <c r="E47" s="39"/>
      <c r="F47" s="39"/>
      <c r="G47" s="39">
        <f>(D47/0.3)*(F47/1000)/0.3</f>
        <v>0</v>
      </c>
      <c r="H47" s="39">
        <f>ROUNDUP(D47/600,0)*F47</f>
        <v>0</v>
      </c>
      <c r="I47" s="40">
        <f t="shared" si="5"/>
        <v>0</v>
      </c>
      <c r="J47" s="37"/>
      <c r="K47" s="155"/>
    </row>
    <row r="48" spans="1:11" ht="20.100000000000001" customHeight="1">
      <c r="A48" s="153" t="s">
        <v>170</v>
      </c>
      <c r="B48" s="154" t="s">
        <v>171</v>
      </c>
      <c r="C48" s="37" t="s">
        <v>125</v>
      </c>
      <c r="D48" s="39">
        <v>2200</v>
      </c>
      <c r="E48" s="39">
        <v>1700</v>
      </c>
      <c r="F48" s="39">
        <v>102</v>
      </c>
      <c r="G48" s="39">
        <f t="shared" si="0"/>
        <v>2493.3333333333335</v>
      </c>
      <c r="H48" s="39">
        <f t="shared" si="3"/>
        <v>408</v>
      </c>
      <c r="I48" s="40">
        <f t="shared" si="5"/>
        <v>14</v>
      </c>
      <c r="J48" s="37" t="s">
        <v>126</v>
      </c>
      <c r="K48" s="155" t="s">
        <v>127</v>
      </c>
    </row>
    <row r="49" spans="1:11" ht="20.100000000000001" customHeight="1">
      <c r="A49" s="153" t="s">
        <v>172</v>
      </c>
      <c r="B49" s="154" t="s">
        <v>171</v>
      </c>
      <c r="C49" s="37" t="s">
        <v>125</v>
      </c>
      <c r="D49" s="39">
        <v>700</v>
      </c>
      <c r="E49" s="39">
        <v>1000</v>
      </c>
      <c r="F49" s="39">
        <v>100</v>
      </c>
      <c r="G49" s="39">
        <f t="shared" si="0"/>
        <v>777.77777777777794</v>
      </c>
      <c r="H49" s="39">
        <f t="shared" si="3"/>
        <v>200</v>
      </c>
      <c r="I49" s="40">
        <f t="shared" si="5"/>
        <v>14</v>
      </c>
      <c r="J49" s="37" t="s">
        <v>126</v>
      </c>
      <c r="K49" s="155" t="s">
        <v>127</v>
      </c>
    </row>
    <row r="50" spans="1:11" ht="20.100000000000001" customHeight="1">
      <c r="A50" s="153" t="s">
        <v>173</v>
      </c>
      <c r="B50" s="154" t="s">
        <v>171</v>
      </c>
      <c r="C50" s="37" t="s">
        <v>125</v>
      </c>
      <c r="D50" s="39">
        <v>2200</v>
      </c>
      <c r="E50" s="39">
        <v>1700</v>
      </c>
      <c r="F50" s="39">
        <v>12</v>
      </c>
      <c r="G50" s="39">
        <f t="shared" si="0"/>
        <v>293.33333333333337</v>
      </c>
      <c r="H50" s="39">
        <f t="shared" si="3"/>
        <v>48</v>
      </c>
      <c r="I50" s="40">
        <f t="shared" si="5"/>
        <v>2</v>
      </c>
      <c r="J50" s="37" t="s">
        <v>126</v>
      </c>
      <c r="K50" s="155" t="s">
        <v>127</v>
      </c>
    </row>
    <row r="51" spans="1:11" ht="20.100000000000001" customHeight="1">
      <c r="A51" s="153" t="s">
        <v>174</v>
      </c>
      <c r="B51" s="154" t="s">
        <v>171</v>
      </c>
      <c r="C51" s="37" t="s">
        <v>125</v>
      </c>
      <c r="D51" s="39">
        <v>700</v>
      </c>
      <c r="E51" s="39">
        <v>1000</v>
      </c>
      <c r="F51" s="39">
        <v>12</v>
      </c>
      <c r="G51" s="39">
        <f t="shared" si="0"/>
        <v>93.333333333333343</v>
      </c>
      <c r="H51" s="39">
        <f t="shared" si="3"/>
        <v>24</v>
      </c>
      <c r="I51" s="40">
        <f t="shared" si="5"/>
        <v>2</v>
      </c>
      <c r="J51" s="37" t="s">
        <v>126</v>
      </c>
      <c r="K51" s="155" t="s">
        <v>127</v>
      </c>
    </row>
    <row r="52" spans="1:11" ht="20.100000000000001" customHeight="1">
      <c r="A52" s="153" t="s">
        <v>175</v>
      </c>
      <c r="B52" s="154" t="s">
        <v>171</v>
      </c>
      <c r="C52" s="37" t="s">
        <v>125</v>
      </c>
      <c r="D52" s="39">
        <v>700</v>
      </c>
      <c r="E52" s="39">
        <v>1000</v>
      </c>
      <c r="F52" s="39">
        <v>27</v>
      </c>
      <c r="G52" s="39">
        <f t="shared" si="0"/>
        <v>210</v>
      </c>
      <c r="H52" s="39">
        <f t="shared" si="3"/>
        <v>54</v>
      </c>
      <c r="I52" s="40">
        <f t="shared" si="5"/>
        <v>4</v>
      </c>
      <c r="J52" s="37" t="s">
        <v>126</v>
      </c>
      <c r="K52" s="155" t="s">
        <v>127</v>
      </c>
    </row>
    <row r="53" spans="1:11" ht="20.100000000000001" customHeight="1">
      <c r="A53" s="153" t="s">
        <v>176</v>
      </c>
      <c r="B53" s="154" t="s">
        <v>177</v>
      </c>
      <c r="C53" s="37" t="s">
        <v>125</v>
      </c>
      <c r="D53" s="39">
        <v>1100</v>
      </c>
      <c r="E53" s="39">
        <v>1700</v>
      </c>
      <c r="F53" s="39">
        <v>27</v>
      </c>
      <c r="G53" s="39">
        <f t="shared" si="0"/>
        <v>330</v>
      </c>
      <c r="H53" s="39">
        <f t="shared" si="3"/>
        <v>54</v>
      </c>
      <c r="I53" s="40">
        <f t="shared" si="5"/>
        <v>4</v>
      </c>
      <c r="J53" s="37" t="s">
        <v>126</v>
      </c>
      <c r="K53" s="155" t="s">
        <v>127</v>
      </c>
    </row>
    <row r="54" spans="1:11" ht="20.100000000000001" customHeight="1">
      <c r="A54" s="153" t="s">
        <v>178</v>
      </c>
      <c r="B54" s="154" t="s">
        <v>177</v>
      </c>
      <c r="C54" s="37" t="s">
        <v>125</v>
      </c>
      <c r="D54" s="39">
        <v>700</v>
      </c>
      <c r="E54" s="39">
        <v>1000</v>
      </c>
      <c r="F54" s="39">
        <v>8</v>
      </c>
      <c r="G54" s="39">
        <f t="shared" si="0"/>
        <v>62.222222222222229</v>
      </c>
      <c r="H54" s="39">
        <f t="shared" si="3"/>
        <v>16</v>
      </c>
      <c r="I54" s="40">
        <f t="shared" si="5"/>
        <v>2</v>
      </c>
      <c r="J54" s="37" t="s">
        <v>126</v>
      </c>
      <c r="K54" s="155" t="s">
        <v>127</v>
      </c>
    </row>
    <row r="55" spans="1:11" ht="20.100000000000001" customHeight="1">
      <c r="A55" s="153" t="s">
        <v>179</v>
      </c>
      <c r="B55" s="154" t="s">
        <v>177</v>
      </c>
      <c r="C55" s="37" t="s">
        <v>125</v>
      </c>
      <c r="D55" s="39">
        <v>500</v>
      </c>
      <c r="E55" s="39">
        <v>1000</v>
      </c>
      <c r="F55" s="39">
        <v>8</v>
      </c>
      <c r="G55" s="39">
        <f t="shared" si="0"/>
        <v>44.44444444444445</v>
      </c>
      <c r="H55" s="39">
        <f t="shared" si="3"/>
        <v>8</v>
      </c>
      <c r="I55" s="40">
        <f t="shared" si="5"/>
        <v>2</v>
      </c>
      <c r="J55" s="37" t="s">
        <v>126</v>
      </c>
      <c r="K55" s="155" t="s">
        <v>127</v>
      </c>
    </row>
    <row r="56" spans="1:11" ht="20.100000000000001" customHeight="1">
      <c r="A56" s="153" t="s">
        <v>180</v>
      </c>
      <c r="B56" s="154" t="s">
        <v>177</v>
      </c>
      <c r="C56" s="37" t="s">
        <v>125</v>
      </c>
      <c r="D56" s="39">
        <v>1600</v>
      </c>
      <c r="E56" s="39">
        <v>1700</v>
      </c>
      <c r="F56" s="39">
        <v>40</v>
      </c>
      <c r="G56" s="39">
        <f t="shared" si="0"/>
        <v>711.11111111111131</v>
      </c>
      <c r="H56" s="39">
        <f t="shared" si="3"/>
        <v>120</v>
      </c>
      <c r="I56" s="40">
        <f t="shared" si="5"/>
        <v>6</v>
      </c>
      <c r="J56" s="37" t="s">
        <v>126</v>
      </c>
      <c r="K56" s="155" t="s">
        <v>127</v>
      </c>
    </row>
    <row r="57" spans="1:11" ht="20.100000000000001" customHeight="1">
      <c r="A57" s="153" t="s">
        <v>181</v>
      </c>
      <c r="B57" s="154" t="s">
        <v>177</v>
      </c>
      <c r="C57" s="37" t="s">
        <v>125</v>
      </c>
      <c r="D57" s="39">
        <v>700</v>
      </c>
      <c r="E57" s="39">
        <v>1000</v>
      </c>
      <c r="F57" s="39">
        <v>40</v>
      </c>
      <c r="G57" s="39">
        <f t="shared" si="0"/>
        <v>311.11111111111114</v>
      </c>
      <c r="H57" s="39">
        <f t="shared" si="3"/>
        <v>80</v>
      </c>
      <c r="I57" s="40">
        <f t="shared" si="5"/>
        <v>6</v>
      </c>
      <c r="J57" s="37" t="s">
        <v>126</v>
      </c>
      <c r="K57" s="155" t="s">
        <v>127</v>
      </c>
    </row>
    <row r="58" spans="1:11" ht="20.100000000000001" customHeight="1">
      <c r="A58" s="153" t="s">
        <v>182</v>
      </c>
      <c r="B58" s="154" t="s">
        <v>177</v>
      </c>
      <c r="C58" s="37" t="s">
        <v>125</v>
      </c>
      <c r="D58" s="39">
        <v>700</v>
      </c>
      <c r="E58" s="39">
        <v>1000</v>
      </c>
      <c r="F58" s="39">
        <v>27</v>
      </c>
      <c r="G58" s="39">
        <f t="shared" si="0"/>
        <v>210</v>
      </c>
      <c r="H58" s="39">
        <f t="shared" si="3"/>
        <v>54</v>
      </c>
      <c r="I58" s="40">
        <f t="shared" si="5"/>
        <v>4</v>
      </c>
      <c r="J58" s="37" t="s">
        <v>126</v>
      </c>
      <c r="K58" s="155" t="s">
        <v>127</v>
      </c>
    </row>
    <row r="59" spans="1:11" ht="20.100000000000001" customHeight="1">
      <c r="A59" s="153" t="s">
        <v>183</v>
      </c>
      <c r="B59" s="154" t="s">
        <v>177</v>
      </c>
      <c r="C59" s="37" t="s">
        <v>125</v>
      </c>
      <c r="D59" s="39">
        <v>1100</v>
      </c>
      <c r="E59" s="39">
        <v>1700</v>
      </c>
      <c r="F59" s="39">
        <v>27</v>
      </c>
      <c r="G59" s="39">
        <f t="shared" si="0"/>
        <v>330</v>
      </c>
      <c r="H59" s="39">
        <f t="shared" si="3"/>
        <v>54</v>
      </c>
      <c r="I59" s="40">
        <f t="shared" si="5"/>
        <v>4</v>
      </c>
      <c r="J59" s="37" t="s">
        <v>126</v>
      </c>
      <c r="K59" s="155" t="s">
        <v>127</v>
      </c>
    </row>
    <row r="60" spans="1:11" ht="20.100000000000001" customHeight="1">
      <c r="A60" s="153" t="s">
        <v>184</v>
      </c>
      <c r="B60" s="154" t="s">
        <v>177</v>
      </c>
      <c r="C60" s="37" t="s">
        <v>125</v>
      </c>
      <c r="D60" s="39">
        <v>700</v>
      </c>
      <c r="E60" s="39">
        <v>1000</v>
      </c>
      <c r="F60" s="39">
        <v>8</v>
      </c>
      <c r="G60" s="39">
        <f t="shared" si="0"/>
        <v>62.222222222222229</v>
      </c>
      <c r="H60" s="39">
        <f t="shared" si="3"/>
        <v>16</v>
      </c>
      <c r="I60" s="40">
        <f t="shared" si="5"/>
        <v>2</v>
      </c>
      <c r="J60" s="37" t="s">
        <v>126</v>
      </c>
      <c r="K60" s="155" t="s">
        <v>127</v>
      </c>
    </row>
    <row r="61" spans="1:11" ht="20.100000000000001" customHeight="1">
      <c r="A61" s="153" t="s">
        <v>185</v>
      </c>
      <c r="B61" s="154" t="s">
        <v>177</v>
      </c>
      <c r="C61" s="37" t="s">
        <v>125</v>
      </c>
      <c r="D61" s="39">
        <v>500</v>
      </c>
      <c r="E61" s="39">
        <v>1000</v>
      </c>
      <c r="F61" s="39">
        <v>8</v>
      </c>
      <c r="G61" s="39">
        <f t="shared" si="0"/>
        <v>44.44444444444445</v>
      </c>
      <c r="H61" s="39">
        <f t="shared" si="3"/>
        <v>8</v>
      </c>
      <c r="I61" s="40">
        <f t="shared" si="5"/>
        <v>2</v>
      </c>
      <c r="J61" s="37" t="s">
        <v>126</v>
      </c>
      <c r="K61" s="155" t="s">
        <v>127</v>
      </c>
    </row>
    <row r="62" spans="1:11" ht="20.100000000000001" customHeight="1">
      <c r="A62" s="153" t="s">
        <v>186</v>
      </c>
      <c r="B62" s="154" t="s">
        <v>177</v>
      </c>
      <c r="C62" s="37" t="s">
        <v>125</v>
      </c>
      <c r="D62" s="39">
        <v>1100</v>
      </c>
      <c r="E62" s="39">
        <v>1700</v>
      </c>
      <c r="F62" s="39">
        <v>69</v>
      </c>
      <c r="G62" s="39">
        <f t="shared" si="0"/>
        <v>843.33333333333348</v>
      </c>
      <c r="H62" s="39">
        <f t="shared" si="3"/>
        <v>138</v>
      </c>
      <c r="I62" s="40">
        <f t="shared" si="5"/>
        <v>10</v>
      </c>
      <c r="J62" s="37" t="s">
        <v>126</v>
      </c>
      <c r="K62" s="155" t="s">
        <v>127</v>
      </c>
    </row>
    <row r="63" spans="1:11" ht="20.100000000000001" customHeight="1">
      <c r="A63" s="153" t="s">
        <v>187</v>
      </c>
      <c r="B63" s="154" t="s">
        <v>177</v>
      </c>
      <c r="C63" s="37" t="s">
        <v>125</v>
      </c>
      <c r="D63" s="39">
        <v>700</v>
      </c>
      <c r="E63" s="39">
        <v>1000</v>
      </c>
      <c r="F63" s="39">
        <v>69</v>
      </c>
      <c r="G63" s="39">
        <f t="shared" si="0"/>
        <v>536.66666666666674</v>
      </c>
      <c r="H63" s="39">
        <f t="shared" si="3"/>
        <v>138</v>
      </c>
      <c r="I63" s="40">
        <f t="shared" si="5"/>
        <v>10</v>
      </c>
      <c r="J63" s="37" t="s">
        <v>126</v>
      </c>
      <c r="K63" s="155" t="s">
        <v>127</v>
      </c>
    </row>
    <row r="64" spans="1:11" ht="20.100000000000001" customHeight="1">
      <c r="A64" s="153" t="s">
        <v>188</v>
      </c>
      <c r="B64" s="154" t="s">
        <v>177</v>
      </c>
      <c r="C64" s="37" t="s">
        <v>125</v>
      </c>
      <c r="D64" s="39">
        <v>700</v>
      </c>
      <c r="E64" s="39">
        <v>1000</v>
      </c>
      <c r="F64" s="39">
        <v>8</v>
      </c>
      <c r="G64" s="39">
        <f t="shared" si="0"/>
        <v>62.222222222222229</v>
      </c>
      <c r="H64" s="39">
        <f t="shared" si="3"/>
        <v>16</v>
      </c>
      <c r="I64" s="40">
        <f t="shared" si="5"/>
        <v>2</v>
      </c>
      <c r="J64" s="37" t="s">
        <v>126</v>
      </c>
      <c r="K64" s="155" t="s">
        <v>127</v>
      </c>
    </row>
    <row r="65" spans="1:14" ht="20.100000000000001" customHeight="1">
      <c r="A65" s="153" t="s">
        <v>189</v>
      </c>
      <c r="B65" s="154" t="s">
        <v>177</v>
      </c>
      <c r="C65" s="37" t="s">
        <v>125</v>
      </c>
      <c r="D65" s="39">
        <v>500</v>
      </c>
      <c r="E65" s="39">
        <v>1000</v>
      </c>
      <c r="F65" s="39">
        <v>8</v>
      </c>
      <c r="G65" s="39">
        <f t="shared" si="0"/>
        <v>44.44444444444445</v>
      </c>
      <c r="H65" s="39">
        <f t="shared" si="3"/>
        <v>8</v>
      </c>
      <c r="I65" s="40">
        <f t="shared" si="5"/>
        <v>2</v>
      </c>
      <c r="J65" s="37" t="s">
        <v>126</v>
      </c>
      <c r="K65" s="155" t="s">
        <v>127</v>
      </c>
    </row>
    <row r="66" spans="1:14" ht="20.100000000000001" customHeight="1">
      <c r="A66" s="153"/>
      <c r="B66" s="154"/>
      <c r="C66" s="37"/>
      <c r="D66" s="39"/>
      <c r="E66" s="39"/>
      <c r="F66" s="39"/>
      <c r="G66" s="39"/>
      <c r="H66" s="39"/>
      <c r="I66" s="40"/>
      <c r="J66" s="37"/>
      <c r="K66" s="155"/>
    </row>
    <row r="67" spans="1:14" ht="20.100000000000001" customHeight="1">
      <c r="A67" s="153" t="s">
        <v>190</v>
      </c>
      <c r="B67" s="154" t="s">
        <v>191</v>
      </c>
      <c r="C67" s="37" t="s">
        <v>125</v>
      </c>
      <c r="D67" s="39">
        <v>4100</v>
      </c>
      <c r="E67" s="39">
        <v>700</v>
      </c>
      <c r="F67" s="39">
        <v>65</v>
      </c>
      <c r="G67" s="39">
        <f t="shared" si="0"/>
        <v>2961.1111111111118</v>
      </c>
      <c r="H67" s="39">
        <f t="shared" ref="H67:H68" si="6">ROUNDUP(D67/600,0)*F67</f>
        <v>455</v>
      </c>
      <c r="I67" s="40">
        <f t="shared" ref="I67:I76" si="7">(ROUNDUP((F67/15)*2,0))+L67*2+M67</f>
        <v>9</v>
      </c>
      <c r="J67" s="37" t="s">
        <v>192</v>
      </c>
      <c r="K67" s="155" t="s">
        <v>127</v>
      </c>
    </row>
    <row r="68" spans="1:14" ht="20.100000000000001" customHeight="1">
      <c r="A68" s="153" t="s">
        <v>193</v>
      </c>
      <c r="B68" s="154" t="s">
        <v>191</v>
      </c>
      <c r="C68" s="37" t="s">
        <v>125</v>
      </c>
      <c r="D68" s="39">
        <v>700</v>
      </c>
      <c r="E68" s="39">
        <v>700</v>
      </c>
      <c r="F68" s="39">
        <v>65</v>
      </c>
      <c r="G68" s="39">
        <f t="shared" si="0"/>
        <v>505.55555555555566</v>
      </c>
      <c r="H68" s="39">
        <f t="shared" si="6"/>
        <v>130</v>
      </c>
      <c r="I68" s="40">
        <f t="shared" si="7"/>
        <v>9</v>
      </c>
      <c r="J68" s="37" t="s">
        <v>192</v>
      </c>
      <c r="K68" s="155" t="s">
        <v>127</v>
      </c>
    </row>
    <row r="69" spans="1:14" ht="20.100000000000001" customHeight="1">
      <c r="A69" s="153"/>
      <c r="B69" s="154"/>
      <c r="C69" s="37"/>
      <c r="D69" s="39"/>
      <c r="E69" s="39"/>
      <c r="F69" s="39"/>
      <c r="G69" s="39"/>
      <c r="H69" s="39"/>
      <c r="I69" s="40"/>
      <c r="J69" s="37"/>
      <c r="K69" s="155"/>
    </row>
    <row r="70" spans="1:14" ht="20.100000000000001" customHeight="1">
      <c r="A70" s="156" t="s">
        <v>194</v>
      </c>
      <c r="B70" s="157" t="s">
        <v>195</v>
      </c>
      <c r="C70" s="158" t="s">
        <v>125</v>
      </c>
      <c r="D70" s="159">
        <v>500</v>
      </c>
      <c r="E70" s="159">
        <v>700</v>
      </c>
      <c r="F70" s="159">
        <v>37</v>
      </c>
      <c r="G70" s="159">
        <f t="shared" ref="G70:G76" si="8">(D70/0.3)*(F70/1000)/0.3</f>
        <v>205.55555555555554</v>
      </c>
      <c r="H70" s="159">
        <f t="shared" ref="H70:H80" si="9">ROUNDUP(D70/600,0)*F70</f>
        <v>37</v>
      </c>
      <c r="I70" s="160" t="e">
        <f t="shared" si="7"/>
        <v>#VALUE!</v>
      </c>
      <c r="J70" s="161" t="s">
        <v>196</v>
      </c>
      <c r="K70" s="162" t="s">
        <v>127</v>
      </c>
      <c r="L70" s="2" t="s">
        <v>197</v>
      </c>
      <c r="N70" s="5">
        <v>20241125</v>
      </c>
    </row>
    <row r="71" spans="1:14" ht="20.100000000000001" customHeight="1">
      <c r="A71" s="156" t="s">
        <v>198</v>
      </c>
      <c r="B71" s="157" t="s">
        <v>195</v>
      </c>
      <c r="C71" s="158" t="s">
        <v>125</v>
      </c>
      <c r="D71" s="159">
        <v>500</v>
      </c>
      <c r="E71" s="159">
        <v>700</v>
      </c>
      <c r="F71" s="159">
        <v>17</v>
      </c>
      <c r="G71" s="159">
        <f t="shared" si="8"/>
        <v>94.444444444444457</v>
      </c>
      <c r="H71" s="159">
        <f t="shared" si="9"/>
        <v>17</v>
      </c>
      <c r="I71" s="160" t="e">
        <f t="shared" si="7"/>
        <v>#VALUE!</v>
      </c>
      <c r="J71" s="158"/>
      <c r="K71" s="162" t="s">
        <v>127</v>
      </c>
      <c r="L71" s="2" t="s">
        <v>197</v>
      </c>
      <c r="N71" s="5">
        <v>20241125</v>
      </c>
    </row>
    <row r="72" spans="1:14" ht="20.100000000000001" customHeight="1">
      <c r="A72" s="156" t="s">
        <v>199</v>
      </c>
      <c r="B72" s="157" t="s">
        <v>195</v>
      </c>
      <c r="C72" s="158" t="s">
        <v>125</v>
      </c>
      <c r="D72" s="159">
        <v>500</v>
      </c>
      <c r="E72" s="159">
        <v>700</v>
      </c>
      <c r="F72" s="159">
        <v>25</v>
      </c>
      <c r="G72" s="159">
        <f t="shared" si="8"/>
        <v>138.88888888888891</v>
      </c>
      <c r="H72" s="159">
        <f t="shared" si="9"/>
        <v>25</v>
      </c>
      <c r="I72" s="160" t="e">
        <f t="shared" si="7"/>
        <v>#VALUE!</v>
      </c>
      <c r="J72" s="158"/>
      <c r="K72" s="162" t="s">
        <v>127</v>
      </c>
      <c r="L72" s="2" t="s">
        <v>197</v>
      </c>
      <c r="N72" s="5">
        <v>20241125</v>
      </c>
    </row>
    <row r="73" spans="1:14" ht="20.100000000000001" customHeight="1">
      <c r="A73" s="156" t="s">
        <v>200</v>
      </c>
      <c r="B73" s="157" t="s">
        <v>195</v>
      </c>
      <c r="C73" s="158" t="s">
        <v>125</v>
      </c>
      <c r="D73" s="159">
        <v>500</v>
      </c>
      <c r="E73" s="159">
        <v>700</v>
      </c>
      <c r="F73" s="159">
        <v>13</v>
      </c>
      <c r="G73" s="159">
        <f t="shared" si="8"/>
        <v>72.222222222222229</v>
      </c>
      <c r="H73" s="159">
        <f t="shared" si="9"/>
        <v>13</v>
      </c>
      <c r="I73" s="160" t="e">
        <f t="shared" si="7"/>
        <v>#VALUE!</v>
      </c>
      <c r="J73" s="158"/>
      <c r="K73" s="162" t="s">
        <v>127</v>
      </c>
      <c r="L73" s="2" t="s">
        <v>197</v>
      </c>
      <c r="N73" s="5">
        <v>20241125</v>
      </c>
    </row>
    <row r="74" spans="1:14" ht="20.100000000000001" customHeight="1">
      <c r="A74" s="156" t="s">
        <v>201</v>
      </c>
      <c r="B74" s="157" t="s">
        <v>195</v>
      </c>
      <c r="C74" s="158" t="s">
        <v>125</v>
      </c>
      <c r="D74" s="159">
        <v>500</v>
      </c>
      <c r="E74" s="159">
        <v>700</v>
      </c>
      <c r="F74" s="159">
        <v>2</v>
      </c>
      <c r="G74" s="159">
        <f t="shared" si="8"/>
        <v>11.111111111111112</v>
      </c>
      <c r="H74" s="159">
        <f t="shared" si="9"/>
        <v>2</v>
      </c>
      <c r="I74" s="160" t="e">
        <f t="shared" si="7"/>
        <v>#VALUE!</v>
      </c>
      <c r="J74" s="158"/>
      <c r="K74" s="162" t="s">
        <v>127</v>
      </c>
      <c r="L74" s="2" t="s">
        <v>197</v>
      </c>
      <c r="N74" s="5">
        <v>20241125</v>
      </c>
    </row>
    <row r="75" spans="1:14" ht="20.100000000000001" customHeight="1">
      <c r="A75" s="156" t="s">
        <v>202</v>
      </c>
      <c r="B75" s="157" t="s">
        <v>195</v>
      </c>
      <c r="C75" s="158" t="s">
        <v>125</v>
      </c>
      <c r="D75" s="159">
        <v>500</v>
      </c>
      <c r="E75" s="159">
        <v>700</v>
      </c>
      <c r="F75" s="159">
        <v>64</v>
      </c>
      <c r="G75" s="159">
        <f t="shared" si="8"/>
        <v>355.5555555555556</v>
      </c>
      <c r="H75" s="159">
        <f t="shared" si="9"/>
        <v>64</v>
      </c>
      <c r="I75" s="160" t="e">
        <f t="shared" si="7"/>
        <v>#VALUE!</v>
      </c>
      <c r="J75" s="158"/>
      <c r="K75" s="162" t="s">
        <v>127</v>
      </c>
      <c r="L75" s="2" t="s">
        <v>197</v>
      </c>
      <c r="N75" s="5">
        <v>20241125</v>
      </c>
    </row>
    <row r="76" spans="1:14" ht="20.100000000000001" customHeight="1">
      <c r="A76" s="156" t="s">
        <v>203</v>
      </c>
      <c r="B76" s="157" t="s">
        <v>195</v>
      </c>
      <c r="C76" s="158" t="s">
        <v>125</v>
      </c>
      <c r="D76" s="159">
        <v>1000</v>
      </c>
      <c r="E76" s="159">
        <v>1200</v>
      </c>
      <c r="F76" s="159">
        <f>928-42</f>
        <v>886</v>
      </c>
      <c r="G76" s="159">
        <f t="shared" si="8"/>
        <v>9844.4444444444453</v>
      </c>
      <c r="H76" s="159">
        <f t="shared" si="9"/>
        <v>1772</v>
      </c>
      <c r="I76" s="160" t="e">
        <f t="shared" si="7"/>
        <v>#VALUE!</v>
      </c>
      <c r="J76" s="158"/>
      <c r="K76" s="162" t="s">
        <v>127</v>
      </c>
      <c r="L76" s="2" t="s">
        <v>197</v>
      </c>
      <c r="N76" s="5">
        <v>20241125</v>
      </c>
    </row>
    <row r="77" spans="1:14" ht="20.100000000000001" customHeight="1">
      <c r="A77" s="153"/>
      <c r="B77" s="154"/>
      <c r="C77" s="37"/>
      <c r="D77" s="39"/>
      <c r="E77" s="39"/>
      <c r="F77" s="39"/>
      <c r="G77" s="39"/>
      <c r="H77" s="39"/>
      <c r="I77" s="40"/>
      <c r="J77" s="37"/>
      <c r="K77" s="155"/>
    </row>
    <row r="78" spans="1:14" ht="20.100000000000001" customHeight="1">
      <c r="A78" s="153"/>
      <c r="B78" s="154" t="s">
        <v>204</v>
      </c>
      <c r="C78" s="37" t="s">
        <v>125</v>
      </c>
      <c r="D78" s="39">
        <v>500</v>
      </c>
      <c r="E78" s="39">
        <v>700</v>
      </c>
      <c r="F78" s="39">
        <v>3000</v>
      </c>
      <c r="G78" s="39">
        <f t="shared" ref="G78:G80" si="10">(D78/0.3)*(F78/1000)/0.3</f>
        <v>16666.666666666668</v>
      </c>
      <c r="H78" s="39">
        <f t="shared" si="9"/>
        <v>3000</v>
      </c>
      <c r="I78" s="40" t="e">
        <f>(ROUNDUP((F78/15)*2,0))+L78*2+M78</f>
        <v>#VALUE!</v>
      </c>
      <c r="J78" s="44" t="s">
        <v>205</v>
      </c>
      <c r="K78" s="155" t="s">
        <v>127</v>
      </c>
      <c r="L78" s="2" t="s">
        <v>168</v>
      </c>
    </row>
    <row r="79" spans="1:14" ht="20.100000000000001" customHeight="1">
      <c r="A79" s="153"/>
      <c r="B79" s="154" t="s">
        <v>204</v>
      </c>
      <c r="C79" s="37" t="s">
        <v>125</v>
      </c>
      <c r="D79" s="39">
        <v>500</v>
      </c>
      <c r="E79" s="39">
        <v>700</v>
      </c>
      <c r="F79" s="39">
        <v>500</v>
      </c>
      <c r="G79" s="39">
        <f t="shared" si="10"/>
        <v>2777.7777777777778</v>
      </c>
      <c r="H79" s="39">
        <f t="shared" si="9"/>
        <v>500</v>
      </c>
      <c r="I79" s="40" t="e">
        <f>(ROUNDUP((F79/15)*2,0))+L79*2+M79</f>
        <v>#VALUE!</v>
      </c>
      <c r="J79" s="44" t="s">
        <v>206</v>
      </c>
      <c r="K79" s="155" t="s">
        <v>127</v>
      </c>
      <c r="L79" s="2" t="s">
        <v>168</v>
      </c>
    </row>
    <row r="80" spans="1:14" ht="20.100000000000001" customHeight="1">
      <c r="A80" s="153"/>
      <c r="B80" s="154" t="s">
        <v>204</v>
      </c>
      <c r="C80" s="37" t="s">
        <v>125</v>
      </c>
      <c r="D80" s="39">
        <v>2200</v>
      </c>
      <c r="E80" s="39">
        <v>1000</v>
      </c>
      <c r="F80" s="39">
        <v>750</v>
      </c>
      <c r="G80" s="39">
        <f t="shared" si="10"/>
        <v>18333.333333333336</v>
      </c>
      <c r="H80" s="39">
        <f t="shared" si="9"/>
        <v>3000</v>
      </c>
      <c r="I80" s="40" t="e">
        <f>(ROUNDUP((F80/15)*2,0))+L80*2+M80</f>
        <v>#VALUE!</v>
      </c>
      <c r="J80" s="44" t="s">
        <v>207</v>
      </c>
      <c r="K80" s="155" t="s">
        <v>127</v>
      </c>
      <c r="L80" s="2" t="s">
        <v>168</v>
      </c>
    </row>
    <row r="81" spans="1:14" ht="20.100000000000001" customHeight="1">
      <c r="A81" s="163"/>
      <c r="B81" s="154"/>
      <c r="C81" s="37"/>
      <c r="D81" s="39"/>
      <c r="E81" s="39"/>
      <c r="F81" s="164"/>
      <c r="G81" s="39"/>
      <c r="H81" s="39"/>
      <c r="I81" s="40"/>
      <c r="J81" s="44"/>
      <c r="K81" s="155"/>
    </row>
    <row r="82" spans="1:14" ht="20.100000000000001" customHeight="1">
      <c r="A82" s="156" t="s">
        <v>208</v>
      </c>
      <c r="B82" s="157" t="s">
        <v>209</v>
      </c>
      <c r="C82" s="158" t="s">
        <v>125</v>
      </c>
      <c r="D82" s="159">
        <v>900</v>
      </c>
      <c r="E82" s="159">
        <v>1200</v>
      </c>
      <c r="F82" s="159">
        <v>903</v>
      </c>
      <c r="G82" s="159">
        <f t="shared" ref="G82:G85" si="11">(D82/0.3)*(F82/1000)/0.3</f>
        <v>9030</v>
      </c>
      <c r="H82" s="159">
        <f t="shared" ref="H82:H85" si="12">ROUNDUP(D82/600,0)*F82</f>
        <v>1806</v>
      </c>
      <c r="I82" s="160">
        <f t="shared" ref="I82:I85" si="13">(ROUNDUP((F82/15)*2,0))+L82*2+M82</f>
        <v>121</v>
      </c>
      <c r="J82" s="161" t="s">
        <v>210</v>
      </c>
      <c r="K82" s="162" t="s">
        <v>127</v>
      </c>
      <c r="N82" s="5">
        <v>20241125</v>
      </c>
    </row>
    <row r="83" spans="1:14" ht="20.100000000000001" customHeight="1">
      <c r="A83" s="156" t="s">
        <v>211</v>
      </c>
      <c r="B83" s="157" t="s">
        <v>209</v>
      </c>
      <c r="C83" s="158" t="s">
        <v>125</v>
      </c>
      <c r="D83" s="159">
        <v>600</v>
      </c>
      <c r="E83" s="159">
        <v>700</v>
      </c>
      <c r="F83" s="159">
        <v>28</v>
      </c>
      <c r="G83" s="159">
        <f t="shared" si="11"/>
        <v>186.66666666666669</v>
      </c>
      <c r="H83" s="159">
        <f t="shared" si="12"/>
        <v>28</v>
      </c>
      <c r="I83" s="160">
        <f t="shared" si="13"/>
        <v>4</v>
      </c>
      <c r="J83" s="158"/>
      <c r="K83" s="162" t="s">
        <v>127</v>
      </c>
      <c r="N83" s="5">
        <v>20241125</v>
      </c>
    </row>
    <row r="84" spans="1:14" ht="20.100000000000001" customHeight="1">
      <c r="A84" s="156" t="s">
        <v>212</v>
      </c>
      <c r="B84" s="157" t="s">
        <v>209</v>
      </c>
      <c r="C84" s="158" t="s">
        <v>125</v>
      </c>
      <c r="D84" s="159">
        <v>500</v>
      </c>
      <c r="E84" s="159">
        <v>700</v>
      </c>
      <c r="F84" s="159">
        <v>8</v>
      </c>
      <c r="G84" s="159">
        <f t="shared" si="11"/>
        <v>44.44444444444445</v>
      </c>
      <c r="H84" s="159">
        <f t="shared" si="12"/>
        <v>8</v>
      </c>
      <c r="I84" s="160">
        <f t="shared" si="13"/>
        <v>2</v>
      </c>
      <c r="J84" s="158"/>
      <c r="K84" s="162" t="s">
        <v>127</v>
      </c>
      <c r="N84" s="5">
        <v>20241125</v>
      </c>
    </row>
    <row r="85" spans="1:14" ht="20.100000000000001" customHeight="1">
      <c r="A85" s="156" t="s">
        <v>213</v>
      </c>
      <c r="B85" s="157" t="s">
        <v>209</v>
      </c>
      <c r="C85" s="158" t="s">
        <v>125</v>
      </c>
      <c r="D85" s="159">
        <v>500</v>
      </c>
      <c r="E85" s="159">
        <v>700</v>
      </c>
      <c r="F85" s="159">
        <v>8</v>
      </c>
      <c r="G85" s="159">
        <f t="shared" si="11"/>
        <v>44.44444444444445</v>
      </c>
      <c r="H85" s="159">
        <f t="shared" si="12"/>
        <v>8</v>
      </c>
      <c r="I85" s="160">
        <f t="shared" si="13"/>
        <v>2</v>
      </c>
      <c r="J85" s="158"/>
      <c r="K85" s="162" t="s">
        <v>127</v>
      </c>
      <c r="N85" s="5">
        <v>20241125</v>
      </c>
    </row>
    <row r="86" spans="1:14" ht="20.100000000000001" customHeight="1">
      <c r="A86" s="153"/>
      <c r="B86" s="154"/>
      <c r="C86" s="37"/>
      <c r="D86" s="39"/>
      <c r="E86" s="39"/>
      <c r="F86" s="39"/>
      <c r="G86" s="39"/>
      <c r="H86" s="39"/>
      <c r="I86" s="40"/>
      <c r="J86" s="37"/>
      <c r="K86" s="155"/>
    </row>
    <row r="87" spans="1:14" ht="20.100000000000001" customHeight="1">
      <c r="A87" s="156" t="s">
        <v>214</v>
      </c>
      <c r="B87" s="157" t="s">
        <v>215</v>
      </c>
      <c r="C87" s="158" t="s">
        <v>125</v>
      </c>
      <c r="D87" s="159">
        <v>1000</v>
      </c>
      <c r="E87" s="159">
        <v>1200</v>
      </c>
      <c r="F87" s="159">
        <v>840</v>
      </c>
      <c r="G87" s="159">
        <f t="shared" ref="G87" si="14">(D87/0.3)*(F87/1000)/0.3</f>
        <v>9333.3333333333339</v>
      </c>
      <c r="H87" s="159">
        <f t="shared" ref="H87" si="15">ROUNDUP(D87/600,0)*F87</f>
        <v>1680</v>
      </c>
      <c r="I87" s="160" t="e">
        <f t="shared" ref="I87" si="16">(ROUNDUP((F87/15)*2,0))+L87*2+M87</f>
        <v>#VALUE!</v>
      </c>
      <c r="J87" s="161" t="s">
        <v>216</v>
      </c>
      <c r="K87" s="162" t="s">
        <v>127</v>
      </c>
      <c r="L87" s="2" t="s">
        <v>217</v>
      </c>
      <c r="N87" s="5">
        <v>20241125</v>
      </c>
    </row>
    <row r="88" spans="1:14" ht="20.100000000000001" customHeight="1">
      <c r="A88" s="156" t="s">
        <v>214</v>
      </c>
      <c r="B88" s="157" t="s">
        <v>215</v>
      </c>
      <c r="C88" s="158" t="s">
        <v>218</v>
      </c>
      <c r="D88" s="159">
        <v>5000</v>
      </c>
      <c r="E88" s="159">
        <v>700</v>
      </c>
      <c r="F88" s="159">
        <v>10</v>
      </c>
      <c r="G88" s="159">
        <v>555.55555555555566</v>
      </c>
      <c r="H88" s="159">
        <v>90</v>
      </c>
      <c r="I88" s="160">
        <v>2</v>
      </c>
      <c r="J88" s="158"/>
      <c r="K88" s="162" t="s">
        <v>127</v>
      </c>
      <c r="L88" s="2" t="s">
        <v>217</v>
      </c>
      <c r="N88" s="5">
        <v>20241125</v>
      </c>
    </row>
    <row r="89" spans="1:14" ht="20.100000000000001" customHeight="1">
      <c r="A89" s="156" t="s">
        <v>214</v>
      </c>
      <c r="B89" s="157" t="s">
        <v>215</v>
      </c>
      <c r="C89" s="158" t="s">
        <v>218</v>
      </c>
      <c r="D89" s="159">
        <v>5000</v>
      </c>
      <c r="E89" s="159">
        <v>700</v>
      </c>
      <c r="F89" s="159">
        <v>27</v>
      </c>
      <c r="G89" s="159">
        <v>1500</v>
      </c>
      <c r="H89" s="159">
        <v>243</v>
      </c>
      <c r="I89" s="160">
        <v>4</v>
      </c>
      <c r="J89" s="158"/>
      <c r="K89" s="162" t="s">
        <v>127</v>
      </c>
      <c r="L89" s="2" t="s">
        <v>217</v>
      </c>
      <c r="N89" s="5">
        <v>20241125</v>
      </c>
    </row>
    <row r="90" spans="1:14" ht="20.100000000000001" customHeight="1">
      <c r="A90" s="156" t="s">
        <v>214</v>
      </c>
      <c r="B90" s="157" t="s">
        <v>215</v>
      </c>
      <c r="C90" s="158" t="s">
        <v>218</v>
      </c>
      <c r="D90" s="159">
        <v>500</v>
      </c>
      <c r="E90" s="159">
        <v>700</v>
      </c>
      <c r="F90" s="159">
        <v>15</v>
      </c>
      <c r="G90" s="159">
        <v>83.333333333333343</v>
      </c>
      <c r="H90" s="159">
        <v>15</v>
      </c>
      <c r="I90" s="160">
        <v>2</v>
      </c>
      <c r="J90" s="158"/>
      <c r="K90" s="162" t="s">
        <v>127</v>
      </c>
      <c r="L90" s="2" t="s">
        <v>217</v>
      </c>
      <c r="N90" s="5">
        <v>20241125</v>
      </c>
    </row>
    <row r="91" spans="1:14" ht="20.100000000000001" customHeight="1">
      <c r="A91" s="156" t="s">
        <v>214</v>
      </c>
      <c r="B91" s="157" t="s">
        <v>215</v>
      </c>
      <c r="C91" s="158" t="s">
        <v>218</v>
      </c>
      <c r="D91" s="159">
        <v>500</v>
      </c>
      <c r="E91" s="159">
        <v>700</v>
      </c>
      <c r="F91" s="159">
        <v>34</v>
      </c>
      <c r="G91" s="159">
        <v>188.88888888888891</v>
      </c>
      <c r="H91" s="159">
        <v>34</v>
      </c>
      <c r="I91" s="160">
        <v>5</v>
      </c>
      <c r="J91" s="158"/>
      <c r="K91" s="162" t="s">
        <v>127</v>
      </c>
      <c r="L91" s="2" t="s">
        <v>217</v>
      </c>
      <c r="N91" s="5">
        <v>20241125</v>
      </c>
    </row>
    <row r="92" spans="1:14" ht="20.100000000000001" customHeight="1">
      <c r="A92" s="156" t="s">
        <v>214</v>
      </c>
      <c r="B92" s="157" t="s">
        <v>215</v>
      </c>
      <c r="C92" s="158" t="s">
        <v>218</v>
      </c>
      <c r="D92" s="159">
        <v>1300</v>
      </c>
      <c r="E92" s="159">
        <v>700</v>
      </c>
      <c r="F92" s="159">
        <v>6</v>
      </c>
      <c r="G92" s="159">
        <v>86.666666666666686</v>
      </c>
      <c r="H92" s="159">
        <v>18</v>
      </c>
      <c r="I92" s="160">
        <v>1</v>
      </c>
      <c r="J92" s="158"/>
      <c r="K92" s="162" t="s">
        <v>127</v>
      </c>
      <c r="L92" s="2" t="s">
        <v>217</v>
      </c>
      <c r="N92" s="5">
        <v>20241125</v>
      </c>
    </row>
    <row r="93" spans="1:14" ht="20.100000000000001" customHeight="1">
      <c r="A93" s="156" t="s">
        <v>214</v>
      </c>
      <c r="B93" s="157" t="s">
        <v>215</v>
      </c>
      <c r="C93" s="158" t="s">
        <v>218</v>
      </c>
      <c r="D93" s="159">
        <v>1300</v>
      </c>
      <c r="E93" s="159">
        <v>700</v>
      </c>
      <c r="F93" s="159">
        <v>3</v>
      </c>
      <c r="G93" s="159">
        <v>43.333333333333343</v>
      </c>
      <c r="H93" s="159">
        <v>9</v>
      </c>
      <c r="I93" s="160">
        <v>1</v>
      </c>
      <c r="J93" s="158"/>
      <c r="K93" s="162" t="s">
        <v>127</v>
      </c>
      <c r="L93" s="2" t="s">
        <v>217</v>
      </c>
      <c r="N93" s="5">
        <v>20241125</v>
      </c>
    </row>
    <row r="94" spans="1:14" ht="20.100000000000001" customHeight="1">
      <c r="A94" s="156" t="s">
        <v>214</v>
      </c>
      <c r="B94" s="157" t="s">
        <v>215</v>
      </c>
      <c r="C94" s="158" t="s">
        <v>218</v>
      </c>
      <c r="D94" s="159">
        <v>500</v>
      </c>
      <c r="E94" s="159">
        <v>700</v>
      </c>
      <c r="F94" s="159">
        <v>15</v>
      </c>
      <c r="G94" s="159">
        <v>83.333333333333343</v>
      </c>
      <c r="H94" s="159">
        <v>15</v>
      </c>
      <c r="I94" s="160">
        <v>2</v>
      </c>
      <c r="J94" s="158"/>
      <c r="K94" s="162" t="s">
        <v>127</v>
      </c>
      <c r="L94" s="2" t="s">
        <v>217</v>
      </c>
      <c r="N94" s="5">
        <v>20241125</v>
      </c>
    </row>
    <row r="95" spans="1:14" ht="20.100000000000001" customHeight="1">
      <c r="A95" s="156" t="s">
        <v>219</v>
      </c>
      <c r="B95" s="165">
        <v>141</v>
      </c>
      <c r="C95" s="158" t="s">
        <v>125</v>
      </c>
      <c r="D95" s="159">
        <v>900</v>
      </c>
      <c r="E95" s="159">
        <v>700</v>
      </c>
      <c r="F95" s="159">
        <v>20</v>
      </c>
      <c r="G95" s="159">
        <f>(D95/0.3)*(F95/1000)/0.3</f>
        <v>200</v>
      </c>
      <c r="H95" s="159">
        <f>ROUNDUP(D95/600,0)*F95</f>
        <v>40</v>
      </c>
      <c r="I95" s="160">
        <f>(ROUNDUP((F95/15)*2,0))+L95*2+M95</f>
        <v>3</v>
      </c>
      <c r="J95" s="158" t="s">
        <v>192</v>
      </c>
      <c r="K95" s="162" t="s">
        <v>127</v>
      </c>
      <c r="N95" s="5">
        <v>20241125</v>
      </c>
    </row>
    <row r="96" spans="1:14" ht="20.100000000000001" customHeight="1" thickBot="1">
      <c r="A96" s="46"/>
      <c r="B96" s="166"/>
      <c r="C96" s="37"/>
      <c r="D96" s="39"/>
      <c r="E96" s="39"/>
      <c r="F96" s="164"/>
      <c r="G96" s="39"/>
      <c r="H96" s="39"/>
      <c r="I96" s="40"/>
      <c r="J96" s="37"/>
      <c r="K96" s="155"/>
    </row>
    <row r="97" spans="1:13" s="33" customFormat="1" ht="20.100000000000001" customHeight="1" thickBot="1">
      <c r="A97" s="147" t="s">
        <v>220</v>
      </c>
      <c r="B97" s="148"/>
      <c r="C97" s="149"/>
      <c r="D97" s="150"/>
      <c r="E97" s="150"/>
      <c r="F97" s="150"/>
      <c r="G97" s="150"/>
      <c r="H97" s="150"/>
      <c r="I97" s="150"/>
      <c r="J97" s="150"/>
      <c r="K97" s="151"/>
      <c r="L97" s="167"/>
      <c r="M97" s="168"/>
    </row>
    <row r="98" spans="1:13" s="33" customFormat="1" ht="20.100000000000001" customHeight="1">
      <c r="A98" s="46" t="s">
        <v>192</v>
      </c>
      <c r="B98" s="169" t="s">
        <v>221</v>
      </c>
      <c r="C98" s="37" t="s">
        <v>125</v>
      </c>
      <c r="D98" s="39">
        <v>300</v>
      </c>
      <c r="E98" s="39">
        <v>750</v>
      </c>
      <c r="F98" s="39">
        <v>63</v>
      </c>
      <c r="G98" s="39">
        <f>(D98/0.3)*(F98/1000)/0.3</f>
        <v>210</v>
      </c>
      <c r="H98" s="39">
        <f t="shared" ref="H98" si="17">ROUNDUP(D98/600,0)*F98</f>
        <v>63</v>
      </c>
      <c r="I98" s="40">
        <f t="shared" ref="I98:I123" si="18">(ROUNDUP((F98/15)*2,0))+L98*2+M98</f>
        <v>9</v>
      </c>
      <c r="J98" s="37" t="s">
        <v>192</v>
      </c>
      <c r="K98" s="155" t="s">
        <v>222</v>
      </c>
      <c r="L98" s="170"/>
      <c r="M98" s="171"/>
    </row>
    <row r="99" spans="1:13" s="33" customFormat="1" ht="20.100000000000001" customHeight="1">
      <c r="A99" s="46" t="s">
        <v>223</v>
      </c>
      <c r="B99" s="169" t="s">
        <v>224</v>
      </c>
      <c r="C99" s="37" t="s">
        <v>125</v>
      </c>
      <c r="D99" s="39">
        <v>300</v>
      </c>
      <c r="E99" s="39">
        <v>750</v>
      </c>
      <c r="F99" s="39">
        <v>68</v>
      </c>
      <c r="G99" s="39">
        <f>(D99/0.3)*(F99/1000)/0.3</f>
        <v>226.66666666666669</v>
      </c>
      <c r="H99" s="39">
        <f>ROUNDUP(D99/600,0)*F99</f>
        <v>68</v>
      </c>
      <c r="I99" s="40">
        <f t="shared" si="18"/>
        <v>10</v>
      </c>
      <c r="J99" s="37"/>
      <c r="K99" s="155" t="s">
        <v>222</v>
      </c>
      <c r="L99" s="170"/>
      <c r="M99" s="171"/>
    </row>
    <row r="100" spans="1:13" s="33" customFormat="1" ht="20.100000000000001" customHeight="1">
      <c r="A100" s="46" t="s">
        <v>223</v>
      </c>
      <c r="B100" s="169" t="s">
        <v>225</v>
      </c>
      <c r="C100" s="37" t="s">
        <v>125</v>
      </c>
      <c r="D100" s="39">
        <v>300</v>
      </c>
      <c r="E100" s="39">
        <v>750</v>
      </c>
      <c r="F100" s="39">
        <v>7</v>
      </c>
      <c r="G100" s="39">
        <f t="shared" ref="G100:G118" si="19">(D100/0.3)*(F100/1000)/0.3</f>
        <v>23.333333333333336</v>
      </c>
      <c r="H100" s="39">
        <f t="shared" ref="H100:H118" si="20">ROUNDUP(D100/600,0)*F100</f>
        <v>7</v>
      </c>
      <c r="I100" s="40">
        <f t="shared" si="18"/>
        <v>1</v>
      </c>
      <c r="J100" s="37"/>
      <c r="K100" s="155" t="s">
        <v>222</v>
      </c>
      <c r="L100" s="170"/>
      <c r="M100" s="171"/>
    </row>
    <row r="101" spans="1:13" s="33" customFormat="1" ht="20.100000000000001" customHeight="1">
      <c r="A101" s="46" t="s">
        <v>226</v>
      </c>
      <c r="B101" s="169" t="s">
        <v>227</v>
      </c>
      <c r="C101" s="37" t="s">
        <v>125</v>
      </c>
      <c r="D101" s="39">
        <v>300</v>
      </c>
      <c r="E101" s="39">
        <v>750</v>
      </c>
      <c r="F101" s="39">
        <v>270</v>
      </c>
      <c r="G101" s="39">
        <f t="shared" si="19"/>
        <v>900</v>
      </c>
      <c r="H101" s="39">
        <f t="shared" si="20"/>
        <v>270</v>
      </c>
      <c r="I101" s="40">
        <f t="shared" si="18"/>
        <v>36</v>
      </c>
      <c r="J101" s="37"/>
      <c r="K101" s="155" t="s">
        <v>222</v>
      </c>
      <c r="L101" s="170"/>
      <c r="M101" s="171"/>
    </row>
    <row r="102" spans="1:13" s="33" customFormat="1" ht="20.100000000000001" customHeight="1">
      <c r="A102" s="46" t="s">
        <v>228</v>
      </c>
      <c r="B102" s="169" t="s">
        <v>229</v>
      </c>
      <c r="C102" s="37" t="s">
        <v>125</v>
      </c>
      <c r="D102" s="39">
        <v>300</v>
      </c>
      <c r="E102" s="39">
        <v>750</v>
      </c>
      <c r="F102" s="39">
        <v>60</v>
      </c>
      <c r="G102" s="39">
        <f t="shared" si="19"/>
        <v>200</v>
      </c>
      <c r="H102" s="39">
        <f t="shared" si="20"/>
        <v>60</v>
      </c>
      <c r="I102" s="40">
        <f t="shared" si="18"/>
        <v>8</v>
      </c>
      <c r="J102" s="37"/>
      <c r="K102" s="155" t="s">
        <v>222</v>
      </c>
      <c r="L102" s="170"/>
      <c r="M102" s="171"/>
    </row>
    <row r="103" spans="1:13" s="33" customFormat="1" ht="20.100000000000001" customHeight="1">
      <c r="A103" s="46" t="s">
        <v>228</v>
      </c>
      <c r="B103" s="169" t="s">
        <v>230</v>
      </c>
      <c r="C103" s="37" t="s">
        <v>125</v>
      </c>
      <c r="D103" s="39">
        <v>300</v>
      </c>
      <c r="E103" s="39">
        <v>750</v>
      </c>
      <c r="F103" s="39">
        <v>112</v>
      </c>
      <c r="G103" s="39">
        <f t="shared" si="19"/>
        <v>373.33333333333337</v>
      </c>
      <c r="H103" s="39">
        <f t="shared" si="20"/>
        <v>112</v>
      </c>
      <c r="I103" s="40">
        <f t="shared" si="18"/>
        <v>15</v>
      </c>
      <c r="J103" s="37"/>
      <c r="K103" s="155" t="s">
        <v>222</v>
      </c>
      <c r="L103" s="170"/>
      <c r="M103" s="171"/>
    </row>
    <row r="104" spans="1:13" s="33" customFormat="1" ht="20.100000000000001" customHeight="1">
      <c r="A104" s="46" t="s">
        <v>226</v>
      </c>
      <c r="B104" s="45" t="s">
        <v>231</v>
      </c>
      <c r="C104" s="37" t="s">
        <v>125</v>
      </c>
      <c r="D104" s="39">
        <v>300</v>
      </c>
      <c r="E104" s="39">
        <v>750</v>
      </c>
      <c r="F104" s="39">
        <v>51</v>
      </c>
      <c r="G104" s="39">
        <f t="shared" si="19"/>
        <v>170</v>
      </c>
      <c r="H104" s="39">
        <f t="shared" si="20"/>
        <v>51</v>
      </c>
      <c r="I104" s="40">
        <f t="shared" si="18"/>
        <v>7</v>
      </c>
      <c r="J104" s="37"/>
      <c r="K104" s="155" t="s">
        <v>222</v>
      </c>
      <c r="L104" s="170"/>
      <c r="M104" s="171"/>
    </row>
    <row r="105" spans="1:13" s="33" customFormat="1" ht="20.100000000000001" customHeight="1">
      <c r="A105" s="46" t="s">
        <v>168</v>
      </c>
      <c r="B105" s="45" t="s">
        <v>232</v>
      </c>
      <c r="C105" s="37" t="s">
        <v>125</v>
      </c>
      <c r="D105" s="39">
        <v>300</v>
      </c>
      <c r="E105" s="39">
        <v>750</v>
      </c>
      <c r="F105" s="39">
        <v>110</v>
      </c>
      <c r="G105" s="39">
        <f t="shared" si="19"/>
        <v>366.66666666666669</v>
      </c>
      <c r="H105" s="39">
        <f t="shared" si="20"/>
        <v>110</v>
      </c>
      <c r="I105" s="40">
        <f t="shared" si="18"/>
        <v>15</v>
      </c>
      <c r="J105" s="37" t="s">
        <v>168</v>
      </c>
      <c r="K105" s="155" t="s">
        <v>222</v>
      </c>
      <c r="L105" s="170"/>
      <c r="M105" s="171"/>
    </row>
    <row r="106" spans="1:13" s="33" customFormat="1" ht="30.75" customHeight="1">
      <c r="A106" s="46" t="s">
        <v>168</v>
      </c>
      <c r="B106" s="172" t="s">
        <v>233</v>
      </c>
      <c r="C106" s="37" t="s">
        <v>125</v>
      </c>
      <c r="D106" s="39">
        <v>300</v>
      </c>
      <c r="E106" s="39">
        <v>750</v>
      </c>
      <c r="F106" s="39">
        <v>29</v>
      </c>
      <c r="G106" s="39">
        <f t="shared" si="19"/>
        <v>96.666666666666671</v>
      </c>
      <c r="H106" s="39">
        <f t="shared" si="20"/>
        <v>29</v>
      </c>
      <c r="I106" s="40">
        <f t="shared" si="18"/>
        <v>4</v>
      </c>
      <c r="J106" s="37" t="s">
        <v>168</v>
      </c>
      <c r="K106" s="155" t="s">
        <v>222</v>
      </c>
      <c r="L106" s="170"/>
      <c r="M106" s="171"/>
    </row>
    <row r="107" spans="1:13" s="33" customFormat="1" ht="20.100000000000001" customHeight="1">
      <c r="A107" s="46" t="s">
        <v>168</v>
      </c>
      <c r="B107" s="172" t="s">
        <v>234</v>
      </c>
      <c r="C107" s="37" t="s">
        <v>125</v>
      </c>
      <c r="D107" s="39">
        <v>300</v>
      </c>
      <c r="E107" s="39">
        <v>750</v>
      </c>
      <c r="F107" s="39">
        <v>70</v>
      </c>
      <c r="G107" s="39">
        <f t="shared" si="19"/>
        <v>233.33333333333334</v>
      </c>
      <c r="H107" s="39">
        <f t="shared" si="20"/>
        <v>70</v>
      </c>
      <c r="I107" s="40">
        <f t="shared" si="18"/>
        <v>10</v>
      </c>
      <c r="J107" s="37" t="s">
        <v>168</v>
      </c>
      <c r="K107" s="155" t="s">
        <v>222</v>
      </c>
      <c r="L107" s="170"/>
      <c r="M107" s="171"/>
    </row>
    <row r="108" spans="1:13" s="33" customFormat="1" ht="20.100000000000001" customHeight="1">
      <c r="A108" s="46" t="s">
        <v>168</v>
      </c>
      <c r="B108" s="45" t="s">
        <v>235</v>
      </c>
      <c r="C108" s="37" t="s">
        <v>125</v>
      </c>
      <c r="D108" s="39">
        <v>300</v>
      </c>
      <c r="E108" s="39">
        <v>750</v>
      </c>
      <c r="F108" s="39">
        <v>165</v>
      </c>
      <c r="G108" s="39">
        <f t="shared" si="19"/>
        <v>550</v>
      </c>
      <c r="H108" s="39">
        <f t="shared" si="20"/>
        <v>165</v>
      </c>
      <c r="I108" s="40">
        <f t="shared" si="18"/>
        <v>22</v>
      </c>
      <c r="J108" s="37"/>
      <c r="K108" s="155" t="s">
        <v>222</v>
      </c>
      <c r="L108" s="170"/>
      <c r="M108" s="171"/>
    </row>
    <row r="109" spans="1:13" s="33" customFormat="1" ht="20.100000000000001" customHeight="1">
      <c r="A109" s="37" t="s">
        <v>126</v>
      </c>
      <c r="B109" s="45" t="s">
        <v>236</v>
      </c>
      <c r="C109" s="37" t="s">
        <v>125</v>
      </c>
      <c r="D109" s="39">
        <v>300</v>
      </c>
      <c r="E109" s="39">
        <v>750</v>
      </c>
      <c r="F109" s="39">
        <v>11</v>
      </c>
      <c r="G109" s="39">
        <f t="shared" si="19"/>
        <v>36.666666666666671</v>
      </c>
      <c r="H109" s="39">
        <f t="shared" si="20"/>
        <v>11</v>
      </c>
      <c r="I109" s="40">
        <f t="shared" si="18"/>
        <v>2</v>
      </c>
      <c r="J109" s="37" t="s">
        <v>126</v>
      </c>
      <c r="K109" s="155" t="s">
        <v>222</v>
      </c>
      <c r="L109" s="170"/>
      <c r="M109" s="171"/>
    </row>
    <row r="110" spans="1:13" s="33" customFormat="1" ht="20.100000000000001" customHeight="1">
      <c r="A110" s="46" t="s">
        <v>168</v>
      </c>
      <c r="B110" s="45" t="s">
        <v>237</v>
      </c>
      <c r="C110" s="37" t="s">
        <v>125</v>
      </c>
      <c r="D110" s="39">
        <v>300</v>
      </c>
      <c r="E110" s="39">
        <v>750</v>
      </c>
      <c r="F110" s="39">
        <v>65</v>
      </c>
      <c r="G110" s="39">
        <f t="shared" si="19"/>
        <v>216.66666666666669</v>
      </c>
      <c r="H110" s="39">
        <f t="shared" si="20"/>
        <v>65</v>
      </c>
      <c r="I110" s="40">
        <f t="shared" si="18"/>
        <v>9</v>
      </c>
      <c r="J110" s="37"/>
      <c r="K110" s="155" t="s">
        <v>222</v>
      </c>
      <c r="L110" s="170"/>
      <c r="M110" s="171"/>
    </row>
    <row r="111" spans="1:13" s="33" customFormat="1" ht="20.100000000000001" customHeight="1">
      <c r="A111" s="37" t="s">
        <v>126</v>
      </c>
      <c r="B111" s="45" t="s">
        <v>138</v>
      </c>
      <c r="C111" s="37" t="s">
        <v>125</v>
      </c>
      <c r="D111" s="39">
        <v>300</v>
      </c>
      <c r="E111" s="39">
        <v>750</v>
      </c>
      <c r="F111" s="39">
        <v>56</v>
      </c>
      <c r="G111" s="39">
        <f>(D111/0.3)*(F111/1000)/0.3</f>
        <v>186.66666666666669</v>
      </c>
      <c r="H111" s="39">
        <f>ROUNDUP(D111/600,0)*F111</f>
        <v>56</v>
      </c>
      <c r="I111" s="40">
        <f t="shared" si="18"/>
        <v>8</v>
      </c>
      <c r="J111" s="37" t="s">
        <v>126</v>
      </c>
      <c r="K111" s="155" t="s">
        <v>222</v>
      </c>
      <c r="L111" s="170"/>
      <c r="M111" s="171"/>
    </row>
    <row r="112" spans="1:13" s="33" customFormat="1" ht="20.100000000000001" customHeight="1">
      <c r="A112" s="37" t="s">
        <v>126</v>
      </c>
      <c r="B112" s="45" t="s">
        <v>238</v>
      </c>
      <c r="C112" s="37" t="s">
        <v>125</v>
      </c>
      <c r="D112" s="39">
        <v>300</v>
      </c>
      <c r="E112" s="39">
        <v>750</v>
      </c>
      <c r="F112" s="39">
        <v>56</v>
      </c>
      <c r="G112" s="39">
        <f>(D112/0.3)*(F112/1000)/0.3</f>
        <v>186.66666666666669</v>
      </c>
      <c r="H112" s="39">
        <f>ROUNDUP(D112/600,0)*F112</f>
        <v>56</v>
      </c>
      <c r="I112" s="40">
        <f t="shared" si="18"/>
        <v>8</v>
      </c>
      <c r="J112" s="37" t="s">
        <v>126</v>
      </c>
      <c r="K112" s="155" t="s">
        <v>222</v>
      </c>
      <c r="L112" s="170"/>
      <c r="M112" s="171"/>
    </row>
    <row r="113" spans="1:13" s="33" customFormat="1" ht="20.100000000000001" customHeight="1">
      <c r="A113" s="46" t="s">
        <v>168</v>
      </c>
      <c r="B113" s="45" t="s">
        <v>239</v>
      </c>
      <c r="C113" s="37" t="s">
        <v>125</v>
      </c>
      <c r="D113" s="39">
        <v>300</v>
      </c>
      <c r="E113" s="39">
        <v>750</v>
      </c>
      <c r="F113" s="39">
        <v>218</v>
      </c>
      <c r="G113" s="39">
        <f>(D113/0.3)*(F113/1000)/0.3</f>
        <v>726.66666666666674</v>
      </c>
      <c r="H113" s="39">
        <f>ROUNDUP(D113/600,0)*F113</f>
        <v>218</v>
      </c>
      <c r="I113" s="40">
        <f t="shared" si="18"/>
        <v>30</v>
      </c>
      <c r="J113" s="37" t="s">
        <v>168</v>
      </c>
      <c r="K113" s="155" t="s">
        <v>222</v>
      </c>
      <c r="L113" s="170"/>
      <c r="M113" s="171"/>
    </row>
    <row r="114" spans="1:13" s="33" customFormat="1" ht="20.100000000000001" customHeight="1">
      <c r="A114" s="46" t="s">
        <v>168</v>
      </c>
      <c r="B114" s="45">
        <v>123.01</v>
      </c>
      <c r="C114" s="37" t="s">
        <v>125</v>
      </c>
      <c r="D114" s="39">
        <v>300</v>
      </c>
      <c r="E114" s="39">
        <v>750</v>
      </c>
      <c r="F114" s="39">
        <v>150</v>
      </c>
      <c r="G114" s="39">
        <f>(D114/0.3)*(F114/1000)/0.3</f>
        <v>500</v>
      </c>
      <c r="H114" s="39">
        <f>ROUNDUP(D114/600,0)*F114</f>
        <v>150</v>
      </c>
      <c r="I114" s="40">
        <f t="shared" si="18"/>
        <v>20</v>
      </c>
      <c r="J114" s="37" t="s">
        <v>168</v>
      </c>
      <c r="K114" s="155" t="s">
        <v>222</v>
      </c>
      <c r="L114" s="170"/>
      <c r="M114" s="171"/>
    </row>
    <row r="115" spans="1:13" s="33" customFormat="1" ht="20.100000000000001" customHeight="1">
      <c r="A115" s="46" t="s">
        <v>168</v>
      </c>
      <c r="B115" s="45" t="s">
        <v>240</v>
      </c>
      <c r="C115" s="37" t="s">
        <v>125</v>
      </c>
      <c r="D115" s="39">
        <v>300</v>
      </c>
      <c r="E115" s="39">
        <v>750</v>
      </c>
      <c r="F115" s="39">
        <v>303</v>
      </c>
      <c r="G115" s="39">
        <f t="shared" ref="G115:G117" si="21">(D115/0.3)*(F115/1000)/0.3</f>
        <v>1010</v>
      </c>
      <c r="H115" s="39">
        <f t="shared" ref="H115:H117" si="22">ROUNDUP(D115/600,0)*F115</f>
        <v>303</v>
      </c>
      <c r="I115" s="40">
        <f t="shared" si="18"/>
        <v>41</v>
      </c>
      <c r="J115" s="37" t="s">
        <v>168</v>
      </c>
      <c r="K115" s="155" t="s">
        <v>222</v>
      </c>
      <c r="L115" s="170"/>
      <c r="M115" s="171"/>
    </row>
    <row r="116" spans="1:13" s="33" customFormat="1" ht="20.100000000000001" customHeight="1">
      <c r="A116" s="46" t="s">
        <v>241</v>
      </c>
      <c r="B116" s="45" t="s">
        <v>242</v>
      </c>
      <c r="C116" s="37" t="s">
        <v>125</v>
      </c>
      <c r="D116" s="39">
        <v>300</v>
      </c>
      <c r="E116" s="39">
        <v>750</v>
      </c>
      <c r="F116" s="39">
        <v>6062</v>
      </c>
      <c r="G116" s="39">
        <f t="shared" si="21"/>
        <v>20206.666666666668</v>
      </c>
      <c r="H116" s="39">
        <f t="shared" si="22"/>
        <v>6062</v>
      </c>
      <c r="I116" s="40">
        <f t="shared" si="18"/>
        <v>809</v>
      </c>
      <c r="J116" s="37"/>
      <c r="K116" s="155" t="s">
        <v>222</v>
      </c>
      <c r="L116" s="170"/>
      <c r="M116" s="171"/>
    </row>
    <row r="117" spans="1:13" s="33" customFormat="1" ht="20.100000000000001" customHeight="1">
      <c r="A117" s="46" t="s">
        <v>243</v>
      </c>
      <c r="B117" s="173">
        <v>127</v>
      </c>
      <c r="C117" s="37" t="s">
        <v>125</v>
      </c>
      <c r="D117" s="39">
        <v>300</v>
      </c>
      <c r="E117" s="39">
        <v>750</v>
      </c>
      <c r="F117" s="39">
        <v>2000</v>
      </c>
      <c r="G117" s="39">
        <f t="shared" si="21"/>
        <v>6666.666666666667</v>
      </c>
      <c r="H117" s="39">
        <f t="shared" si="22"/>
        <v>2000</v>
      </c>
      <c r="I117" s="40">
        <f t="shared" si="18"/>
        <v>267</v>
      </c>
      <c r="J117" s="37"/>
      <c r="K117" s="155" t="s">
        <v>222</v>
      </c>
      <c r="L117" s="170"/>
      <c r="M117" s="171"/>
    </row>
    <row r="118" spans="1:13" s="33" customFormat="1" ht="20.100000000000001" customHeight="1">
      <c r="A118" s="46" t="s">
        <v>168</v>
      </c>
      <c r="B118" s="45" t="s">
        <v>244</v>
      </c>
      <c r="C118" s="37" t="s">
        <v>125</v>
      </c>
      <c r="D118" s="39">
        <v>300</v>
      </c>
      <c r="E118" s="39">
        <v>750</v>
      </c>
      <c r="F118" s="39">
        <v>2</v>
      </c>
      <c r="G118" s="39">
        <f t="shared" si="19"/>
        <v>6.666666666666667</v>
      </c>
      <c r="H118" s="39">
        <f t="shared" si="20"/>
        <v>2</v>
      </c>
      <c r="I118" s="40">
        <f t="shared" si="18"/>
        <v>1</v>
      </c>
      <c r="J118" s="37" t="s">
        <v>168</v>
      </c>
      <c r="K118" s="155" t="s">
        <v>222</v>
      </c>
      <c r="L118" s="170"/>
      <c r="M118" s="171"/>
    </row>
    <row r="119" spans="1:13" s="33" customFormat="1" ht="20.100000000000001" customHeight="1">
      <c r="A119" s="46" t="s">
        <v>245</v>
      </c>
      <c r="B119" s="45" t="s">
        <v>246</v>
      </c>
      <c r="C119" s="37" t="s">
        <v>125</v>
      </c>
      <c r="D119" s="39">
        <v>300</v>
      </c>
      <c r="E119" s="39">
        <v>750</v>
      </c>
      <c r="F119" s="39">
        <v>195</v>
      </c>
      <c r="G119" s="39">
        <f>(D119/0.3)*(F119/1000)/0.3</f>
        <v>650</v>
      </c>
      <c r="H119" s="39">
        <f>ROUNDUP(D119/600,0)*F119</f>
        <v>195</v>
      </c>
      <c r="I119" s="40">
        <f t="shared" si="18"/>
        <v>26</v>
      </c>
      <c r="J119" s="37"/>
      <c r="K119" s="155" t="s">
        <v>222</v>
      </c>
      <c r="L119" s="170"/>
      <c r="M119" s="171"/>
    </row>
    <row r="120" spans="1:13" s="33" customFormat="1" ht="20.100000000000001" customHeight="1">
      <c r="A120" s="46" t="s">
        <v>126</v>
      </c>
      <c r="B120" s="45" t="s">
        <v>177</v>
      </c>
      <c r="C120" s="37" t="s">
        <v>125</v>
      </c>
      <c r="D120" s="39">
        <v>300</v>
      </c>
      <c r="E120" s="39">
        <v>750</v>
      </c>
      <c r="F120" s="39">
        <v>23</v>
      </c>
      <c r="G120" s="39">
        <f t="shared" ref="G120:G123" si="23">(D120/0.3)*(F120/1000)/0.3</f>
        <v>76.666666666666671</v>
      </c>
      <c r="H120" s="39">
        <f t="shared" ref="H120:H123" si="24">ROUNDUP(D120/600,0)*F120</f>
        <v>23</v>
      </c>
      <c r="I120" s="40">
        <f t="shared" si="18"/>
        <v>4</v>
      </c>
      <c r="J120" s="37" t="s">
        <v>126</v>
      </c>
      <c r="K120" s="155" t="s">
        <v>222</v>
      </c>
      <c r="L120" s="170"/>
      <c r="M120" s="171"/>
    </row>
    <row r="121" spans="1:13" s="33" customFormat="1" ht="20.100000000000001" customHeight="1">
      <c r="A121" s="46" t="s">
        <v>247</v>
      </c>
      <c r="B121" s="173">
        <v>143</v>
      </c>
      <c r="C121" s="37" t="s">
        <v>125</v>
      </c>
      <c r="D121" s="39">
        <v>300</v>
      </c>
      <c r="E121" s="39">
        <v>750</v>
      </c>
      <c r="F121" s="39">
        <v>6987</v>
      </c>
      <c r="G121" s="39">
        <f t="shared" si="23"/>
        <v>23290</v>
      </c>
      <c r="H121" s="39">
        <f t="shared" si="24"/>
        <v>6987</v>
      </c>
      <c r="I121" s="40">
        <f t="shared" si="18"/>
        <v>932</v>
      </c>
      <c r="J121" s="37"/>
      <c r="K121" s="155" t="s">
        <v>222</v>
      </c>
      <c r="L121" s="170"/>
      <c r="M121" s="171"/>
    </row>
    <row r="122" spans="1:13" s="33" customFormat="1" ht="20.100000000000001" customHeight="1">
      <c r="A122" s="46" t="s">
        <v>192</v>
      </c>
      <c r="B122" s="169" t="s">
        <v>248</v>
      </c>
      <c r="C122" s="37" t="s">
        <v>125</v>
      </c>
      <c r="D122" s="39">
        <v>300</v>
      </c>
      <c r="E122" s="39">
        <v>750</v>
      </c>
      <c r="F122" s="39">
        <v>91</v>
      </c>
      <c r="G122" s="39">
        <f t="shared" si="23"/>
        <v>303.33333333333337</v>
      </c>
      <c r="H122" s="39">
        <f t="shared" si="24"/>
        <v>91</v>
      </c>
      <c r="I122" s="40">
        <f t="shared" si="18"/>
        <v>13</v>
      </c>
      <c r="J122" s="37" t="s">
        <v>192</v>
      </c>
      <c r="K122" s="155" t="s">
        <v>222</v>
      </c>
      <c r="L122" s="170"/>
      <c r="M122" s="171"/>
    </row>
    <row r="123" spans="1:13" s="33" customFormat="1" ht="20.100000000000001" customHeight="1">
      <c r="A123" s="46" t="s">
        <v>245</v>
      </c>
      <c r="B123" s="173">
        <v>200</v>
      </c>
      <c r="C123" s="37" t="s">
        <v>125</v>
      </c>
      <c r="D123" s="39">
        <v>300</v>
      </c>
      <c r="E123" s="39">
        <v>750</v>
      </c>
      <c r="F123" s="39">
        <v>35</v>
      </c>
      <c r="G123" s="39">
        <f t="shared" si="23"/>
        <v>116.66666666666667</v>
      </c>
      <c r="H123" s="39">
        <f t="shared" si="24"/>
        <v>35</v>
      </c>
      <c r="I123" s="40">
        <f t="shared" si="18"/>
        <v>5</v>
      </c>
      <c r="J123" s="37"/>
      <c r="K123" s="155" t="s">
        <v>222</v>
      </c>
      <c r="L123" s="170"/>
      <c r="M123" s="171"/>
    </row>
    <row r="124" spans="1:13" s="33" customFormat="1" ht="20.100000000000001" customHeight="1" thickBot="1">
      <c r="A124" s="174"/>
      <c r="B124" s="45" t="s">
        <v>249</v>
      </c>
      <c r="C124" s="175"/>
      <c r="D124" s="39"/>
      <c r="E124" s="39"/>
      <c r="F124" s="39"/>
      <c r="G124" s="39"/>
      <c r="H124" s="39"/>
      <c r="I124" s="176"/>
      <c r="J124" s="37"/>
      <c r="K124" s="155"/>
      <c r="L124" s="170"/>
      <c r="M124" s="171"/>
    </row>
    <row r="125" spans="1:13" s="33" customFormat="1" ht="20.100000000000001" customHeight="1" thickBot="1">
      <c r="A125" s="177"/>
      <c r="B125" s="49"/>
      <c r="C125" s="50" t="s">
        <v>250</v>
      </c>
      <c r="D125" s="51"/>
      <c r="E125" s="52"/>
      <c r="F125" s="53">
        <f>SUM(F98:F98)</f>
        <v>63</v>
      </c>
      <c r="G125" s="53">
        <f>SUM(G98:G98)</f>
        <v>210</v>
      </c>
      <c r="H125" s="53">
        <f>SUM(H98:H98)</f>
        <v>63</v>
      </c>
      <c r="I125" s="178">
        <f>SUM(I98:I98)</f>
        <v>9</v>
      </c>
      <c r="J125" s="55"/>
      <c r="K125" s="49"/>
      <c r="L125" s="152"/>
    </row>
    <row r="126" spans="1:13" s="33" customFormat="1" ht="20.100000000000001" customHeight="1" thickBot="1">
      <c r="A126" s="147" t="s">
        <v>251</v>
      </c>
      <c r="B126" s="148"/>
      <c r="C126" s="149"/>
      <c r="D126" s="150"/>
      <c r="E126" s="150"/>
      <c r="F126" s="150"/>
      <c r="G126" s="150"/>
      <c r="H126" s="150"/>
      <c r="I126" s="150"/>
      <c r="J126" s="150"/>
      <c r="K126" s="151"/>
      <c r="L126" s="152"/>
    </row>
    <row r="127" spans="1:13" s="33" customFormat="1" ht="20.100000000000001" customHeight="1">
      <c r="A127" s="46"/>
      <c r="B127" s="169" t="s">
        <v>252</v>
      </c>
      <c r="C127" s="37" t="s">
        <v>218</v>
      </c>
      <c r="D127" s="39">
        <v>300</v>
      </c>
      <c r="E127" s="39">
        <v>750</v>
      </c>
      <c r="F127" s="164">
        <v>31464</v>
      </c>
      <c r="G127" s="39"/>
      <c r="H127" s="39"/>
      <c r="I127" s="40"/>
      <c r="J127" s="37" t="s">
        <v>253</v>
      </c>
      <c r="K127" s="155" t="s">
        <v>254</v>
      </c>
      <c r="L127" s="152"/>
    </row>
    <row r="128" spans="1:13" s="33" customFormat="1" ht="20.100000000000001" customHeight="1">
      <c r="A128" s="46"/>
      <c r="B128" s="166"/>
      <c r="C128" s="37"/>
      <c r="D128" s="39"/>
      <c r="E128" s="39"/>
      <c r="F128" s="164"/>
      <c r="G128" s="39"/>
      <c r="H128" s="39"/>
      <c r="I128" s="40"/>
      <c r="J128" s="37"/>
      <c r="K128" s="155"/>
      <c r="L128" s="152"/>
    </row>
    <row r="129" spans="1:12" s="33" customFormat="1" ht="20.100000000000001" customHeight="1" thickBot="1">
      <c r="A129" s="46"/>
      <c r="B129" s="166"/>
      <c r="C129" s="37"/>
      <c r="D129" s="39"/>
      <c r="E129" s="39"/>
      <c r="F129" s="164"/>
      <c r="G129" s="39"/>
      <c r="H129" s="39"/>
      <c r="I129" s="40"/>
      <c r="J129" s="37"/>
      <c r="K129" s="155"/>
      <c r="L129" s="152"/>
    </row>
    <row r="130" spans="1:12" s="33" customFormat="1" ht="20.100000000000001" customHeight="1" thickBot="1">
      <c r="A130" s="177"/>
      <c r="B130" s="49"/>
      <c r="C130" s="50" t="s">
        <v>255</v>
      </c>
      <c r="D130" s="51"/>
      <c r="E130" s="52"/>
      <c r="F130" s="53">
        <f>SUM(F127:F129)</f>
        <v>31464</v>
      </c>
      <c r="G130" s="53">
        <f>SUM(G127:G129)</f>
        <v>0</v>
      </c>
      <c r="H130" s="53">
        <f>SUM(H127:H129)</f>
        <v>0</v>
      </c>
      <c r="I130" s="53">
        <f>SUM(I127:I129)</f>
        <v>0</v>
      </c>
      <c r="J130" s="55"/>
      <c r="K130" s="49"/>
      <c r="L130" s="152"/>
    </row>
  </sheetData>
  <mergeCells count="8">
    <mergeCell ref="J4:J5"/>
    <mergeCell ref="K4:K5"/>
    <mergeCell ref="A4:A5"/>
    <mergeCell ref="B4:B5"/>
    <mergeCell ref="C4:C5"/>
    <mergeCell ref="G4:G5"/>
    <mergeCell ref="H4:H5"/>
    <mergeCell ref="I4:I5"/>
  </mergeCells>
  <printOptions horizontalCentered="1"/>
  <pageMargins left="0.59055118110236227" right="0.43307086614173229" top="0.27559055118110237" bottom="0.47244094488188981" header="3.937007874015748E-2" footer="0.27559055118110237"/>
  <pageSetup paperSize="9" scale="60" orientation="portrait" blackAndWhite="1" r:id="rId1"/>
  <headerFooter alignWithMargins="0">
    <oddFooter>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D106-E16C-49E8-B78D-BAAD07B9A6BE}">
  <sheetPr codeName="Sheet12"/>
  <dimension ref="A1:P75"/>
  <sheetViews>
    <sheetView showGridLines="0" showZeros="0" tabSelected="1" view="pageBreakPreview" zoomScale="85" zoomScaleSheetLayoutView="85" workbookViewId="0">
      <pane ySplit="5" topLeftCell="A6" activePane="bottomLeft" state="frozen"/>
      <selection activeCell="A3" sqref="A3:K23"/>
      <selection pane="bottomLeft" activeCell="H18" sqref="H18"/>
    </sheetView>
  </sheetViews>
  <sheetFormatPr defaultColWidth="8.8984375" defaultRowHeight="13.8"/>
  <cols>
    <col min="1" max="1" width="15.69921875" style="5" customWidth="1"/>
    <col min="2" max="2" width="14.19921875" style="2" bestFit="1" customWidth="1"/>
    <col min="3" max="3" width="8.796875" style="5" customWidth="1"/>
    <col min="4" max="7" width="6.796875" style="5" customWidth="1"/>
    <col min="8" max="8" width="8.796875" style="5" customWidth="1"/>
    <col min="9" max="12" width="7.296875" style="9" customWidth="1"/>
    <col min="13" max="13" width="15.3984375" style="5" bestFit="1" customWidth="1"/>
    <col min="14" max="14" width="15.09765625" style="5" customWidth="1"/>
    <col min="15" max="16384" width="8.8984375" style="5"/>
  </cols>
  <sheetData>
    <row r="1" spans="1:14" ht="17.399999999999999">
      <c r="A1" s="1"/>
      <c r="C1" s="1"/>
      <c r="D1" s="1"/>
      <c r="E1" s="1" t="s">
        <v>256</v>
      </c>
      <c r="F1" s="1"/>
      <c r="G1" s="1"/>
      <c r="H1" s="1"/>
      <c r="I1" s="4"/>
      <c r="J1" s="4"/>
      <c r="K1" s="4"/>
      <c r="L1" s="4"/>
      <c r="M1" s="1"/>
      <c r="N1" s="1"/>
    </row>
    <row r="3" spans="1:14" ht="18" thickBot="1">
      <c r="A3" s="6" t="s">
        <v>121</v>
      </c>
      <c r="B3" s="7"/>
      <c r="C3" s="6"/>
      <c r="M3" s="10"/>
      <c r="N3" s="10"/>
    </row>
    <row r="4" spans="1:14" ht="48.75" customHeight="1">
      <c r="A4" s="11" t="s">
        <v>2</v>
      </c>
      <c r="B4" s="12" t="s">
        <v>3</v>
      </c>
      <c r="C4" s="13" t="s">
        <v>4</v>
      </c>
      <c r="D4" s="14" t="s">
        <v>5</v>
      </c>
      <c r="E4" s="14"/>
      <c r="F4" s="14"/>
      <c r="G4" s="14"/>
      <c r="H4" s="14"/>
      <c r="I4" s="179" t="s">
        <v>257</v>
      </c>
      <c r="J4" s="180" t="s">
        <v>258</v>
      </c>
      <c r="K4" s="179" t="s">
        <v>257</v>
      </c>
      <c r="L4" s="180" t="s">
        <v>258</v>
      </c>
      <c r="M4" s="12" t="s">
        <v>9</v>
      </c>
      <c r="N4" s="17" t="s">
        <v>10</v>
      </c>
    </row>
    <row r="5" spans="1:14" ht="40.200000000000003" thickBot="1">
      <c r="A5" s="18"/>
      <c r="B5" s="19"/>
      <c r="C5" s="20"/>
      <c r="D5" s="21" t="s">
        <v>11</v>
      </c>
      <c r="E5" s="21" t="s">
        <v>12</v>
      </c>
      <c r="F5" s="21" t="s">
        <v>13</v>
      </c>
      <c r="G5" s="21" t="s">
        <v>259</v>
      </c>
      <c r="H5" s="21" t="s">
        <v>260</v>
      </c>
      <c r="I5" s="21" t="s">
        <v>261</v>
      </c>
      <c r="J5" s="21" t="s">
        <v>261</v>
      </c>
      <c r="K5" s="21" t="s">
        <v>262</v>
      </c>
      <c r="L5" s="21" t="s">
        <v>262</v>
      </c>
      <c r="M5" s="19"/>
      <c r="N5" s="24"/>
    </row>
    <row r="6" spans="1:14" s="33" customFormat="1" ht="20.100000000000001" customHeight="1" thickBot="1">
      <c r="A6" s="147" t="s">
        <v>14</v>
      </c>
      <c r="B6" s="181"/>
      <c r="C6" s="149"/>
      <c r="D6" s="150"/>
      <c r="E6" s="150"/>
      <c r="F6" s="150"/>
      <c r="G6" s="150"/>
      <c r="H6" s="150"/>
      <c r="I6" s="150"/>
      <c r="J6" s="148"/>
      <c r="K6" s="150"/>
      <c r="L6" s="148"/>
      <c r="M6" s="182"/>
      <c r="N6" s="182"/>
    </row>
    <row r="7" spans="1:14" s="33" customFormat="1" ht="20.100000000000001" customHeight="1">
      <c r="A7" s="153" t="s">
        <v>263</v>
      </c>
      <c r="B7" s="154" t="s">
        <v>132</v>
      </c>
      <c r="C7" s="171" t="s">
        <v>264</v>
      </c>
      <c r="D7" s="183">
        <v>2150</v>
      </c>
      <c r="E7" s="184">
        <v>750</v>
      </c>
      <c r="F7" s="184">
        <v>6</v>
      </c>
      <c r="G7" s="184">
        <v>12</v>
      </c>
      <c r="H7" s="183">
        <v>2</v>
      </c>
      <c r="I7" s="185"/>
      <c r="J7" s="186"/>
      <c r="K7" s="184">
        <f t="shared" ref="K7:K8" si="0">F7*G7*H7</f>
        <v>144</v>
      </c>
      <c r="L7" s="187">
        <f>G7*H7*2</f>
        <v>48</v>
      </c>
      <c r="M7" s="188" t="s">
        <v>126</v>
      </c>
      <c r="N7" s="189" t="s">
        <v>265</v>
      </c>
    </row>
    <row r="8" spans="1:14" s="33" customFormat="1" ht="20.100000000000001" customHeight="1">
      <c r="A8" s="153" t="s">
        <v>266</v>
      </c>
      <c r="B8" s="154" t="s">
        <v>132</v>
      </c>
      <c r="C8" s="171" t="s">
        <v>264</v>
      </c>
      <c r="D8" s="184">
        <v>900</v>
      </c>
      <c r="E8" s="184">
        <v>750</v>
      </c>
      <c r="F8" s="184">
        <v>6</v>
      </c>
      <c r="G8" s="184">
        <v>4</v>
      </c>
      <c r="H8" s="184">
        <v>1</v>
      </c>
      <c r="I8" s="185"/>
      <c r="J8" s="186"/>
      <c r="K8" s="184">
        <f t="shared" si="0"/>
        <v>24</v>
      </c>
      <c r="L8" s="187">
        <f>G8*H8*2</f>
        <v>8</v>
      </c>
      <c r="M8" s="188" t="s">
        <v>126</v>
      </c>
      <c r="N8" s="94"/>
    </row>
    <row r="9" spans="1:14" s="33" customFormat="1" ht="20.100000000000001" customHeight="1">
      <c r="A9" s="153" t="s">
        <v>267</v>
      </c>
      <c r="B9" s="154" t="s">
        <v>138</v>
      </c>
      <c r="C9" s="171" t="s">
        <v>264</v>
      </c>
      <c r="D9" s="183">
        <v>2150</v>
      </c>
      <c r="E9" s="184">
        <v>750</v>
      </c>
      <c r="F9" s="184">
        <v>8</v>
      </c>
      <c r="G9" s="184">
        <v>12</v>
      </c>
      <c r="H9" s="183">
        <v>4</v>
      </c>
      <c r="I9" s="184">
        <f>$F9*$G9*$H9</f>
        <v>384</v>
      </c>
      <c r="J9" s="187">
        <f>$G9*$H9*2</f>
        <v>96</v>
      </c>
      <c r="K9" s="184"/>
      <c r="L9" s="187"/>
      <c r="M9" s="188" t="s">
        <v>126</v>
      </c>
      <c r="N9" s="94"/>
    </row>
    <row r="10" spans="1:14" s="33" customFormat="1" ht="20.100000000000001" customHeight="1">
      <c r="A10" s="153" t="s">
        <v>268</v>
      </c>
      <c r="B10" s="154" t="s">
        <v>138</v>
      </c>
      <c r="C10" s="171" t="s">
        <v>269</v>
      </c>
      <c r="D10" s="184">
        <v>900</v>
      </c>
      <c r="E10" s="184">
        <v>750</v>
      </c>
      <c r="F10" s="184">
        <v>8</v>
      </c>
      <c r="G10" s="184">
        <v>4</v>
      </c>
      <c r="H10" s="183">
        <v>6</v>
      </c>
      <c r="I10" s="184"/>
      <c r="J10" s="187"/>
      <c r="K10" s="184">
        <f t="shared" ref="K10:K11" si="1">F10*G10*H10</f>
        <v>192</v>
      </c>
      <c r="L10" s="187">
        <f>G10*H10*2</f>
        <v>48</v>
      </c>
      <c r="M10" s="188" t="s">
        <v>126</v>
      </c>
      <c r="N10" s="94"/>
    </row>
    <row r="11" spans="1:14" s="33" customFormat="1" ht="20.100000000000001" customHeight="1">
      <c r="A11" s="153" t="s">
        <v>270</v>
      </c>
      <c r="B11" s="154" t="s">
        <v>138</v>
      </c>
      <c r="C11" s="190" t="s">
        <v>264</v>
      </c>
      <c r="D11" s="184">
        <v>900</v>
      </c>
      <c r="E11" s="184">
        <v>750</v>
      </c>
      <c r="F11" s="184">
        <v>8</v>
      </c>
      <c r="G11" s="184">
        <v>4</v>
      </c>
      <c r="H11" s="191">
        <v>6</v>
      </c>
      <c r="I11" s="185"/>
      <c r="J11" s="186"/>
      <c r="K11" s="185">
        <f t="shared" si="1"/>
        <v>192</v>
      </c>
      <c r="L11" s="186">
        <f t="shared" ref="L11" si="2">G11*H11*2</f>
        <v>48</v>
      </c>
      <c r="M11" s="188" t="s">
        <v>126</v>
      </c>
      <c r="N11" s="94"/>
    </row>
    <row r="12" spans="1:14" s="33" customFormat="1" ht="20.100000000000001" customHeight="1">
      <c r="A12" s="153" t="s">
        <v>271</v>
      </c>
      <c r="B12" s="154" t="s">
        <v>138</v>
      </c>
      <c r="C12" s="190" t="s">
        <v>264</v>
      </c>
      <c r="D12" s="183">
        <v>2150</v>
      </c>
      <c r="E12" s="184">
        <v>750</v>
      </c>
      <c r="F12" s="184">
        <v>8</v>
      </c>
      <c r="G12" s="185">
        <v>12</v>
      </c>
      <c r="H12" s="191">
        <v>4</v>
      </c>
      <c r="I12" s="184">
        <f>$F12*$G12*$H12</f>
        <v>384</v>
      </c>
      <c r="J12" s="187">
        <f>$G12*$H12*2</f>
        <v>96</v>
      </c>
      <c r="K12" s="184"/>
      <c r="L12" s="187"/>
      <c r="M12" s="188" t="s">
        <v>126</v>
      </c>
      <c r="N12" s="94"/>
    </row>
    <row r="13" spans="1:14" s="33" customFormat="1" ht="20.100000000000001" customHeight="1">
      <c r="A13" s="153" t="s">
        <v>272</v>
      </c>
      <c r="B13" s="154" t="s">
        <v>138</v>
      </c>
      <c r="C13" s="171" t="s">
        <v>269</v>
      </c>
      <c r="D13" s="183">
        <v>2150</v>
      </c>
      <c r="E13" s="185">
        <v>750</v>
      </c>
      <c r="F13" s="185">
        <v>11</v>
      </c>
      <c r="G13" s="185">
        <v>12</v>
      </c>
      <c r="H13" s="184">
        <v>1</v>
      </c>
      <c r="I13" s="185"/>
      <c r="J13" s="186"/>
      <c r="K13" s="185">
        <f t="shared" ref="K13:K14" si="3">F13*G13*H13</f>
        <v>132</v>
      </c>
      <c r="L13" s="186">
        <f t="shared" ref="L13:L14" si="4">G13*H13*2</f>
        <v>24</v>
      </c>
      <c r="M13" s="188" t="s">
        <v>126</v>
      </c>
      <c r="N13" s="94"/>
    </row>
    <row r="14" spans="1:14" s="33" customFormat="1" ht="20.100000000000001" customHeight="1">
      <c r="A14" s="153" t="s">
        <v>273</v>
      </c>
      <c r="B14" s="154" t="s">
        <v>138</v>
      </c>
      <c r="C14" s="192" t="s">
        <v>269</v>
      </c>
      <c r="D14" s="184">
        <v>900</v>
      </c>
      <c r="E14" s="184">
        <v>750</v>
      </c>
      <c r="F14" s="184">
        <v>11</v>
      </c>
      <c r="G14" s="184">
        <v>4</v>
      </c>
      <c r="H14" s="193">
        <v>1</v>
      </c>
      <c r="I14" s="185"/>
      <c r="J14" s="186"/>
      <c r="K14" s="185">
        <f t="shared" si="3"/>
        <v>44</v>
      </c>
      <c r="L14" s="186">
        <f t="shared" si="4"/>
        <v>8</v>
      </c>
      <c r="M14" s="188" t="s">
        <v>126</v>
      </c>
      <c r="N14" s="94"/>
    </row>
    <row r="15" spans="1:14" s="33" customFormat="1" ht="20.100000000000001" customHeight="1">
      <c r="A15" s="153" t="s">
        <v>274</v>
      </c>
      <c r="B15" s="154" t="s">
        <v>138</v>
      </c>
      <c r="C15" s="192" t="s">
        <v>269</v>
      </c>
      <c r="D15" s="183">
        <v>2150</v>
      </c>
      <c r="E15" s="185">
        <v>750</v>
      </c>
      <c r="F15" s="185">
        <v>8</v>
      </c>
      <c r="G15" s="184">
        <v>12</v>
      </c>
      <c r="H15" s="183">
        <v>2</v>
      </c>
      <c r="I15" s="184">
        <f>$F15*$G15*$H15</f>
        <v>192</v>
      </c>
      <c r="J15" s="187">
        <f>$G15*$H15*2</f>
        <v>48</v>
      </c>
      <c r="K15" s="185"/>
      <c r="L15" s="186"/>
      <c r="M15" s="188" t="s">
        <v>126</v>
      </c>
      <c r="N15" s="94"/>
    </row>
    <row r="16" spans="1:14" s="33" customFormat="1" ht="20.100000000000001" customHeight="1">
      <c r="A16" s="153" t="s">
        <v>275</v>
      </c>
      <c r="B16" s="154" t="s">
        <v>138</v>
      </c>
      <c r="C16" s="192" t="s">
        <v>269</v>
      </c>
      <c r="D16" s="184">
        <v>900</v>
      </c>
      <c r="E16" s="184">
        <v>750</v>
      </c>
      <c r="F16" s="184">
        <v>8</v>
      </c>
      <c r="G16" s="184">
        <v>4</v>
      </c>
      <c r="H16" s="183">
        <v>2</v>
      </c>
      <c r="I16" s="185"/>
      <c r="J16" s="186"/>
      <c r="K16" s="185">
        <f t="shared" ref="K16" si="5">F16*G16*H16</f>
        <v>64</v>
      </c>
      <c r="L16" s="186">
        <f t="shared" ref="L16" si="6">G16*H16*2</f>
        <v>16</v>
      </c>
      <c r="M16" s="188" t="s">
        <v>126</v>
      </c>
      <c r="N16" s="94"/>
    </row>
    <row r="17" spans="1:16" s="33" customFormat="1" ht="20.100000000000001" customHeight="1">
      <c r="A17" s="153" t="s">
        <v>276</v>
      </c>
      <c r="B17" s="154" t="s">
        <v>138</v>
      </c>
      <c r="C17" s="192" t="s">
        <v>269</v>
      </c>
      <c r="D17" s="183">
        <v>2150</v>
      </c>
      <c r="E17" s="185">
        <v>750</v>
      </c>
      <c r="F17" s="185">
        <v>8</v>
      </c>
      <c r="G17" s="184">
        <v>12</v>
      </c>
      <c r="H17" s="183">
        <v>2</v>
      </c>
      <c r="I17" s="184">
        <f>$F17*$G17*$H17</f>
        <v>192</v>
      </c>
      <c r="J17" s="187">
        <f>$G17*$H17*2</f>
        <v>48</v>
      </c>
      <c r="K17" s="185"/>
      <c r="L17" s="186"/>
      <c r="M17" s="188" t="s">
        <v>126</v>
      </c>
      <c r="N17" s="94"/>
    </row>
    <row r="18" spans="1:16" s="33" customFormat="1" ht="20.100000000000001" customHeight="1">
      <c r="A18" s="153" t="s">
        <v>277</v>
      </c>
      <c r="B18" s="154" t="s">
        <v>138</v>
      </c>
      <c r="C18" s="192" t="s">
        <v>269</v>
      </c>
      <c r="D18" s="184">
        <v>900</v>
      </c>
      <c r="E18" s="184">
        <v>750</v>
      </c>
      <c r="F18" s="184">
        <v>8</v>
      </c>
      <c r="G18" s="184">
        <v>4</v>
      </c>
      <c r="H18" s="183">
        <v>2</v>
      </c>
      <c r="I18" s="185"/>
      <c r="J18" s="186"/>
      <c r="K18" s="185">
        <f t="shared" ref="K18" si="7">F18*G18*H18</f>
        <v>64</v>
      </c>
      <c r="L18" s="186">
        <f t="shared" ref="L18" si="8">G18*H18*2</f>
        <v>16</v>
      </c>
      <c r="M18" s="188" t="s">
        <v>126</v>
      </c>
      <c r="N18" s="94"/>
    </row>
    <row r="19" spans="1:16" s="33" customFormat="1" ht="20.100000000000001" customHeight="1">
      <c r="A19" s="194"/>
      <c r="B19" s="195"/>
      <c r="C19" s="171"/>
      <c r="D19" s="185"/>
      <c r="E19" s="185"/>
      <c r="F19" s="185"/>
      <c r="G19" s="185"/>
      <c r="H19" s="185"/>
      <c r="I19" s="185"/>
      <c r="J19" s="186"/>
      <c r="K19" s="185"/>
      <c r="L19" s="186"/>
      <c r="M19" s="188"/>
      <c r="N19" s="94"/>
      <c r="O19" s="196"/>
    </row>
    <row r="20" spans="1:16" s="33" customFormat="1" ht="20.100000000000001" customHeight="1">
      <c r="A20" s="153" t="s">
        <v>278</v>
      </c>
      <c r="B20" s="154" t="s">
        <v>279</v>
      </c>
      <c r="C20" s="192" t="s">
        <v>269</v>
      </c>
      <c r="D20" s="183">
        <v>2150</v>
      </c>
      <c r="E20" s="185">
        <v>750</v>
      </c>
      <c r="F20" s="185">
        <v>8</v>
      </c>
      <c r="G20" s="185">
        <v>12</v>
      </c>
      <c r="H20" s="183">
        <v>1</v>
      </c>
      <c r="I20" s="185"/>
      <c r="J20" s="186"/>
      <c r="K20" s="185">
        <f t="shared" ref="K20:K21" si="9">F20*G20*H20</f>
        <v>96</v>
      </c>
      <c r="L20" s="186">
        <f t="shared" ref="L20:L21" si="10">G20*H20*2</f>
        <v>24</v>
      </c>
      <c r="M20" s="188" t="s">
        <v>245</v>
      </c>
      <c r="N20" s="94"/>
    </row>
    <row r="21" spans="1:16" s="33" customFormat="1" ht="20.100000000000001" customHeight="1">
      <c r="A21" s="153" t="s">
        <v>278</v>
      </c>
      <c r="B21" s="154">
        <v>200</v>
      </c>
      <c r="C21" s="192" t="s">
        <v>269</v>
      </c>
      <c r="D21" s="184">
        <v>900</v>
      </c>
      <c r="E21" s="184">
        <v>750</v>
      </c>
      <c r="F21" s="184">
        <v>8</v>
      </c>
      <c r="G21" s="184">
        <v>4</v>
      </c>
      <c r="H21" s="183">
        <v>4</v>
      </c>
      <c r="I21" s="185"/>
      <c r="J21" s="186"/>
      <c r="K21" s="185">
        <f t="shared" si="9"/>
        <v>128</v>
      </c>
      <c r="L21" s="186">
        <f t="shared" si="10"/>
        <v>32</v>
      </c>
      <c r="M21" s="188" t="s">
        <v>245</v>
      </c>
      <c r="N21" s="94"/>
    </row>
    <row r="22" spans="1:16" s="33" customFormat="1" ht="20.100000000000001" customHeight="1">
      <c r="A22" s="153"/>
      <c r="B22" s="154"/>
      <c r="C22" s="192"/>
      <c r="D22" s="185"/>
      <c r="E22" s="185"/>
      <c r="F22" s="184"/>
      <c r="G22" s="185"/>
      <c r="H22" s="184"/>
      <c r="I22" s="185"/>
      <c r="J22" s="186"/>
      <c r="K22" s="185"/>
      <c r="L22" s="186"/>
      <c r="M22" s="188"/>
      <c r="N22" s="94"/>
    </row>
    <row r="23" spans="1:16" s="33" customFormat="1" ht="20.100000000000001" customHeight="1">
      <c r="A23" s="153" t="s">
        <v>280</v>
      </c>
      <c r="B23" s="154">
        <v>200</v>
      </c>
      <c r="C23" s="192" t="s">
        <v>269</v>
      </c>
      <c r="D23" s="184">
        <v>900</v>
      </c>
      <c r="E23" s="184">
        <v>750</v>
      </c>
      <c r="F23" s="184">
        <v>8</v>
      </c>
      <c r="G23" s="184">
        <v>4</v>
      </c>
      <c r="H23" s="183">
        <v>2</v>
      </c>
      <c r="I23" s="185"/>
      <c r="J23" s="186"/>
      <c r="K23" s="185">
        <f t="shared" ref="K23" si="11">F23*G23*H23</f>
        <v>64</v>
      </c>
      <c r="L23" s="186">
        <f t="shared" ref="L23" si="12">G23*H23*2</f>
        <v>16</v>
      </c>
      <c r="M23" s="188" t="s">
        <v>245</v>
      </c>
      <c r="N23" s="94"/>
    </row>
    <row r="24" spans="1:16" s="33" customFormat="1" ht="20.100000000000001" customHeight="1">
      <c r="A24" s="153"/>
      <c r="B24" s="154"/>
      <c r="C24" s="192"/>
      <c r="D24" s="185"/>
      <c r="E24" s="185"/>
      <c r="F24" s="184"/>
      <c r="G24" s="185"/>
      <c r="H24" s="184"/>
      <c r="I24" s="185"/>
      <c r="J24" s="186"/>
      <c r="K24" s="185"/>
      <c r="L24" s="186"/>
      <c r="M24" s="188"/>
      <c r="N24" s="94"/>
    </row>
    <row r="25" spans="1:16" s="33" customFormat="1" ht="20.100000000000001" customHeight="1">
      <c r="A25" s="156" t="s">
        <v>281</v>
      </c>
      <c r="B25" s="157" t="s">
        <v>195</v>
      </c>
      <c r="C25" s="197" t="s">
        <v>264</v>
      </c>
      <c r="D25" s="198">
        <v>1050</v>
      </c>
      <c r="E25" s="198">
        <v>750</v>
      </c>
      <c r="F25" s="198">
        <v>9</v>
      </c>
      <c r="G25" s="198">
        <v>6</v>
      </c>
      <c r="H25" s="198">
        <v>1</v>
      </c>
      <c r="I25" s="198"/>
      <c r="J25" s="199"/>
      <c r="K25" s="198">
        <f t="shared" ref="K25:K30" si="13">F25*G25*H25</f>
        <v>54</v>
      </c>
      <c r="L25" s="199">
        <f t="shared" ref="L25:L30" si="14">G25*H25*2</f>
        <v>12</v>
      </c>
      <c r="M25" s="200" t="s">
        <v>196</v>
      </c>
      <c r="N25" s="94"/>
      <c r="O25" s="196">
        <v>20241125</v>
      </c>
      <c r="P25" s="33" t="s">
        <v>197</v>
      </c>
    </row>
    <row r="26" spans="1:16" s="33" customFormat="1" ht="20.100000000000001" customHeight="1">
      <c r="A26" s="156" t="s">
        <v>282</v>
      </c>
      <c r="B26" s="157" t="s">
        <v>195</v>
      </c>
      <c r="C26" s="197" t="s">
        <v>264</v>
      </c>
      <c r="D26" s="198">
        <v>1050</v>
      </c>
      <c r="E26" s="198">
        <v>750</v>
      </c>
      <c r="F26" s="198">
        <v>9</v>
      </c>
      <c r="G26" s="198">
        <v>6</v>
      </c>
      <c r="H26" s="198">
        <v>1</v>
      </c>
      <c r="I26" s="198"/>
      <c r="J26" s="199"/>
      <c r="K26" s="198">
        <f t="shared" si="13"/>
        <v>54</v>
      </c>
      <c r="L26" s="199">
        <f t="shared" si="14"/>
        <v>12</v>
      </c>
      <c r="M26" s="200"/>
      <c r="N26" s="201"/>
      <c r="O26" s="196">
        <v>20241125</v>
      </c>
      <c r="P26" s="33" t="s">
        <v>197</v>
      </c>
    </row>
    <row r="27" spans="1:16" s="33" customFormat="1" ht="20.100000000000001" customHeight="1">
      <c r="A27" s="156" t="s">
        <v>283</v>
      </c>
      <c r="B27" s="157" t="s">
        <v>195</v>
      </c>
      <c r="C27" s="197" t="s">
        <v>264</v>
      </c>
      <c r="D27" s="198">
        <v>1050</v>
      </c>
      <c r="E27" s="198">
        <v>750</v>
      </c>
      <c r="F27" s="198">
        <v>14</v>
      </c>
      <c r="G27" s="198">
        <v>6</v>
      </c>
      <c r="H27" s="198">
        <v>1</v>
      </c>
      <c r="I27" s="198"/>
      <c r="J27" s="199"/>
      <c r="K27" s="198">
        <f t="shared" si="13"/>
        <v>84</v>
      </c>
      <c r="L27" s="199">
        <f t="shared" si="14"/>
        <v>12</v>
      </c>
      <c r="M27" s="200"/>
      <c r="N27" s="201"/>
      <c r="O27" s="196">
        <v>20241125</v>
      </c>
      <c r="P27" s="33" t="s">
        <v>197</v>
      </c>
    </row>
    <row r="28" spans="1:16" s="33" customFormat="1" ht="20.100000000000001" customHeight="1">
      <c r="A28" s="156" t="s">
        <v>284</v>
      </c>
      <c r="B28" s="157" t="s">
        <v>195</v>
      </c>
      <c r="C28" s="197" t="s">
        <v>264</v>
      </c>
      <c r="D28" s="198">
        <v>1050</v>
      </c>
      <c r="E28" s="198">
        <v>750</v>
      </c>
      <c r="F28" s="198">
        <v>10</v>
      </c>
      <c r="G28" s="198">
        <v>6</v>
      </c>
      <c r="H28" s="198">
        <v>1</v>
      </c>
      <c r="I28" s="198"/>
      <c r="J28" s="199"/>
      <c r="K28" s="198">
        <f t="shared" si="13"/>
        <v>60</v>
      </c>
      <c r="L28" s="199">
        <f t="shared" si="14"/>
        <v>12</v>
      </c>
      <c r="M28" s="200"/>
      <c r="N28" s="201"/>
      <c r="O28" s="196">
        <v>20241125</v>
      </c>
      <c r="P28" s="33" t="s">
        <v>197</v>
      </c>
    </row>
    <row r="29" spans="1:16" s="33" customFormat="1" ht="20.100000000000001" customHeight="1">
      <c r="A29" s="156" t="s">
        <v>285</v>
      </c>
      <c r="B29" s="157" t="s">
        <v>195</v>
      </c>
      <c r="C29" s="197" t="s">
        <v>264</v>
      </c>
      <c r="D29" s="198">
        <v>1050</v>
      </c>
      <c r="E29" s="198">
        <v>750</v>
      </c>
      <c r="F29" s="198">
        <v>6</v>
      </c>
      <c r="G29" s="198">
        <v>6</v>
      </c>
      <c r="H29" s="198">
        <v>1</v>
      </c>
      <c r="I29" s="198"/>
      <c r="J29" s="199"/>
      <c r="K29" s="198">
        <f t="shared" si="13"/>
        <v>36</v>
      </c>
      <c r="L29" s="199">
        <f t="shared" si="14"/>
        <v>12</v>
      </c>
      <c r="M29" s="200"/>
      <c r="N29" s="201"/>
      <c r="O29" s="196">
        <v>20241125</v>
      </c>
      <c r="P29" s="33" t="s">
        <v>197</v>
      </c>
    </row>
    <row r="30" spans="1:16" s="33" customFormat="1" ht="20.100000000000001" customHeight="1">
      <c r="A30" s="156" t="s">
        <v>286</v>
      </c>
      <c r="B30" s="157" t="s">
        <v>195</v>
      </c>
      <c r="C30" s="197" t="s">
        <v>264</v>
      </c>
      <c r="D30" s="198">
        <v>750</v>
      </c>
      <c r="E30" s="198">
        <v>750</v>
      </c>
      <c r="F30" s="198">
        <v>8</v>
      </c>
      <c r="G30" s="198">
        <v>6</v>
      </c>
      <c r="H30" s="198">
        <v>1</v>
      </c>
      <c r="I30" s="198"/>
      <c r="J30" s="199"/>
      <c r="K30" s="198">
        <f t="shared" si="13"/>
        <v>48</v>
      </c>
      <c r="L30" s="199">
        <f t="shared" si="14"/>
        <v>12</v>
      </c>
      <c r="M30" s="200"/>
      <c r="N30" s="201"/>
      <c r="O30" s="196">
        <v>20241125</v>
      </c>
      <c r="P30" s="33" t="s">
        <v>197</v>
      </c>
    </row>
    <row r="31" spans="1:16" s="33" customFormat="1" ht="20.100000000000001" customHeight="1">
      <c r="A31" s="153"/>
      <c r="B31" s="154"/>
      <c r="C31" s="192"/>
      <c r="D31" s="185"/>
      <c r="E31" s="185"/>
      <c r="F31" s="185"/>
      <c r="G31" s="185"/>
      <c r="H31" s="183"/>
      <c r="I31" s="185"/>
      <c r="J31" s="186"/>
      <c r="K31" s="185"/>
      <c r="L31" s="186"/>
      <c r="M31" s="188"/>
      <c r="N31" s="201"/>
      <c r="O31" s="196"/>
    </row>
    <row r="32" spans="1:16" s="33" customFormat="1" ht="20.100000000000001" customHeight="1">
      <c r="A32" s="153"/>
      <c r="B32" s="154" t="s">
        <v>204</v>
      </c>
      <c r="C32" s="192" t="s">
        <v>269</v>
      </c>
      <c r="D32" s="183">
        <v>2150</v>
      </c>
      <c r="E32" s="185">
        <v>750</v>
      </c>
      <c r="F32" s="185">
        <v>17</v>
      </c>
      <c r="G32" s="185">
        <v>12</v>
      </c>
      <c r="H32" s="184">
        <v>2</v>
      </c>
      <c r="I32" s="184">
        <f>$F32*$G32*$H32</f>
        <v>408</v>
      </c>
      <c r="J32" s="187">
        <f>$G32*$H32*2</f>
        <v>48</v>
      </c>
      <c r="K32" s="185"/>
      <c r="L32" s="186"/>
      <c r="M32" s="188" t="s">
        <v>287</v>
      </c>
      <c r="N32" s="201" t="s">
        <v>168</v>
      </c>
    </row>
    <row r="33" spans="1:16" s="33" customFormat="1" ht="20.100000000000001" customHeight="1">
      <c r="A33" s="153"/>
      <c r="B33" s="154" t="s">
        <v>204</v>
      </c>
      <c r="C33" s="192" t="s">
        <v>264</v>
      </c>
      <c r="D33" s="184">
        <v>900</v>
      </c>
      <c r="E33" s="184">
        <v>750</v>
      </c>
      <c r="F33" s="184">
        <v>6</v>
      </c>
      <c r="G33" s="184">
        <v>4</v>
      </c>
      <c r="H33" s="184">
        <v>10</v>
      </c>
      <c r="I33" s="185"/>
      <c r="J33" s="186"/>
      <c r="K33" s="185">
        <f t="shared" ref="K33" si="15">F33*G33*H33</f>
        <v>240</v>
      </c>
      <c r="L33" s="186">
        <f t="shared" ref="L33" si="16">G33*H33*2</f>
        <v>80</v>
      </c>
      <c r="M33" s="188" t="s">
        <v>205</v>
      </c>
      <c r="N33" s="201" t="s">
        <v>168</v>
      </c>
      <c r="O33" s="196"/>
    </row>
    <row r="34" spans="1:16" s="33" customFormat="1" ht="20.100000000000001" customHeight="1">
      <c r="A34" s="153"/>
      <c r="B34" s="154"/>
      <c r="C34" s="192"/>
      <c r="D34" s="185"/>
      <c r="E34" s="185"/>
      <c r="F34" s="184"/>
      <c r="G34" s="185"/>
      <c r="H34" s="184"/>
      <c r="I34" s="185"/>
      <c r="J34" s="186"/>
      <c r="K34" s="185"/>
      <c r="L34" s="186"/>
      <c r="M34" s="188"/>
      <c r="N34" s="201"/>
      <c r="O34" s="196"/>
    </row>
    <row r="35" spans="1:16" s="33" customFormat="1" ht="19.95" customHeight="1">
      <c r="A35" s="156" t="s">
        <v>288</v>
      </c>
      <c r="B35" s="157" t="s">
        <v>215</v>
      </c>
      <c r="C35" s="202" t="s">
        <v>264</v>
      </c>
      <c r="D35" s="198">
        <v>750</v>
      </c>
      <c r="E35" s="198">
        <v>750</v>
      </c>
      <c r="F35" s="198">
        <v>8</v>
      </c>
      <c r="G35" s="198">
        <v>2</v>
      </c>
      <c r="H35" s="198">
        <v>7</v>
      </c>
      <c r="I35" s="198"/>
      <c r="J35" s="199"/>
      <c r="K35" s="198">
        <f t="shared" ref="K35:K41" si="17">F35*G35*H35</f>
        <v>112</v>
      </c>
      <c r="L35" s="199">
        <f t="shared" ref="L35:L41" si="18">G35*H35*2</f>
        <v>28</v>
      </c>
      <c r="M35" s="200" t="s">
        <v>289</v>
      </c>
      <c r="N35" s="201"/>
      <c r="O35" s="196">
        <v>20241125</v>
      </c>
      <c r="P35" s="33" t="s">
        <v>217</v>
      </c>
    </row>
    <row r="36" spans="1:16" s="33" customFormat="1" ht="20.100000000000001" customHeight="1">
      <c r="A36" s="156" t="s">
        <v>290</v>
      </c>
      <c r="B36" s="157" t="s">
        <v>215</v>
      </c>
      <c r="C36" s="202" t="s">
        <v>264</v>
      </c>
      <c r="D36" s="198">
        <v>750</v>
      </c>
      <c r="E36" s="198">
        <v>750</v>
      </c>
      <c r="F36" s="198">
        <v>12</v>
      </c>
      <c r="G36" s="198">
        <v>2</v>
      </c>
      <c r="H36" s="198">
        <v>7</v>
      </c>
      <c r="I36" s="198"/>
      <c r="J36" s="199"/>
      <c r="K36" s="198">
        <f t="shared" si="17"/>
        <v>168</v>
      </c>
      <c r="L36" s="199">
        <f t="shared" si="18"/>
        <v>28</v>
      </c>
      <c r="M36" s="200"/>
      <c r="N36" s="201"/>
      <c r="O36" s="196">
        <v>20241125</v>
      </c>
      <c r="P36" s="33" t="s">
        <v>291</v>
      </c>
    </row>
    <row r="37" spans="1:16" s="33" customFormat="1" ht="20.100000000000001" customHeight="1">
      <c r="A37" s="156" t="s">
        <v>292</v>
      </c>
      <c r="B37" s="157" t="s">
        <v>215</v>
      </c>
      <c r="C37" s="197" t="s">
        <v>269</v>
      </c>
      <c r="D37" s="198">
        <v>2250</v>
      </c>
      <c r="E37" s="198">
        <v>750</v>
      </c>
      <c r="F37" s="198">
        <v>17</v>
      </c>
      <c r="G37" s="198">
        <v>14</v>
      </c>
      <c r="H37" s="198">
        <v>1</v>
      </c>
      <c r="I37" s="198"/>
      <c r="J37" s="199"/>
      <c r="K37" s="198">
        <f t="shared" si="17"/>
        <v>238</v>
      </c>
      <c r="L37" s="199">
        <f t="shared" si="18"/>
        <v>28</v>
      </c>
      <c r="M37" s="200"/>
      <c r="N37" s="201"/>
      <c r="O37" s="196">
        <v>20241125</v>
      </c>
      <c r="P37" s="33" t="s">
        <v>291</v>
      </c>
    </row>
    <row r="38" spans="1:16" s="33" customFormat="1" ht="20.100000000000001" customHeight="1">
      <c r="A38" s="156" t="s">
        <v>293</v>
      </c>
      <c r="B38" s="157" t="s">
        <v>215</v>
      </c>
      <c r="C38" s="197" t="s">
        <v>269</v>
      </c>
      <c r="D38" s="198">
        <v>750</v>
      </c>
      <c r="E38" s="198">
        <v>450</v>
      </c>
      <c r="F38" s="198">
        <v>17</v>
      </c>
      <c r="G38" s="198">
        <v>2</v>
      </c>
      <c r="H38" s="198">
        <v>1</v>
      </c>
      <c r="I38" s="198"/>
      <c r="J38" s="199"/>
      <c r="K38" s="198">
        <f t="shared" si="17"/>
        <v>34</v>
      </c>
      <c r="L38" s="199">
        <f t="shared" si="18"/>
        <v>4</v>
      </c>
      <c r="M38" s="203"/>
      <c r="N38" s="201"/>
      <c r="O38" s="196">
        <v>20241125</v>
      </c>
      <c r="P38" s="33" t="s">
        <v>291</v>
      </c>
    </row>
    <row r="39" spans="1:16" s="33" customFormat="1" ht="20.100000000000001" customHeight="1">
      <c r="A39" s="156" t="s">
        <v>294</v>
      </c>
      <c r="B39" s="157" t="s">
        <v>215</v>
      </c>
      <c r="C39" s="202" t="s">
        <v>269</v>
      </c>
      <c r="D39" s="198">
        <v>1050</v>
      </c>
      <c r="E39" s="198">
        <v>750</v>
      </c>
      <c r="F39" s="198">
        <v>8</v>
      </c>
      <c r="G39" s="198">
        <v>6</v>
      </c>
      <c r="H39" s="198">
        <v>1</v>
      </c>
      <c r="I39" s="198"/>
      <c r="J39" s="199"/>
      <c r="K39" s="198">
        <f t="shared" si="17"/>
        <v>48</v>
      </c>
      <c r="L39" s="199">
        <f t="shared" si="18"/>
        <v>12</v>
      </c>
      <c r="M39" s="200"/>
      <c r="N39" s="201"/>
      <c r="O39" s="196">
        <v>20241125</v>
      </c>
      <c r="P39" s="33" t="s">
        <v>291</v>
      </c>
    </row>
    <row r="40" spans="1:16" s="33" customFormat="1" ht="20.100000000000001" customHeight="1">
      <c r="A40" s="156" t="s">
        <v>295</v>
      </c>
      <c r="B40" s="157" t="s">
        <v>215</v>
      </c>
      <c r="C40" s="197" t="s">
        <v>269</v>
      </c>
      <c r="D40" s="198">
        <v>2250</v>
      </c>
      <c r="E40" s="198">
        <v>750</v>
      </c>
      <c r="F40" s="198">
        <v>10</v>
      </c>
      <c r="G40" s="198">
        <v>14</v>
      </c>
      <c r="H40" s="198">
        <v>1</v>
      </c>
      <c r="I40" s="198"/>
      <c r="J40" s="199"/>
      <c r="K40" s="198">
        <f t="shared" si="17"/>
        <v>140</v>
      </c>
      <c r="L40" s="199">
        <f t="shared" si="18"/>
        <v>28</v>
      </c>
      <c r="M40" s="200"/>
      <c r="N40" s="201"/>
      <c r="O40" s="196">
        <v>20241125</v>
      </c>
      <c r="P40" s="33" t="s">
        <v>291</v>
      </c>
    </row>
    <row r="41" spans="1:16" s="33" customFormat="1" ht="20.100000000000001" customHeight="1">
      <c r="A41" s="156" t="s">
        <v>296</v>
      </c>
      <c r="B41" s="157" t="s">
        <v>215</v>
      </c>
      <c r="C41" s="197" t="s">
        <v>269</v>
      </c>
      <c r="D41" s="198">
        <v>750</v>
      </c>
      <c r="E41" s="198">
        <v>450</v>
      </c>
      <c r="F41" s="198">
        <v>10</v>
      </c>
      <c r="G41" s="198">
        <v>2</v>
      </c>
      <c r="H41" s="198">
        <v>1</v>
      </c>
      <c r="I41" s="198"/>
      <c r="J41" s="199"/>
      <c r="K41" s="198">
        <f t="shared" si="17"/>
        <v>20</v>
      </c>
      <c r="L41" s="199">
        <f t="shared" si="18"/>
        <v>4</v>
      </c>
      <c r="M41" s="200"/>
      <c r="N41" s="201"/>
      <c r="O41" s="196">
        <v>20241125</v>
      </c>
      <c r="P41" s="33" t="s">
        <v>291</v>
      </c>
    </row>
    <row r="42" spans="1:16" s="33" customFormat="1" ht="20.100000000000001" customHeight="1" thickBot="1">
      <c r="A42" s="153"/>
      <c r="B42" s="154"/>
      <c r="C42" s="192"/>
      <c r="D42" s="185"/>
      <c r="E42" s="185"/>
      <c r="F42" s="184"/>
      <c r="G42" s="185"/>
      <c r="H42" s="184"/>
      <c r="I42" s="185"/>
      <c r="J42" s="186">
        <f t="shared" ref="J42" si="19">(ROUNDUP(H42/50,0))</f>
        <v>0</v>
      </c>
      <c r="K42" s="185"/>
      <c r="L42" s="186">
        <f t="shared" ref="L42" si="20">(ROUNDUP(J42/50,0))</f>
        <v>0</v>
      </c>
      <c r="M42" s="188"/>
      <c r="N42" s="204"/>
    </row>
    <row r="43" spans="1:16" s="33" customFormat="1" ht="20.100000000000001" customHeight="1" thickBot="1">
      <c r="A43" s="177"/>
      <c r="B43" s="49"/>
      <c r="C43" s="50" t="s">
        <v>297</v>
      </c>
      <c r="D43" s="51"/>
      <c r="E43" s="52"/>
      <c r="F43" s="53">
        <f t="shared" ref="F43:L43" si="21">SUM(F7:F42)</f>
        <v>283</v>
      </c>
      <c r="G43" s="53">
        <f t="shared" si="21"/>
        <v>210</v>
      </c>
      <c r="H43" s="53">
        <f t="shared" si="21"/>
        <v>77</v>
      </c>
      <c r="I43" s="53">
        <f t="shared" si="21"/>
        <v>1560</v>
      </c>
      <c r="J43" s="178">
        <f t="shared" si="21"/>
        <v>336</v>
      </c>
      <c r="K43" s="53">
        <f t="shared" si="21"/>
        <v>2480</v>
      </c>
      <c r="L43" s="178">
        <f t="shared" si="21"/>
        <v>572</v>
      </c>
      <c r="M43" s="55"/>
      <c r="N43" s="55"/>
    </row>
    <row r="44" spans="1:16" s="203" customFormat="1" ht="20.100000000000001" customHeight="1" thickBot="1">
      <c r="A44" s="147" t="s">
        <v>220</v>
      </c>
      <c r="B44" s="148"/>
      <c r="C44" s="149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</row>
    <row r="45" spans="1:16" s="33" customFormat="1" ht="20.100000000000001" customHeight="1">
      <c r="A45" s="46" t="s">
        <v>168</v>
      </c>
      <c r="B45" s="205">
        <v>115</v>
      </c>
      <c r="C45" s="37" t="s">
        <v>269</v>
      </c>
      <c r="D45" s="39">
        <v>900</v>
      </c>
      <c r="E45" s="39">
        <v>750</v>
      </c>
      <c r="F45" s="39">
        <v>9</v>
      </c>
      <c r="G45" s="39">
        <v>4</v>
      </c>
      <c r="H45" s="39">
        <v>1</v>
      </c>
      <c r="I45" s="206"/>
      <c r="J45" s="40"/>
      <c r="K45" s="39">
        <f t="shared" ref="K45:K71" si="22">F45*G45*H45</f>
        <v>36</v>
      </c>
      <c r="L45" s="176">
        <f t="shared" ref="L45:L71" si="23">G45*H45*2</f>
        <v>8</v>
      </c>
      <c r="M45" s="37"/>
      <c r="N45" s="155" t="s">
        <v>298</v>
      </c>
    </row>
    <row r="46" spans="1:16" s="33" customFormat="1" ht="20.100000000000001" customHeight="1">
      <c r="A46" s="46"/>
      <c r="B46" s="205"/>
      <c r="C46" s="37"/>
      <c r="D46" s="39"/>
      <c r="E46" s="39"/>
      <c r="F46" s="39"/>
      <c r="G46" s="39"/>
      <c r="H46" s="39"/>
      <c r="I46" s="206"/>
      <c r="J46" s="40"/>
      <c r="K46" s="39"/>
      <c r="L46" s="176"/>
      <c r="M46" s="37"/>
      <c r="N46" s="155"/>
    </row>
    <row r="47" spans="1:16" s="33" customFormat="1" ht="20.100000000000001" customHeight="1">
      <c r="A47" s="46" t="s">
        <v>168</v>
      </c>
      <c r="B47" s="169">
        <v>123.01</v>
      </c>
      <c r="C47" s="37" t="s">
        <v>264</v>
      </c>
      <c r="D47" s="39">
        <v>900</v>
      </c>
      <c r="E47" s="39">
        <v>750</v>
      </c>
      <c r="F47" s="39">
        <v>11</v>
      </c>
      <c r="G47" s="39">
        <v>4</v>
      </c>
      <c r="H47" s="39">
        <v>1</v>
      </c>
      <c r="I47" s="206"/>
      <c r="J47" s="40"/>
      <c r="K47" s="39">
        <f>F47*G47*H47</f>
        <v>44</v>
      </c>
      <c r="L47" s="176">
        <f>G47*H47*2</f>
        <v>8</v>
      </c>
      <c r="M47" s="37"/>
      <c r="N47" s="155" t="s">
        <v>222</v>
      </c>
    </row>
    <row r="48" spans="1:16" s="33" customFormat="1" ht="20.100000000000001" customHeight="1">
      <c r="A48" s="46"/>
      <c r="B48" s="169"/>
      <c r="C48" s="37"/>
      <c r="D48" s="39"/>
      <c r="E48" s="39"/>
      <c r="F48" s="39"/>
      <c r="G48" s="39"/>
      <c r="H48" s="39"/>
      <c r="I48" s="206"/>
      <c r="J48" s="40"/>
      <c r="K48" s="39"/>
      <c r="L48" s="176"/>
      <c r="M48" s="37"/>
      <c r="N48" s="155"/>
    </row>
    <row r="49" spans="1:14" s="33" customFormat="1" ht="20.100000000000001" customHeight="1">
      <c r="A49" s="46" t="s">
        <v>241</v>
      </c>
      <c r="B49" s="45" t="s">
        <v>242</v>
      </c>
      <c r="C49" s="37" t="s">
        <v>269</v>
      </c>
      <c r="D49" s="39">
        <v>900</v>
      </c>
      <c r="E49" s="39">
        <v>750</v>
      </c>
      <c r="F49" s="39">
        <v>7</v>
      </c>
      <c r="G49" s="39">
        <v>4</v>
      </c>
      <c r="H49" s="39">
        <v>1</v>
      </c>
      <c r="I49" s="206"/>
      <c r="J49" s="40"/>
      <c r="K49" s="39">
        <f>F49*G49*H49</f>
        <v>28</v>
      </c>
      <c r="L49" s="176">
        <f>G49*H49*2</f>
        <v>8</v>
      </c>
      <c r="M49" s="37"/>
      <c r="N49" s="155" t="s">
        <v>298</v>
      </c>
    </row>
    <row r="50" spans="1:14" s="33" customFormat="1" ht="20.100000000000001" customHeight="1">
      <c r="A50" s="46" t="s">
        <v>241</v>
      </c>
      <c r="B50" s="45" t="s">
        <v>242</v>
      </c>
      <c r="C50" s="37" t="s">
        <v>269</v>
      </c>
      <c r="D50" s="39">
        <v>900</v>
      </c>
      <c r="E50" s="39">
        <v>750</v>
      </c>
      <c r="F50" s="39">
        <v>9</v>
      </c>
      <c r="G50" s="39">
        <v>4</v>
      </c>
      <c r="H50" s="39">
        <v>3</v>
      </c>
      <c r="I50" s="206"/>
      <c r="J50" s="40"/>
      <c r="K50" s="39">
        <f>F50*G50*H50</f>
        <v>108</v>
      </c>
      <c r="L50" s="176">
        <f>G50*H50*2</f>
        <v>24</v>
      </c>
      <c r="M50" s="37"/>
      <c r="N50" s="155" t="s">
        <v>298</v>
      </c>
    </row>
    <row r="51" spans="1:14" s="33" customFormat="1" ht="20.100000000000001" customHeight="1">
      <c r="A51" s="46" t="s">
        <v>241</v>
      </c>
      <c r="B51" s="45" t="s">
        <v>242</v>
      </c>
      <c r="C51" s="37" t="s">
        <v>264</v>
      </c>
      <c r="D51" s="39">
        <v>900</v>
      </c>
      <c r="E51" s="39">
        <v>750</v>
      </c>
      <c r="F51" s="39">
        <v>10</v>
      </c>
      <c r="G51" s="39">
        <v>4</v>
      </c>
      <c r="H51" s="39">
        <v>2</v>
      </c>
      <c r="I51" s="206"/>
      <c r="J51" s="40"/>
      <c r="K51" s="39">
        <f>F51*G51*H51</f>
        <v>80</v>
      </c>
      <c r="L51" s="176">
        <f>G51*H51*2</f>
        <v>16</v>
      </c>
      <c r="M51" s="37"/>
      <c r="N51" s="155" t="s">
        <v>298</v>
      </c>
    </row>
    <row r="52" spans="1:14" s="33" customFormat="1" ht="20.100000000000001" customHeight="1">
      <c r="A52" s="46"/>
      <c r="B52" s="45"/>
      <c r="C52" s="37"/>
      <c r="D52" s="39"/>
      <c r="E52" s="39"/>
      <c r="F52" s="39"/>
      <c r="G52" s="39"/>
      <c r="H52" s="39"/>
      <c r="I52" s="206"/>
      <c r="J52" s="40"/>
      <c r="K52" s="39"/>
      <c r="L52" s="176"/>
      <c r="M52" s="37"/>
      <c r="N52" s="155"/>
    </row>
    <row r="53" spans="1:14" s="33" customFormat="1" ht="20.100000000000001" customHeight="1">
      <c r="A53" s="46" t="s">
        <v>243</v>
      </c>
      <c r="B53" s="173">
        <v>127</v>
      </c>
      <c r="C53" s="37" t="s">
        <v>264</v>
      </c>
      <c r="D53" s="39">
        <v>900</v>
      </c>
      <c r="E53" s="39">
        <v>750</v>
      </c>
      <c r="F53" s="39">
        <v>9</v>
      </c>
      <c r="G53" s="39">
        <v>4</v>
      </c>
      <c r="H53" s="39">
        <v>1</v>
      </c>
      <c r="I53" s="206"/>
      <c r="J53" s="40"/>
      <c r="K53" s="39">
        <f>F53*G53*H53</f>
        <v>36</v>
      </c>
      <c r="L53" s="176">
        <f>G53*H53*2</f>
        <v>8</v>
      </c>
      <c r="M53" s="37"/>
      <c r="N53" s="155" t="s">
        <v>298</v>
      </c>
    </row>
    <row r="54" spans="1:14" s="33" customFormat="1" ht="20.100000000000001" customHeight="1">
      <c r="A54" s="46" t="s">
        <v>243</v>
      </c>
      <c r="B54" s="173">
        <v>127</v>
      </c>
      <c r="C54" s="37" t="s">
        <v>264</v>
      </c>
      <c r="D54" s="39">
        <v>900</v>
      </c>
      <c r="E54" s="39">
        <v>750</v>
      </c>
      <c r="F54" s="39">
        <v>11</v>
      </c>
      <c r="G54" s="39">
        <v>4</v>
      </c>
      <c r="H54" s="39">
        <v>2</v>
      </c>
      <c r="I54" s="206"/>
      <c r="J54" s="40"/>
      <c r="K54" s="39">
        <f>F54*G54*H54</f>
        <v>88</v>
      </c>
      <c r="L54" s="176">
        <f>G54*H54*2</f>
        <v>16</v>
      </c>
      <c r="M54" s="37"/>
      <c r="N54" s="155" t="s">
        <v>298</v>
      </c>
    </row>
    <row r="55" spans="1:14" s="33" customFormat="1" ht="20.100000000000001" customHeight="1">
      <c r="A55" s="46" t="s">
        <v>243</v>
      </c>
      <c r="B55" s="173">
        <v>127</v>
      </c>
      <c r="C55" s="37" t="s">
        <v>264</v>
      </c>
      <c r="D55" s="39">
        <v>900</v>
      </c>
      <c r="E55" s="39">
        <v>750</v>
      </c>
      <c r="F55" s="39">
        <v>14</v>
      </c>
      <c r="G55" s="39">
        <v>4</v>
      </c>
      <c r="H55" s="39">
        <v>1</v>
      </c>
      <c r="I55" s="206"/>
      <c r="J55" s="40"/>
      <c r="K55" s="39">
        <f>F55*G55*H55</f>
        <v>56</v>
      </c>
      <c r="L55" s="176">
        <f>G55*H55*2</f>
        <v>8</v>
      </c>
      <c r="M55" s="37"/>
      <c r="N55" s="155" t="s">
        <v>298</v>
      </c>
    </row>
    <row r="56" spans="1:14" s="33" customFormat="1" ht="20.100000000000001" customHeight="1">
      <c r="A56" s="46" t="s">
        <v>243</v>
      </c>
      <c r="B56" s="173">
        <v>127</v>
      </c>
      <c r="C56" s="37" t="s">
        <v>264</v>
      </c>
      <c r="D56" s="39">
        <v>900</v>
      </c>
      <c r="E56" s="39">
        <v>750</v>
      </c>
      <c r="F56" s="39">
        <v>15</v>
      </c>
      <c r="G56" s="39">
        <v>4</v>
      </c>
      <c r="H56" s="39">
        <v>1</v>
      </c>
      <c r="I56" s="206"/>
      <c r="J56" s="40"/>
      <c r="K56" s="39">
        <f>F56*G56*H56</f>
        <v>60</v>
      </c>
      <c r="L56" s="176">
        <f>G56*H56*2</f>
        <v>8</v>
      </c>
      <c r="M56" s="37"/>
      <c r="N56" s="155" t="s">
        <v>298</v>
      </c>
    </row>
    <row r="57" spans="1:14" s="33" customFormat="1" ht="20.100000000000001" customHeight="1">
      <c r="A57" s="46"/>
      <c r="B57" s="173"/>
      <c r="C57" s="37"/>
      <c r="D57" s="39"/>
      <c r="E57" s="39"/>
      <c r="F57" s="39"/>
      <c r="G57" s="39"/>
      <c r="H57" s="39"/>
      <c r="I57" s="206"/>
      <c r="J57" s="40"/>
      <c r="K57" s="39"/>
      <c r="L57" s="176"/>
      <c r="M57" s="37"/>
      <c r="N57" s="155"/>
    </row>
    <row r="58" spans="1:14" s="33" customFormat="1" ht="20.100000000000001" customHeight="1">
      <c r="A58" s="46" t="s">
        <v>247</v>
      </c>
      <c r="B58" s="173">
        <v>143</v>
      </c>
      <c r="C58" s="37" t="s">
        <v>264</v>
      </c>
      <c r="D58" s="39">
        <v>900</v>
      </c>
      <c r="E58" s="39">
        <v>750</v>
      </c>
      <c r="F58" s="39">
        <v>5</v>
      </c>
      <c r="G58" s="39">
        <v>4</v>
      </c>
      <c r="H58" s="39">
        <v>1</v>
      </c>
      <c r="I58" s="206"/>
      <c r="J58" s="40"/>
      <c r="K58" s="39">
        <f t="shared" si="22"/>
        <v>20</v>
      </c>
      <c r="L58" s="176">
        <f t="shared" si="23"/>
        <v>8</v>
      </c>
      <c r="M58" s="37" t="s">
        <v>247</v>
      </c>
      <c r="N58" s="155" t="s">
        <v>298</v>
      </c>
    </row>
    <row r="59" spans="1:14" s="33" customFormat="1" ht="20.100000000000001" customHeight="1">
      <c r="A59" s="46" t="s">
        <v>247</v>
      </c>
      <c r="B59" s="173">
        <v>143</v>
      </c>
      <c r="C59" s="37" t="s">
        <v>264</v>
      </c>
      <c r="D59" s="39">
        <v>900</v>
      </c>
      <c r="E59" s="39">
        <v>750</v>
      </c>
      <c r="F59" s="39">
        <v>7</v>
      </c>
      <c r="G59" s="39">
        <v>4</v>
      </c>
      <c r="H59" s="39">
        <v>1</v>
      </c>
      <c r="I59" s="206"/>
      <c r="J59" s="40"/>
      <c r="K59" s="39">
        <f t="shared" si="22"/>
        <v>28</v>
      </c>
      <c r="L59" s="176">
        <f t="shared" si="23"/>
        <v>8</v>
      </c>
      <c r="M59" s="37" t="s">
        <v>247</v>
      </c>
      <c r="N59" s="155" t="s">
        <v>298</v>
      </c>
    </row>
    <row r="60" spans="1:14" s="33" customFormat="1" ht="20.100000000000001" customHeight="1">
      <c r="A60" s="46" t="s">
        <v>247</v>
      </c>
      <c r="B60" s="173">
        <v>143</v>
      </c>
      <c r="C60" s="37" t="s">
        <v>264</v>
      </c>
      <c r="D60" s="39">
        <v>900</v>
      </c>
      <c r="E60" s="39">
        <v>750</v>
      </c>
      <c r="F60" s="39">
        <v>8</v>
      </c>
      <c r="G60" s="39">
        <v>4</v>
      </c>
      <c r="H60" s="39">
        <v>2</v>
      </c>
      <c r="I60" s="206"/>
      <c r="J60" s="40"/>
      <c r="K60" s="39">
        <f t="shared" si="22"/>
        <v>64</v>
      </c>
      <c r="L60" s="176">
        <f t="shared" si="23"/>
        <v>16</v>
      </c>
      <c r="M60" s="37" t="s">
        <v>247</v>
      </c>
      <c r="N60" s="155" t="s">
        <v>298</v>
      </c>
    </row>
    <row r="61" spans="1:14" s="33" customFormat="1" ht="20.100000000000001" customHeight="1">
      <c r="A61" s="46" t="s">
        <v>247</v>
      </c>
      <c r="B61" s="173">
        <v>143</v>
      </c>
      <c r="C61" s="37" t="s">
        <v>264</v>
      </c>
      <c r="D61" s="39">
        <v>900</v>
      </c>
      <c r="E61" s="39">
        <v>750</v>
      </c>
      <c r="F61" s="39">
        <v>9</v>
      </c>
      <c r="G61" s="39">
        <v>4</v>
      </c>
      <c r="H61" s="39">
        <v>5</v>
      </c>
      <c r="I61" s="206"/>
      <c r="J61" s="40"/>
      <c r="K61" s="39">
        <f t="shared" si="22"/>
        <v>180</v>
      </c>
      <c r="L61" s="176">
        <f t="shared" si="23"/>
        <v>40</v>
      </c>
      <c r="M61" s="37" t="s">
        <v>247</v>
      </c>
      <c r="N61" s="155" t="s">
        <v>298</v>
      </c>
    </row>
    <row r="62" spans="1:14" s="33" customFormat="1" ht="20.100000000000001" customHeight="1">
      <c r="A62" s="46" t="s">
        <v>247</v>
      </c>
      <c r="B62" s="173">
        <v>143</v>
      </c>
      <c r="C62" s="37" t="s">
        <v>264</v>
      </c>
      <c r="D62" s="39">
        <v>900</v>
      </c>
      <c r="E62" s="39">
        <v>750</v>
      </c>
      <c r="F62" s="39">
        <v>10</v>
      </c>
      <c r="G62" s="39">
        <v>4</v>
      </c>
      <c r="H62" s="39">
        <v>5</v>
      </c>
      <c r="I62" s="206"/>
      <c r="J62" s="40"/>
      <c r="K62" s="39">
        <f t="shared" si="22"/>
        <v>200</v>
      </c>
      <c r="L62" s="176">
        <f t="shared" si="23"/>
        <v>40</v>
      </c>
      <c r="M62" s="37" t="s">
        <v>247</v>
      </c>
      <c r="N62" s="155" t="s">
        <v>298</v>
      </c>
    </row>
    <row r="63" spans="1:14" s="33" customFormat="1" ht="20.100000000000001" customHeight="1">
      <c r="A63" s="46" t="s">
        <v>247</v>
      </c>
      <c r="B63" s="173">
        <v>143</v>
      </c>
      <c r="C63" s="37" t="s">
        <v>264</v>
      </c>
      <c r="D63" s="39">
        <v>900</v>
      </c>
      <c r="E63" s="39">
        <v>750</v>
      </c>
      <c r="F63" s="39">
        <v>11</v>
      </c>
      <c r="G63" s="39">
        <v>4</v>
      </c>
      <c r="H63" s="39">
        <v>5</v>
      </c>
      <c r="I63" s="206"/>
      <c r="J63" s="40"/>
      <c r="K63" s="39">
        <f t="shared" si="22"/>
        <v>220</v>
      </c>
      <c r="L63" s="176">
        <f t="shared" si="23"/>
        <v>40</v>
      </c>
      <c r="M63" s="37" t="s">
        <v>247</v>
      </c>
      <c r="N63" s="155" t="s">
        <v>298</v>
      </c>
    </row>
    <row r="64" spans="1:14" s="33" customFormat="1" ht="20.100000000000001" customHeight="1">
      <c r="A64" s="46" t="s">
        <v>247</v>
      </c>
      <c r="B64" s="173">
        <v>143</v>
      </c>
      <c r="C64" s="37" t="s">
        <v>264</v>
      </c>
      <c r="D64" s="39">
        <v>900</v>
      </c>
      <c r="E64" s="39">
        <v>750</v>
      </c>
      <c r="F64" s="39">
        <v>13</v>
      </c>
      <c r="G64" s="39">
        <v>4</v>
      </c>
      <c r="H64" s="39">
        <v>5</v>
      </c>
      <c r="I64" s="206"/>
      <c r="J64" s="40"/>
      <c r="K64" s="39">
        <f t="shared" si="22"/>
        <v>260</v>
      </c>
      <c r="L64" s="176">
        <f t="shared" si="23"/>
        <v>40</v>
      </c>
      <c r="M64" s="37" t="s">
        <v>247</v>
      </c>
      <c r="N64" s="155" t="s">
        <v>298</v>
      </c>
    </row>
    <row r="65" spans="1:14" s="33" customFormat="1" ht="20.100000000000001" customHeight="1">
      <c r="A65" s="46" t="s">
        <v>247</v>
      </c>
      <c r="B65" s="173">
        <v>143</v>
      </c>
      <c r="C65" s="37" t="s">
        <v>264</v>
      </c>
      <c r="D65" s="39">
        <v>900</v>
      </c>
      <c r="E65" s="39">
        <v>750</v>
      </c>
      <c r="F65" s="39">
        <v>14</v>
      </c>
      <c r="G65" s="39">
        <v>4</v>
      </c>
      <c r="H65" s="39">
        <v>1</v>
      </c>
      <c r="I65" s="206"/>
      <c r="J65" s="40"/>
      <c r="K65" s="39">
        <f t="shared" si="22"/>
        <v>56</v>
      </c>
      <c r="L65" s="176">
        <f t="shared" si="23"/>
        <v>8</v>
      </c>
      <c r="M65" s="37" t="s">
        <v>247</v>
      </c>
      <c r="N65" s="155" t="s">
        <v>298</v>
      </c>
    </row>
    <row r="66" spans="1:14" s="33" customFormat="1" ht="20.100000000000001" customHeight="1">
      <c r="A66" s="46" t="s">
        <v>247</v>
      </c>
      <c r="B66" s="173">
        <v>143</v>
      </c>
      <c r="C66" s="37" t="s">
        <v>264</v>
      </c>
      <c r="D66" s="39">
        <v>900</v>
      </c>
      <c r="E66" s="39">
        <v>750</v>
      </c>
      <c r="F66" s="39">
        <v>15</v>
      </c>
      <c r="G66" s="39">
        <v>4</v>
      </c>
      <c r="H66" s="39">
        <v>1</v>
      </c>
      <c r="I66" s="206"/>
      <c r="J66" s="40"/>
      <c r="K66" s="39">
        <f t="shared" si="22"/>
        <v>60</v>
      </c>
      <c r="L66" s="176">
        <f t="shared" si="23"/>
        <v>8</v>
      </c>
      <c r="M66" s="37" t="s">
        <v>247</v>
      </c>
      <c r="N66" s="155" t="s">
        <v>298</v>
      </c>
    </row>
    <row r="67" spans="1:14" s="33" customFormat="1" ht="20.100000000000001" customHeight="1">
      <c r="A67" s="46" t="s">
        <v>247</v>
      </c>
      <c r="B67" s="173">
        <v>143</v>
      </c>
      <c r="C67" s="37" t="s">
        <v>264</v>
      </c>
      <c r="D67" s="39">
        <v>900</v>
      </c>
      <c r="E67" s="39">
        <v>750</v>
      </c>
      <c r="F67" s="39">
        <v>17</v>
      </c>
      <c r="G67" s="39">
        <v>4</v>
      </c>
      <c r="H67" s="39">
        <v>1</v>
      </c>
      <c r="I67" s="206"/>
      <c r="J67" s="40"/>
      <c r="K67" s="39">
        <f t="shared" si="22"/>
        <v>68</v>
      </c>
      <c r="L67" s="176">
        <f t="shared" si="23"/>
        <v>8</v>
      </c>
      <c r="M67" s="37" t="s">
        <v>247</v>
      </c>
      <c r="N67" s="155" t="s">
        <v>298</v>
      </c>
    </row>
    <row r="68" spans="1:14" s="33" customFormat="1" ht="20.100000000000001" customHeight="1">
      <c r="A68" s="46" t="s">
        <v>247</v>
      </c>
      <c r="B68" s="173">
        <v>143</v>
      </c>
      <c r="C68" s="37" t="s">
        <v>264</v>
      </c>
      <c r="D68" s="39">
        <v>900</v>
      </c>
      <c r="E68" s="39">
        <v>750</v>
      </c>
      <c r="F68" s="39">
        <v>18</v>
      </c>
      <c r="G68" s="39">
        <v>4</v>
      </c>
      <c r="H68" s="39">
        <v>1</v>
      </c>
      <c r="I68" s="206"/>
      <c r="J68" s="40"/>
      <c r="K68" s="39">
        <f t="shared" si="22"/>
        <v>72</v>
      </c>
      <c r="L68" s="176">
        <f t="shared" si="23"/>
        <v>8</v>
      </c>
      <c r="M68" s="37" t="s">
        <v>247</v>
      </c>
      <c r="N68" s="155" t="s">
        <v>298</v>
      </c>
    </row>
    <row r="69" spans="1:14" s="33" customFormat="1" ht="20.100000000000001" customHeight="1">
      <c r="A69" s="46" t="s">
        <v>247</v>
      </c>
      <c r="B69" s="173">
        <v>143</v>
      </c>
      <c r="C69" s="37" t="s">
        <v>264</v>
      </c>
      <c r="D69" s="39">
        <v>900</v>
      </c>
      <c r="E69" s="39">
        <v>750</v>
      </c>
      <c r="F69" s="39">
        <v>19</v>
      </c>
      <c r="G69" s="39">
        <v>4</v>
      </c>
      <c r="H69" s="39">
        <v>3</v>
      </c>
      <c r="I69" s="206"/>
      <c r="J69" s="40"/>
      <c r="K69" s="39">
        <f t="shared" si="22"/>
        <v>228</v>
      </c>
      <c r="L69" s="176">
        <f t="shared" si="23"/>
        <v>24</v>
      </c>
      <c r="M69" s="37" t="s">
        <v>247</v>
      </c>
      <c r="N69" s="155" t="s">
        <v>298</v>
      </c>
    </row>
    <row r="70" spans="1:14" s="33" customFormat="1" ht="20.100000000000001" customHeight="1">
      <c r="A70" s="46" t="s">
        <v>247</v>
      </c>
      <c r="B70" s="173">
        <v>143</v>
      </c>
      <c r="C70" s="37" t="s">
        <v>264</v>
      </c>
      <c r="D70" s="39">
        <v>900</v>
      </c>
      <c r="E70" s="39">
        <v>750</v>
      </c>
      <c r="F70" s="39">
        <v>23</v>
      </c>
      <c r="G70" s="39">
        <v>4</v>
      </c>
      <c r="H70" s="39">
        <v>1</v>
      </c>
      <c r="I70" s="206"/>
      <c r="J70" s="40"/>
      <c r="K70" s="39">
        <f t="shared" si="22"/>
        <v>92</v>
      </c>
      <c r="L70" s="176">
        <f t="shared" si="23"/>
        <v>8</v>
      </c>
      <c r="M70" s="37" t="s">
        <v>247</v>
      </c>
      <c r="N70" s="155" t="s">
        <v>298</v>
      </c>
    </row>
    <row r="71" spans="1:14" s="33" customFormat="1" ht="20.100000000000001" customHeight="1">
      <c r="A71" s="46" t="s">
        <v>247</v>
      </c>
      <c r="B71" s="173">
        <v>143</v>
      </c>
      <c r="C71" s="37" t="s">
        <v>264</v>
      </c>
      <c r="D71" s="39">
        <v>900</v>
      </c>
      <c r="E71" s="39">
        <v>750</v>
      </c>
      <c r="F71" s="39">
        <v>43</v>
      </c>
      <c r="G71" s="39">
        <v>4</v>
      </c>
      <c r="H71" s="39">
        <v>1</v>
      </c>
      <c r="I71" s="206"/>
      <c r="J71" s="40"/>
      <c r="K71" s="39">
        <f t="shared" si="22"/>
        <v>172</v>
      </c>
      <c r="L71" s="176">
        <f t="shared" si="23"/>
        <v>8</v>
      </c>
      <c r="M71" s="37" t="s">
        <v>247</v>
      </c>
      <c r="N71" s="155" t="s">
        <v>298</v>
      </c>
    </row>
    <row r="72" spans="1:14" s="33" customFormat="1" ht="20.100000000000001" customHeight="1">
      <c r="A72" s="46"/>
      <c r="B72" s="45"/>
      <c r="C72" s="37"/>
      <c r="D72" s="39"/>
      <c r="E72" s="39"/>
      <c r="F72" s="39"/>
      <c r="G72" s="39"/>
      <c r="H72" s="39"/>
      <c r="I72" s="206"/>
      <c r="J72" s="40"/>
      <c r="K72" s="39"/>
      <c r="L72" s="176"/>
      <c r="M72" s="37"/>
      <c r="N72" s="155"/>
    </row>
    <row r="73" spans="1:14" s="33" customFormat="1" ht="20.100000000000001" customHeight="1">
      <c r="A73" s="46" t="s">
        <v>168</v>
      </c>
      <c r="B73" s="154" t="s">
        <v>204</v>
      </c>
      <c r="C73" s="37" t="s">
        <v>264</v>
      </c>
      <c r="D73" s="39">
        <v>900</v>
      </c>
      <c r="E73" s="39">
        <v>750</v>
      </c>
      <c r="F73" s="39">
        <v>11</v>
      </c>
      <c r="G73" s="39">
        <v>4</v>
      </c>
      <c r="H73" s="39">
        <v>4</v>
      </c>
      <c r="I73" s="206"/>
      <c r="J73" s="40"/>
      <c r="K73" s="39">
        <f>F73*G73*H73</f>
        <v>176</v>
      </c>
      <c r="L73" s="176">
        <f>G73*H73*2</f>
        <v>32</v>
      </c>
      <c r="M73" s="207" t="s">
        <v>299</v>
      </c>
      <c r="N73" s="155" t="s">
        <v>298</v>
      </c>
    </row>
    <row r="74" spans="1:14" s="33" customFormat="1" ht="20.100000000000001" customHeight="1" thickBot="1">
      <c r="A74" s="46"/>
      <c r="B74" s="45"/>
      <c r="C74" s="37"/>
      <c r="D74" s="39"/>
      <c r="E74" s="39"/>
      <c r="F74" s="39"/>
      <c r="G74" s="39"/>
      <c r="H74" s="39"/>
      <c r="I74" s="206"/>
      <c r="J74" s="40"/>
      <c r="K74" s="39"/>
      <c r="L74" s="176"/>
      <c r="M74" s="37"/>
      <c r="N74" s="155"/>
    </row>
    <row r="75" spans="1:14" s="33" customFormat="1" ht="20.100000000000001" customHeight="1" thickBot="1">
      <c r="A75" s="177"/>
      <c r="B75" s="49"/>
      <c r="C75" s="50" t="s">
        <v>300</v>
      </c>
      <c r="D75" s="51"/>
      <c r="E75" s="52"/>
      <c r="F75" s="53">
        <f t="shared" ref="F75:L75" si="24">SUM(F45:F74)</f>
        <v>318</v>
      </c>
      <c r="G75" s="53">
        <f t="shared" si="24"/>
        <v>96</v>
      </c>
      <c r="H75" s="53">
        <f t="shared" si="24"/>
        <v>50</v>
      </c>
      <c r="I75" s="53">
        <f t="shared" si="24"/>
        <v>0</v>
      </c>
      <c r="J75" s="178">
        <f t="shared" si="24"/>
        <v>0</v>
      </c>
      <c r="K75" s="53">
        <f t="shared" si="24"/>
        <v>2432</v>
      </c>
      <c r="L75" s="178">
        <f t="shared" si="24"/>
        <v>400</v>
      </c>
      <c r="M75" s="55"/>
      <c r="N75" s="55"/>
    </row>
  </sheetData>
  <mergeCells count="6">
    <mergeCell ref="A4:A5"/>
    <mergeCell ref="B4:B5"/>
    <mergeCell ref="C4:C5"/>
    <mergeCell ref="M4:M5"/>
    <mergeCell ref="N4:N5"/>
    <mergeCell ref="N7:N25"/>
  </mergeCells>
  <printOptions horizontalCentered="1"/>
  <pageMargins left="0.59055118110236227" right="0.47244094488188981" top="0.27559055118110237" bottom="0.47244094488188981" header="3.937007874015748E-2" footer="0.27559055118110237"/>
  <pageSetup paperSize="9" scale="58" orientation="portrait" blackAndWhite="1" r:id="rId1"/>
  <headerFooter alignWithMargins="0">
    <oddFooter>&amp;C&amp;P of &amp;N</oddFooter>
  </headerFooter>
</worksheet>
</file>

<file path=docMetadata/LabelInfo.xml><?xml version="1.0" encoding="utf-8"?>
<clbl:labelList xmlns:clbl="http://schemas.microsoft.com/office/2020/mipLabelMetadata">
  <clbl:label id="{a11ee6e5-21a0-48c4-8af4-6cc1347f763e}" enabled="1" method="Privileged" siteId="{a27ddcc1-bea5-4183-aa29-fd96d7612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Concrete Trench</vt:lpstr>
      <vt:lpstr>CABLE TRAY</vt:lpstr>
      <vt:lpstr>Direct Buried</vt:lpstr>
      <vt:lpstr>DUCT BANK</vt:lpstr>
      <vt:lpstr>'CABLE TRAY'!Print_Area</vt:lpstr>
      <vt:lpstr>'Concrete Trench'!Print_Area</vt:lpstr>
      <vt:lpstr>'Direct Buried'!Print_Area</vt:lpstr>
      <vt:lpstr>'DUCT BANK'!Print_Area</vt:lpstr>
      <vt:lpstr>'Concrete Trench'!Print_Titles</vt:lpstr>
      <vt:lpstr>'Direct Buried'!Print_Titles</vt:lpstr>
      <vt:lpstr>'DUCT BANK'!Print_Titles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제제헬프랑카(JEZEHEL FRANCA) 책임매니저</dc:creator>
  <cp:lastModifiedBy>제제헬프랑카(JEZEHEL FRANCA) 책임매니저</cp:lastModifiedBy>
  <dcterms:created xsi:type="dcterms:W3CDTF">2026-07-09T09:02:55Z</dcterms:created>
  <dcterms:modified xsi:type="dcterms:W3CDTF">2026-07-09T09:03:45Z</dcterms:modified>
</cp:coreProperties>
</file>